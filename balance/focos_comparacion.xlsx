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Por rama" sheetId="2" state="visible" r:id="rId4"/>
    <sheet name="Por foco" sheetId="3" state="visible" r:id="rId5"/>
    <sheet name="Mecánicas" sheetId="4" state="visible" r:id="rId6"/>
    <sheet name="Pesos" sheetId="5" state="visible" r:id="rId7"/>
    <sheet name="Nota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Pesos inventados para comparar, no salen del juego. Los modificadores valen por cada 1% (o por unidad si no son porcentaje). Cambialos y el puntaje se recalcula.</t>
        </r>
      </text>
    </comment>
  </commentList>
</comments>
</file>

<file path=xl/sharedStrings.xml><?xml version="1.0" encoding="utf-8"?>
<sst xmlns="http://schemas.openxmlformats.org/spreadsheetml/2006/main" count="3312" uniqueCount="1606">
  <si>
    <t xml:space="preserve">Árbol</t>
  </si>
  <si>
    <t xml:space="preserve">Focos</t>
  </si>
  <si>
    <t xml:space="preserve">Días</t>
  </si>
  <si>
    <t xml:space="preserve">Poder político</t>
  </si>
  <si>
    <t xml:space="preserve">Estabilidad en el acto (%)</t>
  </si>
  <si>
    <t xml:space="preserve">Apoyo a la guerra en el acto (%)</t>
  </si>
  <si>
    <t xml:space="preserve">Mano de obra</t>
  </si>
  <si>
    <t xml:space="preserve">Exp. ejército</t>
  </si>
  <si>
    <t xml:space="preserve">Exp. naval</t>
  </si>
  <si>
    <t xml:space="preserve">Exp. aérea</t>
  </si>
  <si>
    <t xml:space="preserve">Casillas de investigación</t>
  </si>
  <si>
    <t xml:space="preserve">Bonos de tecnología (usos)</t>
  </si>
  <si>
    <t xml:space="preserve">Fábricas civiles</t>
  </si>
  <si>
    <t xml:space="preserve">Fábricas militares</t>
  </si>
  <si>
    <t xml:space="preserve">Astilleros</t>
  </si>
  <si>
    <t xml:space="preserve">Infraestructura</t>
  </si>
  <si>
    <t xml:space="preserve">Otros edificios (niveles)</t>
  </si>
  <si>
    <t xml:space="preserve">Equipo (unidades)</t>
  </si>
  <si>
    <t xml:space="preserve">Divisiones</t>
  </si>
  <si>
    <t xml:space="preserve">Cazas gratis</t>
  </si>
  <si>
    <t xml:space="preserve">Reclamos, núcleos y objetivos</t>
  </si>
  <si>
    <t xml:space="preserve">Poder político por día</t>
  </si>
  <si>
    <t xml:space="preserve">Estabilidad (%)</t>
  </si>
  <si>
    <t xml:space="preserve">Apoyo a la guerra (%)</t>
  </si>
  <si>
    <t xml:space="preserve">Deriva democrática por día</t>
  </si>
  <si>
    <t xml:space="preserve">Opinión comercial (%)</t>
  </si>
  <si>
    <t xml:space="preserve">Tiempo del enemigo para justificar guerra (%)</t>
  </si>
  <si>
    <t xml:space="preserve">Producción de fábricas (%)</t>
  </si>
  <si>
    <t xml:space="preserve">Producción de astilleros (%)</t>
  </si>
  <si>
    <t xml:space="preserve">Velocidad de construcción (%)</t>
  </si>
  <si>
    <t xml:space="preserve">Construcción de fábricas militares (%)</t>
  </si>
  <si>
    <t xml:space="preserve">Construcción de infraestructura (%)</t>
  </si>
  <si>
    <t xml:space="preserve">Bienes de consumo (%) (negativo es bueno)</t>
  </si>
  <si>
    <t xml:space="preserve">Recursos (%)</t>
  </si>
  <si>
    <t xml:space="preserve">Velocidad de investigación (%)</t>
  </si>
  <si>
    <t xml:space="preserve">Crecimiento de población por mes</t>
  </si>
  <si>
    <t xml:space="preserve">Población reclutable (%)</t>
  </si>
  <si>
    <t xml:space="preserve">Ataque del ejército (%)</t>
  </si>
  <si>
    <t xml:space="preserve">Defensa del ejército (%)</t>
  </si>
  <si>
    <t xml:space="preserve">Organización del ejército (%)</t>
  </si>
  <si>
    <t xml:space="preserve">Ataque de blindados (%)</t>
  </si>
  <si>
    <t xml:space="preserve">Defensa de blindados (%)</t>
  </si>
  <si>
    <t xml:space="preserve">Experiencia del ejército (%)</t>
  </si>
  <si>
    <t xml:space="preserve">Desgaste (%) (negativo es bueno)</t>
  </si>
  <si>
    <t xml:space="preserve">Consumo de suministros (%) (negativo es bueno)</t>
  </si>
  <si>
    <t xml:space="preserve">Ataque aéreo (%)</t>
  </si>
  <si>
    <t xml:space="preserve">Defensa aérea (%)</t>
  </si>
  <si>
    <t xml:space="preserve">Agilidad aérea (%)</t>
  </si>
  <si>
    <t xml:space="preserve">Superioridad aérea (%)</t>
  </si>
  <si>
    <t xml:space="preserve">Detección de intercepción (%)</t>
  </si>
  <si>
    <t xml:space="preserve">Aparición de ases (%)</t>
  </si>
  <si>
    <t xml:space="preserve">Bonos de los ases (%)</t>
  </si>
  <si>
    <t xml:space="preserve">Experiencia aérea (%)</t>
  </si>
  <si>
    <t xml:space="preserve">Organización naval (%)</t>
  </si>
  <si>
    <t xml:space="preserve">Puntaje en el acto</t>
  </si>
  <si>
    <t xml:space="preserve">Puntaje de modificadores</t>
  </si>
  <si>
    <t xml:space="preserve">Puntaje total (todos los focos)</t>
  </si>
  <si>
    <t xml:space="preserve">Puntaje del camino promedio</t>
  </si>
  <si>
    <t xml:space="preserve">Camino promedio vs promedio de potencias</t>
  </si>
  <si>
    <t xml:space="preserve">Focos excluyentes</t>
  </si>
  <si>
    <t xml:space="preserve">EFE</t>
  </si>
  <si>
    <t xml:space="preserve">ASC</t>
  </si>
  <si>
    <t xml:space="preserve">FCU</t>
  </si>
  <si>
    <t xml:space="preserve">HSN</t>
  </si>
  <si>
    <t xml:space="preserve">NAS</t>
  </si>
  <si>
    <t xml:space="preserve">SHD</t>
  </si>
  <si>
    <t xml:space="preserve">APF</t>
  </si>
  <si>
    <t xml:space="preserve">NRE</t>
  </si>
  <si>
    <t xml:space="preserve">ZWB</t>
  </si>
  <si>
    <t xml:space="preserve">ZWE</t>
  </si>
  <si>
    <t xml:space="preserve">ZWI</t>
  </si>
  <si>
    <t xml:space="preserve">ZWM</t>
  </si>
  <si>
    <t xml:space="preserve">ZAN</t>
  </si>
  <si>
    <t xml:space="preserve">JUNTA</t>
  </si>
  <si>
    <t xml:space="preserve">Promedio de las 8 potencias</t>
  </si>
  <si>
    <t xml:space="preserve">Rama</t>
  </si>
  <si>
    <t xml:space="preserve">Puntaje</t>
  </si>
  <si>
    <t xml:space="preserve">Peso del camino</t>
  </si>
  <si>
    <t xml:space="preserve">dinastia_verde</t>
  </si>
  <si>
    <t xml:space="preserve">el_monte</t>
  </si>
  <si>
    <t xml:space="preserve">destino</t>
  </si>
  <si>
    <t xml:space="preserve">autarquia</t>
  </si>
  <si>
    <t xml:space="preserve">diplomacia_agua</t>
  </si>
  <si>
    <t xml:space="preserve">cubas</t>
  </si>
  <si>
    <t xml:space="preserve">guardia_verde</t>
  </si>
  <si>
    <t xml:space="preserve">condores</t>
  </si>
  <si>
    <t xml:space="preserve">ciclo_bioacero</t>
  </si>
  <si>
    <t xml:space="preserve">cubas_sanas</t>
  </si>
  <si>
    <t xml:space="preserve">consejo_sorteado</t>
  </si>
  <si>
    <t xml:space="preserve">plan_41</t>
  </si>
  <si>
    <t xml:space="preserve">plan_total</t>
  </si>
  <si>
    <t xml:space="preserve">mercado_computo</t>
  </si>
  <si>
    <t xml:space="preserve">fabricas_a_oscuras</t>
  </si>
  <si>
    <t xml:space="preserve">enjambres</t>
  </si>
  <si>
    <t xml:space="preserve">flota_del_norte</t>
  </si>
  <si>
    <t xml:space="preserve">poder_de_computo</t>
  </si>
  <si>
    <t xml:space="preserve">red_fria</t>
  </si>
  <si>
    <t xml:space="preserve">politica_castellane</t>
  </si>
  <si>
    <t xml:space="preserve">politica_rourke</t>
  </si>
  <si>
    <t xml:space="preserve">economia_dividendo</t>
  </si>
  <si>
    <t xml:space="preserve">economia_agua</t>
  </si>
  <si>
    <t xml:space="preserve">industria</t>
  </si>
  <si>
    <t xml:space="preserve">ejercito</t>
  </si>
  <si>
    <t xml:space="preserve">mar_aire</t>
  </si>
  <si>
    <t xml:space="preserve">directorio</t>
  </si>
  <si>
    <t xml:space="preserve">casa_de_cristal</t>
  </si>
  <si>
    <t xml:space="preserve">aldana</t>
  </si>
  <si>
    <t xml:space="preserve">tavake</t>
  </si>
  <si>
    <t xml:space="preserve">puerto_libre</t>
  </si>
  <si>
    <t xml:space="preserve">peaje</t>
  </si>
  <si>
    <t xml:space="preserve">astilleros</t>
  </si>
  <si>
    <t xml:space="preserve">cubierta</t>
  </si>
  <si>
    <t xml:space="preserve">armada</t>
  </si>
  <si>
    <t xml:space="preserve">nodos</t>
  </si>
  <si>
    <t xml:space="preserve">corte_del_sol</t>
  </si>
  <si>
    <t xml:space="preserve">tawantinsuyu</t>
  </si>
  <si>
    <t xml:space="preserve">terrazas</t>
  </si>
  <si>
    <t xml:space="preserve">mineria</t>
  </si>
  <si>
    <t xml:space="preserve">talleres</t>
  </si>
  <si>
    <t xml:space="preserve">guerreros</t>
  </si>
  <si>
    <t xml:space="preserve">alas_del_sol</t>
  </si>
  <si>
    <t xml:space="preserve">inti_soma</t>
  </si>
  <si>
    <t xml:space="preserve">calendario_solar</t>
  </si>
  <si>
    <t xml:space="preserve">caudal_corregido</t>
  </si>
  <si>
    <t xml:space="preserve">gran_crecida</t>
  </si>
  <si>
    <t xml:space="preserve">grandes_obras</t>
  </si>
  <si>
    <t xml:space="preserve">precision</t>
  </si>
  <si>
    <t xml:space="preserve">represas</t>
  </si>
  <si>
    <t xml:space="preserve">ejercito_del_caudal</t>
  </si>
  <si>
    <t xml:space="preserve">cielo</t>
  </si>
  <si>
    <t xml:space="preserve">armonia</t>
  </si>
  <si>
    <t xml:space="preserve">sala_de_control</t>
  </si>
  <si>
    <t xml:space="preserve">congreso</t>
  </si>
  <si>
    <t xml:space="preserve">marcha</t>
  </si>
  <si>
    <t xml:space="preserve">aldea</t>
  </si>
  <si>
    <t xml:space="preserve">corredor</t>
  </si>
  <si>
    <t xml:space="preserve">polos</t>
  </si>
  <si>
    <t xml:space="preserve">milicias</t>
  </si>
  <si>
    <t xml:space="preserve">alas</t>
  </si>
  <si>
    <t xml:space="preserve">integracion</t>
  </si>
  <si>
    <t xml:space="preserve">voz_de_los_consejos</t>
  </si>
  <si>
    <t xml:space="preserve">principado</t>
  </si>
  <si>
    <t xml:space="preserve">cuatro_imperatores</t>
  </si>
  <si>
    <t xml:space="preserve">erario</t>
  </si>
  <si>
    <t xml:space="preserve">forjas</t>
  </si>
  <si>
    <t xml:space="preserve">legiones</t>
  </si>
  <si>
    <t xml:space="preserve">mare_nostrum</t>
  </si>
  <si>
    <t xml:space="preserve">oficiales</t>
  </si>
  <si>
    <t xml:space="preserve">el_limes</t>
  </si>
  <si>
    <t xml:space="preserve">la_selva</t>
  </si>
  <si>
    <t xml:space="preserve">resistir</t>
  </si>
  <si>
    <t xml:space="preserve">la_frontera</t>
  </si>
  <si>
    <t xml:space="preserve">atrincherarse</t>
  </si>
  <si>
    <t xml:space="preserve">ofensiva</t>
  </si>
  <si>
    <t xml:space="preserve">mando_supremo</t>
  </si>
  <si>
    <t xml:space="preserve">Foco</t>
  </si>
  <si>
    <t xml:space="preserve">Nombre</t>
  </si>
  <si>
    <t xml:space="preserve">Puntaje del camino</t>
  </si>
  <si>
    <t xml:space="preserve">Espíritus (detalle)</t>
  </si>
  <si>
    <t xml:space="preserve">Temporales (no suman)</t>
  </si>
  <si>
    <t xml:space="preserve">Mecánica que mueve</t>
  </si>
  <si>
    <t xml:space="preserve">Eventos (los propios suman)</t>
  </si>
  <si>
    <t xml:space="preserve">Condiciones que no se pudieron evaluar</t>
  </si>
  <si>
    <t xml:space="preserve">Excluye a</t>
  </si>
  <si>
    <t xml:space="preserve">EFE_custodio_de_la_tierra</t>
  </si>
  <si>
    <t xml:space="preserve">Custodio de la Tierra</t>
  </si>
  <si>
    <t xml:space="preserve">EFE_la_hora_de_gaia</t>
  </si>
  <si>
    <t xml:space="preserve">La Hora de Gaia</t>
  </si>
  <si>
    <t xml:space="preserve">EFE_el_mandato_renovado</t>
  </si>
  <si>
    <t xml:space="preserve">El Mandato Renovado</t>
  </si>
  <si>
    <t xml:space="preserve">EFE_los_incendios_de_gaia</t>
  </si>
  <si>
    <t xml:space="preserve">EFE_la_corte_de_los_bosques</t>
  </si>
  <si>
    <t xml:space="preserve">La Corte de los Bosques</t>
  </si>
  <si>
    <t xml:space="preserve">El Trono del Bosque, quita Una Corte Dividida</t>
  </si>
  <si>
    <t xml:space="preserve">EFE_heredero_de_la_tierra</t>
  </si>
  <si>
    <t xml:space="preserve">Heredero de la Tierra</t>
  </si>
  <si>
    <t xml:space="preserve">EFE_biosteel +2, EFE_saturacion +6</t>
  </si>
  <si>
    <t xml:space="preserve">EFE_las_misiones_guaranies</t>
  </si>
  <si>
    <t xml:space="preserve">Las Misiones Guaraníes</t>
  </si>
  <si>
    <t xml:space="preserve">EFE_integrar_la_patagonia</t>
  </si>
  <si>
    <t xml:space="preserve">Integrar la Patagonia Austral</t>
  </si>
  <si>
    <t xml:space="preserve">EFE_la_gran_muralla_verde</t>
  </si>
  <si>
    <t xml:space="preserve">La Gran Muralla Verde</t>
  </si>
  <si>
    <t xml:space="preserve">EFE_guardian_del_acuifero</t>
  </si>
  <si>
    <t xml:space="preserve">Guardián del Acuífero</t>
  </si>
  <si>
    <t xml:space="preserve">Defensa del Acuífero</t>
  </si>
  <si>
    <t xml:space="preserve">EFE_el_agua_no_se_vende</t>
  </si>
  <si>
    <t xml:space="preserve">El Agua no se Vende</t>
  </si>
  <si>
    <t xml:space="preserve">meganations_fcu.7 (le llega a FCU, no cuenta)</t>
  </si>
  <si>
    <t xml:space="preserve">EFE_la_corona_de_gaia</t>
  </si>
  <si>
    <t xml:space="preserve">La Corona de Gaia</t>
  </si>
  <si>
    <t xml:space="preserve">El Trono del Bosque -&gt; El Trono Eterno</t>
  </si>
  <si>
    <t xml:space="preserve">EFE_biosteel +3, EFE_saturacion +9</t>
  </si>
  <si>
    <t xml:space="preserve">Los Incendios de Gaia</t>
  </si>
  <si>
    <t xml:space="preserve">La Crisis del Monte (120 días)</t>
  </si>
  <si>
    <t xml:space="preserve">EFE_el_monte_se_levanta</t>
  </si>
  <si>
    <t xml:space="preserve">El Monte se Levanta</t>
  </si>
  <si>
    <t xml:space="preserve">El Mandato Verde -&gt; El Mandato del Monte, quita Una Corte Dividida</t>
  </si>
  <si>
    <t xml:space="preserve">meganations_efe.220 (promedio de 2 opciones)</t>
  </si>
  <si>
    <t xml:space="preserve">EFE_desurbanizar</t>
  </si>
  <si>
    <t xml:space="preserve">Desurbanizar</t>
  </si>
  <si>
    <t xml:space="preserve">Desurbanización</t>
  </si>
  <si>
    <t xml:space="preserve">EFE_el_bosque_es_el_ejercito</t>
  </si>
  <si>
    <t xml:space="preserve">El Bosque es el Ejército</t>
  </si>
  <si>
    <t xml:space="preserve">EFE_arrasar_la_tierra</t>
  </si>
  <si>
    <t xml:space="preserve">Tierra Arrasada</t>
  </si>
  <si>
    <t xml:space="preserve">EFE_sembrar_la_conquista</t>
  </si>
  <si>
    <t xml:space="preserve">Sembrar la Conquista</t>
  </si>
  <si>
    <t xml:space="preserve">EFE_que_avance_la_selva</t>
  </si>
  <si>
    <t xml:space="preserve">La Selva Avanza</t>
  </si>
  <si>
    <t xml:space="preserve">EFE_la_ofensiva_verde</t>
  </si>
  <si>
    <t xml:space="preserve">La Ofensiva Verde</t>
  </si>
  <si>
    <t xml:space="preserve">EFE_un_continente_vivo</t>
  </si>
  <si>
    <t xml:space="preserve">Un Continente Vivo</t>
  </si>
  <si>
    <t xml:space="preserve">EFE_el_concilio_verde</t>
  </si>
  <si>
    <t xml:space="preserve">El Concilio Verde</t>
  </si>
  <si>
    <t xml:space="preserve">EFE_la_ley_de_la_semilla</t>
  </si>
  <si>
    <t xml:space="preserve">La Ley de la Semilla</t>
  </si>
  <si>
    <t xml:space="preserve">EFE_los_guardianes_del_bosque</t>
  </si>
  <si>
    <t xml:space="preserve">Los Guardianes del Bosque</t>
  </si>
  <si>
    <t xml:space="preserve">EFE_el_destino_de_gaia</t>
  </si>
  <si>
    <t xml:space="preserve">El Destino de Gaia</t>
  </si>
  <si>
    <t xml:space="preserve">EFE_ministerio_de_restauracion</t>
  </si>
  <si>
    <t xml:space="preserve">Ministerio de la Restauración</t>
  </si>
  <si>
    <t xml:space="preserve">quita Ciudades Sedientas</t>
  </si>
  <si>
    <t xml:space="preserve">EFE_autarquia_del_bioacero</t>
  </si>
  <si>
    <t xml:space="preserve">La Autarquía del Bioacero</t>
  </si>
  <si>
    <t xml:space="preserve">Autarquía Estratégica</t>
  </si>
  <si>
    <t xml:space="preserve">EFE_biosteel +1, EFE_saturacion +3</t>
  </si>
  <si>
    <t xml:space="preserve">EFE_diplomacia_del_agua</t>
  </si>
  <si>
    <t xml:space="preserve">EFE_cubas_profundas</t>
  </si>
  <si>
    <t xml:space="preserve">Cubas Profundas</t>
  </si>
  <si>
    <t xml:space="preserve">EFE_bosques_fabrica</t>
  </si>
  <si>
    <t xml:space="preserve">Bosques-Fábrica</t>
  </si>
  <si>
    <t xml:space="preserve">EFE_economia_circular</t>
  </si>
  <si>
    <t xml:space="preserve">La Economía Circular</t>
  </si>
  <si>
    <t xml:space="preserve">EFE_la_autarquia_total</t>
  </si>
  <si>
    <t xml:space="preserve">La Autarquía Total</t>
  </si>
  <si>
    <t xml:space="preserve">Autarquía Estratégica -&gt; Autarquía Total</t>
  </si>
  <si>
    <t xml:space="preserve">EFE_el_bioacero_soberano</t>
  </si>
  <si>
    <t xml:space="preserve">El Bioacero Soberano</t>
  </si>
  <si>
    <t xml:space="preserve">EFE_la_fortaleza_verde</t>
  </si>
  <si>
    <t xml:space="preserve">La Fortaleza Verde</t>
  </si>
  <si>
    <t xml:space="preserve">Autarquía Total -&gt; La Fortaleza Verde</t>
  </si>
  <si>
    <t xml:space="preserve">La Diplomacia del Agua</t>
  </si>
  <si>
    <t xml:space="preserve">Diplomacia del Agua</t>
  </si>
  <si>
    <t xml:space="preserve">EFE_bancos_de_semillas</t>
  </si>
  <si>
    <t xml:space="preserve">Bancos de Semillas</t>
  </si>
  <si>
    <t xml:space="preserve">EFE_tratados_de_agua</t>
  </si>
  <si>
    <t xml:space="preserve">Tratados de Agua</t>
  </si>
  <si>
    <t xml:space="preserve">EFE_el_acuifero_como_embajada</t>
  </si>
  <si>
    <t xml:space="preserve">El Acuífero como Embajada</t>
  </si>
  <si>
    <t xml:space="preserve">EFE_la_potencia_hidrica</t>
  </si>
  <si>
    <t xml:space="preserve">La Potencia Hídrica</t>
  </si>
  <si>
    <t xml:space="preserve">Diplomacia del Agua -&gt; La Potencia Hídrica</t>
  </si>
  <si>
    <t xml:space="preserve">EFE_los_acueductos_del_continente</t>
  </si>
  <si>
    <t xml:space="preserve">Los Acueductos del Continente</t>
  </si>
  <si>
    <t xml:space="preserve">EFE_el_agua_de_la_vida</t>
  </si>
  <si>
    <t xml:space="preserve">El Agua de la Vida</t>
  </si>
  <si>
    <t xml:space="preserve">La Potencia Hídrica -&gt; El Agua de la Vida</t>
  </si>
  <si>
    <t xml:space="preserve">EFE_saturacion -10</t>
  </si>
  <si>
    <t xml:space="preserve">EFE_cubas_de_segunda_generacion</t>
  </si>
  <si>
    <t xml:space="preserve">Cubas de Segunda Generación</t>
  </si>
  <si>
    <t xml:space="preserve">EFE_biorrefinerias_de_rosario</t>
  </si>
  <si>
    <t xml:space="preserve">Las Biorrefinerías de Rosario</t>
  </si>
  <si>
    <t xml:space="preserve">EFE_polo_industrial_de_gaia</t>
  </si>
  <si>
    <t xml:space="preserve">El Polo Industrial de Gaia</t>
  </si>
  <si>
    <t xml:space="preserve">EFE_energia_de_biomasa</t>
  </si>
  <si>
    <t xml:space="preserve">Energía de Biomasa</t>
  </si>
  <si>
    <t xml:space="preserve">La Red Hídrica Guaraní</t>
  </si>
  <si>
    <t xml:space="preserve">EFE_astilleros_del_plata</t>
  </si>
  <si>
    <t xml:space="preserve">Los Astilleros del Plata</t>
  </si>
  <si>
    <t xml:space="preserve">EFE_laboratorio_de_gaia</t>
  </si>
  <si>
    <t xml:space="preserve">El Laboratorio de Gaia</t>
  </si>
  <si>
    <t xml:space="preserve">EFE_guardia_verde_movilizada</t>
  </si>
  <si>
    <t xml:space="preserve">La Guardia Verde Movilizada</t>
  </si>
  <si>
    <t xml:space="preserve">La Guardia Movilizada, quita Una Guardia Mal Equipada</t>
  </si>
  <si>
    <t xml:space="preserve">EFE_doctrina_del_condor</t>
  </si>
  <si>
    <t xml:space="preserve">La Doctrina del Cóndor</t>
  </si>
  <si>
    <t xml:space="preserve">EFE_legiones_de_iguazu</t>
  </si>
  <si>
    <t xml:space="preserve">Las Legiones de Iguazú</t>
  </si>
  <si>
    <t xml:space="preserve">EFE_entrenamiento_de_montana</t>
  </si>
  <si>
    <t xml:space="preserve">Montaña y Selva</t>
  </si>
  <si>
    <t xml:space="preserve">EFE_el_mariscal_etchegaray</t>
  </si>
  <si>
    <t xml:space="preserve">El Mariscal Etchegaray</t>
  </si>
  <si>
    <t xml:space="preserve">EFE_cultivar_la_armadura</t>
  </si>
  <si>
    <t xml:space="preserve">Armadura Viviente</t>
  </si>
  <si>
    <t xml:space="preserve">EFE_biosteel -3</t>
  </si>
  <si>
    <t xml:space="preserve">EFE_alas_del_condor</t>
  </si>
  <si>
    <t xml:space="preserve">Alas del Cóndor</t>
  </si>
  <si>
    <t xml:space="preserve">EFE_aerodromos_de_la_pampa</t>
  </si>
  <si>
    <t xml:space="preserve">Los Aeródromos de la Pampa</t>
  </si>
  <si>
    <t xml:space="preserve">EFE_cazas_de_bioacero</t>
  </si>
  <si>
    <t xml:space="preserve">Cazas de Bioacero</t>
  </si>
  <si>
    <t xml:space="preserve">EFE_biosteel -1</t>
  </si>
  <si>
    <t xml:space="preserve">EFE_bombardeo_de_precision</t>
  </si>
  <si>
    <t xml:space="preserve">Bombardeo de Precisión</t>
  </si>
  <si>
    <t xml:space="preserve">EFE_cielo_de_gaia</t>
  </si>
  <si>
    <t xml:space="preserve">El Cielo de Gaia</t>
  </si>
  <si>
    <t xml:space="preserve">EFE_flotilla_del_plata</t>
  </si>
  <si>
    <t xml:space="preserve">La Flotilla del Plata</t>
  </si>
  <si>
    <t xml:space="preserve">EFE_primera_cosecha</t>
  </si>
  <si>
    <t xml:space="preserve">La Primera Cosecha</t>
  </si>
  <si>
    <t xml:space="preserve">EFE_biosteel_umbral_1</t>
  </si>
  <si>
    <t xml:space="preserve">Carrera del Bioacero: Nivel 1</t>
  </si>
  <si>
    <t xml:space="preserve">Fundiciones de Bioacero</t>
  </si>
  <si>
    <t xml:space="preserve">EFE_cepa_endurecida</t>
  </si>
  <si>
    <t xml:space="preserve">La Cepa Endurecida</t>
  </si>
  <si>
    <t xml:space="preserve">EFE_biosteel_umbral_2</t>
  </si>
  <si>
    <t xml:space="preserve">Carrera del Bioacero: Nivel 2</t>
  </si>
  <si>
    <t xml:space="preserve">Fundiciones de Bioacero -&gt; Industria del Bioacero</t>
  </si>
  <si>
    <t xml:space="preserve">EFE_exportar_semillas</t>
  </si>
  <si>
    <t xml:space="preserve">Exportar las Semillas</t>
  </si>
  <si>
    <t xml:space="preserve">EFE_biosteel_umbral_3</t>
  </si>
  <si>
    <t xml:space="preserve">Carrera del Bioacero: Nivel 3</t>
  </si>
  <si>
    <t xml:space="preserve">Industria del Bioacero -&gt; Armadura Viviente</t>
  </si>
  <si>
    <t xml:space="preserve">EFE_el_metal_que_crece</t>
  </si>
  <si>
    <t xml:space="preserve">El Metal que Crece</t>
  </si>
  <si>
    <t xml:space="preserve">EFE_biosteel +5, EFE_saturacion +15</t>
  </si>
  <si>
    <t xml:space="preserve">EFE_rotar_los_cultivos</t>
  </si>
  <si>
    <t xml:space="preserve">Rotar los Cultivos</t>
  </si>
  <si>
    <t xml:space="preserve">Rotación de Cultivos</t>
  </si>
  <si>
    <t xml:space="preserve">EFE_saturacion -15</t>
  </si>
  <si>
    <t xml:space="preserve">EFE_laboratorios_del_micelio</t>
  </si>
  <si>
    <t xml:space="preserve">Laboratorios del Micelio</t>
  </si>
  <si>
    <t xml:space="preserve">EFE_cubas_de_contencion</t>
  </si>
  <si>
    <t xml:space="preserve">Cubas de Contención</t>
  </si>
  <si>
    <t xml:space="preserve">EFE_el_bioacero_domesticado</t>
  </si>
  <si>
    <t xml:space="preserve">El Bioacero Domesticado</t>
  </si>
  <si>
    <t xml:space="preserve">EFE_exportar_el_bioacero</t>
  </si>
  <si>
    <t xml:space="preserve">Exportar el Bioacero</t>
  </si>
  <si>
    <t xml:space="preserve">meganations_fcu.23 (le llega a FCU, no cuenta)</t>
  </si>
  <si>
    <t xml:space="preserve">EFE_la_selva_de_acero</t>
  </si>
  <si>
    <t xml:space="preserve">La Selva de Acero</t>
  </si>
  <si>
    <t xml:space="preserve">ASC_el_ano_del_plan</t>
  </si>
  <si>
    <t xml:space="preserve">El Año del Plan</t>
  </si>
  <si>
    <t xml:space="preserve">ASC_computo +5</t>
  </si>
  <si>
    <t xml:space="preserve">ASC_la_sesion_del_consejo</t>
  </si>
  <si>
    <t xml:space="preserve">El Consejo en Sesión</t>
  </si>
  <si>
    <t xml:space="preserve">ASC_el_sorteo_del_ano</t>
  </si>
  <si>
    <t xml:space="preserve">El Sorteo del Año</t>
  </si>
  <si>
    <t xml:space="preserve">meganations_asc.1</t>
  </si>
  <si>
    <t xml:space="preserve">ASC_el_silencio_del_consejo</t>
  </si>
  <si>
    <t xml:space="preserve">ASC_transparencia_del_plan</t>
  </si>
  <si>
    <t xml:space="preserve">Transparencia del Plan</t>
  </si>
  <si>
    <t xml:space="preserve">ASC_el_derecho_a_no_trabajar</t>
  </si>
  <si>
    <t xml:space="preserve">El Derecho a No Trabajar</t>
  </si>
  <si>
    <t xml:space="preserve">ASC_el_consejo_amplia_la_sala</t>
  </si>
  <si>
    <t xml:space="preserve">El Consejo Amplía la Sala</t>
  </si>
  <si>
    <t xml:space="preserve">El Consejo Ampliado</t>
  </si>
  <si>
    <t xml:space="preserve">ASC_la_paz_de_la_abundancia</t>
  </si>
  <si>
    <t xml:space="preserve">La Paz de la Abundancia</t>
  </si>
  <si>
    <t xml:space="preserve">ASC_la_liberacion_del_este</t>
  </si>
  <si>
    <t xml:space="preserve">La Liberación del Este</t>
  </si>
  <si>
    <t xml:space="preserve">ASC_la_comuna_de_los_humanos</t>
  </si>
  <si>
    <t xml:space="preserve">La Comuna de los Humanos</t>
  </si>
  <si>
    <t xml:space="preserve">Transparencia del Plan -&gt; La Comuna de los Humanos</t>
  </si>
  <si>
    <t xml:space="preserve">El Silencio del Consejo</t>
  </si>
  <si>
    <t xml:space="preserve">meganations_asc.2</t>
  </si>
  <si>
    <t xml:space="preserve">ASC_la_singularidad_del_plan</t>
  </si>
  <si>
    <t xml:space="preserve">La Singularidad del Plan</t>
  </si>
  <si>
    <t xml:space="preserve">ASC_computo +10</t>
  </si>
  <si>
    <t xml:space="preserve">ASC_optimizacion_total</t>
  </si>
  <si>
    <t xml:space="preserve">Optimización Total</t>
  </si>
  <si>
    <t xml:space="preserve">ASC_humanos_redundantes</t>
  </si>
  <si>
    <t xml:space="preserve">Humanos Redundantes</t>
  </si>
  <si>
    <t xml:space="preserve">ASC_ejercito_sin_bajas</t>
  </si>
  <si>
    <t xml:space="preserve">El Ejército sin Bajas</t>
  </si>
  <si>
    <t xml:space="preserve">meganations_apf.2 (le llega a APF, no cuenta)</t>
  </si>
  <si>
    <t xml:space="preserve">ASC_la_reserva_de_silicio</t>
  </si>
  <si>
    <t xml:space="preserve">La Reserva de Silicio</t>
  </si>
  <si>
    <t xml:space="preserve">ASC_el_plan_se_extiende</t>
  </si>
  <si>
    <t xml:space="preserve">El Plan se Extiende</t>
  </si>
  <si>
    <t xml:space="preserve">ASC_convergencia</t>
  </si>
  <si>
    <t xml:space="preserve">Convergencia</t>
  </si>
  <si>
    <t xml:space="preserve">ASC_computo +15</t>
  </si>
  <si>
    <t xml:space="preserve">ASC_asignar_africa</t>
  </si>
  <si>
    <t xml:space="preserve">Asignar África</t>
  </si>
  <si>
    <t xml:space="preserve">meganations_apf.1 (le llega a APF, no cuenta)</t>
  </si>
  <si>
    <t xml:space="preserve">ASC_la_asamblea_de_los_datos</t>
  </si>
  <si>
    <t xml:space="preserve">La Asamblea de los Datos</t>
  </si>
  <si>
    <t xml:space="preserve">ASC_el_plan_de_silicio</t>
  </si>
  <si>
    <t xml:space="preserve">El Plan de Silicio</t>
  </si>
  <si>
    <t xml:space="preserve">ASC_la_abundancia_armada</t>
  </si>
  <si>
    <t xml:space="preserve">La Abundancia Armada</t>
  </si>
  <si>
    <t xml:space="preserve">ASC_el_destino_de_la_comuna</t>
  </si>
  <si>
    <t xml:space="preserve">El Destino de la Comuna</t>
  </si>
  <si>
    <t xml:space="preserve">ASC_el_consejo_economico</t>
  </si>
  <si>
    <t xml:space="preserve">El Consejo Económico</t>
  </si>
  <si>
    <t xml:space="preserve">ASC_el_plan_total</t>
  </si>
  <si>
    <t xml:space="preserve">El Plan Total</t>
  </si>
  <si>
    <t xml:space="preserve">ASC_el_mercado_de_creditos_de_computo</t>
  </si>
  <si>
    <t xml:space="preserve">ASC_cuotas_quinquenales</t>
  </si>
  <si>
    <t xml:space="preserve">Cuotas Quinquenales</t>
  </si>
  <si>
    <t xml:space="preserve">ASC_asignacion_por_necesidad</t>
  </si>
  <si>
    <t xml:space="preserve">Asignación por Necesidad</t>
  </si>
  <si>
    <t xml:space="preserve">ASC_el_gran_calculo</t>
  </si>
  <si>
    <t xml:space="preserve">El Gran Cálculo</t>
  </si>
  <si>
    <t xml:space="preserve">ASC_la_economia_sin_precios</t>
  </si>
  <si>
    <t xml:space="preserve">La Economía sin Precios</t>
  </si>
  <si>
    <t xml:space="preserve">ASC_las_granjas_automaticas</t>
  </si>
  <si>
    <t xml:space="preserve">Las Granjas Automáticas</t>
  </si>
  <si>
    <t xml:space="preserve">ASC_el_plan_absoluto</t>
  </si>
  <si>
    <t xml:space="preserve">El Plan Absoluto</t>
  </si>
  <si>
    <t xml:space="preserve">El Plan Total -&gt; El Plan Absoluto</t>
  </si>
  <si>
    <t xml:space="preserve">El Mercado de Créditos de Cómputo</t>
  </si>
  <si>
    <t xml:space="preserve">ASC_bolsa_de_ciclos</t>
  </si>
  <si>
    <t xml:space="preserve">La Bolsa de Ciclos</t>
  </si>
  <si>
    <t xml:space="preserve">ASC_computo +3</t>
  </si>
  <si>
    <t xml:space="preserve">ASC_exportar_computo</t>
  </si>
  <si>
    <t xml:space="preserve">Exportar Cómputo</t>
  </si>
  <si>
    <t xml:space="preserve">ASC_la_nube_continental</t>
  </si>
  <si>
    <t xml:space="preserve">La Nube Continental</t>
  </si>
  <si>
    <t xml:space="preserve">ASC_computo +8</t>
  </si>
  <si>
    <t xml:space="preserve">ASC_la_economia_de_la_atencion</t>
  </si>
  <si>
    <t xml:space="preserve">La Economía de la Atención</t>
  </si>
  <si>
    <t xml:space="preserve">ASC_los_derivados_de_computo</t>
  </si>
  <si>
    <t xml:space="preserve">Los Derivados de Cómputo</t>
  </si>
  <si>
    <t xml:space="preserve">ASC_computo +10, ASC_calor +10</t>
  </si>
  <si>
    <t xml:space="preserve">ASC_el_mercado_total_de_datos</t>
  </si>
  <si>
    <t xml:space="preserve">El Mercado Total de Datos</t>
  </si>
  <si>
    <t xml:space="preserve">El Mercado de Créditos de Cómputo -&gt; El Mercado Total de Datos</t>
  </si>
  <si>
    <t xml:space="preserve">ASC_lineas_sin_operarios</t>
  </si>
  <si>
    <t xml:space="preserve">Líneas sin Operarios</t>
  </si>
  <si>
    <t xml:space="preserve">quita El Cuello de Botella del Consejo</t>
  </si>
  <si>
    <t xml:space="preserve">ASC_reciclaje_total</t>
  </si>
  <si>
    <t xml:space="preserve">Reciclaje Total</t>
  </si>
  <si>
    <t xml:space="preserve">ASC_el_ruhr_automatizado</t>
  </si>
  <si>
    <t xml:space="preserve">El Ruhr Automatizado</t>
  </si>
  <si>
    <t xml:space="preserve">ASC_robotica_de_ensamble</t>
  </si>
  <si>
    <t xml:space="preserve">Robótica de Ensamble</t>
  </si>
  <si>
    <t xml:space="preserve">Fábricas a Oscuras</t>
  </si>
  <si>
    <t xml:space="preserve">ASC_astilleros_del_baltico</t>
  </si>
  <si>
    <t xml:space="preserve">Los Astilleros del Báltico</t>
  </si>
  <si>
    <t xml:space="preserve">ASC_supercomputadora_de_planificacion</t>
  </si>
  <si>
    <t xml:space="preserve">La Supercomputadora de Planificación</t>
  </si>
  <si>
    <t xml:space="preserve">ASC_drones_de_infanteria</t>
  </si>
  <si>
    <t xml:space="preserve">Drones de Infantería</t>
  </si>
  <si>
    <t xml:space="preserve">quita Un Frente Agotado</t>
  </si>
  <si>
    <t xml:space="preserve">ASC_columnas_autonomas</t>
  </si>
  <si>
    <t xml:space="preserve">Columnas Autónomas</t>
  </si>
  <si>
    <t xml:space="preserve">ASC_mando_por_red</t>
  </si>
  <si>
    <t xml:space="preserve">Mando por Red</t>
  </si>
  <si>
    <t xml:space="preserve">ASC_mantenimiento_predictivo</t>
  </si>
  <si>
    <t xml:space="preserve">Mantenimiento Predictivo</t>
  </si>
  <si>
    <t xml:space="preserve">ASC_blindados_sin_tripulacion</t>
  </si>
  <si>
    <t xml:space="preserve">Blindados sin Tripulación</t>
  </si>
  <si>
    <t xml:space="preserve">ASC_doctrina_del_enjambre</t>
  </si>
  <si>
    <t xml:space="preserve">La Doctrina del Enjambre</t>
  </si>
  <si>
    <t xml:space="preserve">ASC_submarinos_autonomos</t>
  </si>
  <si>
    <t xml:space="preserve">Submarinos Autónomos</t>
  </si>
  <si>
    <t xml:space="preserve">ASC_patrulla_del_baltico</t>
  </si>
  <si>
    <t xml:space="preserve">La Patrulla del Báltico</t>
  </si>
  <si>
    <t xml:space="preserve">ASC_enjambres_aereos</t>
  </si>
  <si>
    <t xml:space="preserve">Enjambres Aéreos</t>
  </si>
  <si>
    <t xml:space="preserve">ASC_portadrones</t>
  </si>
  <si>
    <t xml:space="preserve">Portadrones</t>
  </si>
  <si>
    <t xml:space="preserve">ASC_control_del_mar_del_norte</t>
  </si>
  <si>
    <t xml:space="preserve">Control del Mar del Norte</t>
  </si>
  <si>
    <t xml:space="preserve">La Flota del Norte</t>
  </si>
  <si>
    <t xml:space="preserve">ASC_radar_continental</t>
  </si>
  <si>
    <t xml:space="preserve">El Radar Continental</t>
  </si>
  <si>
    <t xml:space="preserve">ASC_datacenter_de_brandeburgo</t>
  </si>
  <si>
    <t xml:space="preserve">El Datacenter de Brandeburgo</t>
  </si>
  <si>
    <t xml:space="preserve">ASC_enfriamiento_del_rin</t>
  </si>
  <si>
    <t xml:space="preserve">Enfriamiento del Rin</t>
  </si>
  <si>
    <t xml:space="preserve">quita Una Red Sobrecargada</t>
  </si>
  <si>
    <t xml:space="preserve">ASC_red_de_fibra_baltica</t>
  </si>
  <si>
    <t xml:space="preserve">La Red de Fibra Báltica</t>
  </si>
  <si>
    <t xml:space="preserve">ASC_datacenters_de_albion</t>
  </si>
  <si>
    <t xml:space="preserve">Los Datacenters de Albión</t>
  </si>
  <si>
    <t xml:space="preserve">ASC_algoritmos_de_reparto</t>
  </si>
  <si>
    <t xml:space="preserve">Algoritmos de Reparto</t>
  </si>
  <si>
    <t xml:space="preserve">ASC_reserva_de_computo</t>
  </si>
  <si>
    <t xml:space="preserve">La Reserva de Cómputo</t>
  </si>
  <si>
    <t xml:space="preserve">ASC_sobrecarga_controlada</t>
  </si>
  <si>
    <t xml:space="preserve">Sobrecarga Controlada</t>
  </si>
  <si>
    <t xml:space="preserve">ASC_la_mente_de_la_comuna</t>
  </si>
  <si>
    <t xml:space="preserve">La Mente de la Comuna</t>
  </si>
  <si>
    <t xml:space="preserve">ASC_computo +20</t>
  </si>
  <si>
    <t xml:space="preserve">ASC_torres_de_enfriamiento</t>
  </si>
  <si>
    <t xml:space="preserve">Torres de Enfriamiento</t>
  </si>
  <si>
    <t xml:space="preserve">ASC_calor -20</t>
  </si>
  <si>
    <t xml:space="preserve">ASC_el_computo_distribuido</t>
  </si>
  <si>
    <t xml:space="preserve">El Cómputo Distribuido</t>
  </si>
  <si>
    <t xml:space="preserve">ASC_datacenters_submarinos</t>
  </si>
  <si>
    <t xml:space="preserve">Centros de Datos Submarinos</t>
  </si>
  <si>
    <t xml:space="preserve">ASC_computo +10, ASC_calor -10</t>
  </si>
  <si>
    <t xml:space="preserve">ASC_la_red_fria</t>
  </si>
  <si>
    <t xml:space="preserve">La Red Fría</t>
  </si>
  <si>
    <t xml:space="preserve">ASC_computo_para_la_tierra</t>
  </si>
  <si>
    <t xml:space="preserve">Cómputo para la Tierra</t>
  </si>
  <si>
    <t xml:space="preserve">meganations_efe.23 (le llega a EFE, no cuenta)</t>
  </si>
  <si>
    <t xml:space="preserve">ASC_la_mente_colectiva</t>
  </si>
  <si>
    <t xml:space="preserve">La Mente Colectiva</t>
  </si>
  <si>
    <t xml:space="preserve">FCU_ano_fiscal</t>
  </si>
  <si>
    <t xml:space="preserve">El Año Fiscal 2100</t>
  </si>
  <si>
    <t xml:space="preserve">FCU_junta_anual</t>
  </si>
  <si>
    <t xml:space="preserve">La Junta Anual de Accionistas</t>
  </si>
  <si>
    <t xml:space="preserve">FCU_segundo_mandato</t>
  </si>
  <si>
    <t xml:space="preserve">El Segundo Mandato de Castellane</t>
  </si>
  <si>
    <t xml:space="preserve">quita Accionistas Nerviosos</t>
  </si>
  <si>
    <t xml:space="preserve">FCU_junta_de_emergencia</t>
  </si>
  <si>
    <t xml:space="preserve">FCU_reparto_de_carteras</t>
  </si>
  <si>
    <t xml:space="preserve">El Reparto de Carteras</t>
  </si>
  <si>
    <t xml:space="preserve">Carteras Repartidas</t>
  </si>
  <si>
    <t xml:space="preserve">FCU_comida_para_todos</t>
  </si>
  <si>
    <t xml:space="preserve">Halvorsen-Ito: Comida para Todos</t>
  </si>
  <si>
    <t xml:space="preserve">FCU_halvorsen +10</t>
  </si>
  <si>
    <t xml:space="preserve">FCU_el_libro_mayor</t>
  </si>
  <si>
    <t xml:space="preserve">Obsidian Ledger: El Libro Mayor</t>
  </si>
  <si>
    <t xml:space="preserve">FCU_obsidian +10</t>
  </si>
  <si>
    <t xml:space="preserve">FCU_contratos_de_defensa</t>
  </si>
  <si>
    <t xml:space="preserve">Meridian Kinetics: Contratos de Defensa</t>
  </si>
  <si>
    <t xml:space="preserve">FCU_meridian +10</t>
  </si>
  <si>
    <t xml:space="preserve">FCU_grifos_de_la_union</t>
  </si>
  <si>
    <t xml:space="preserve">Castellane: Los Grifos de la Unión</t>
  </si>
  <si>
    <t xml:space="preserve">FCU_castellane +10</t>
  </si>
  <si>
    <t xml:space="preserve">FCU_la_mesa_redonda</t>
  </si>
  <si>
    <t xml:space="preserve">La Mesa Redonda</t>
  </si>
  <si>
    <t xml:space="preserve">FCU_grifos_cerrados_al_sur</t>
  </si>
  <si>
    <t xml:space="preserve">Cerrar los Grifos del Sur</t>
  </si>
  <si>
    <t xml:space="preserve">FCU_castellane +5</t>
  </si>
  <si>
    <t xml:space="preserve">meganations_efe.6 (le llega a EFE, no cuenta)</t>
  </si>
  <si>
    <t xml:space="preserve">FCU_adquisicion_del_sur</t>
  </si>
  <si>
    <t xml:space="preserve">La Adquisición del Sur</t>
  </si>
  <si>
    <t xml:space="preserve">meganations_efe.5 (le llega a EFE, no cuenta), meganations_hsn.1 (le llega a HSN, no cuenta)</t>
  </si>
  <si>
    <t xml:space="preserve">Junta de Accionistas de Emergencia</t>
  </si>
  <si>
    <t xml:space="preserve">quita Sinergia del Directorio, quita Accionistas Nerviosos</t>
  </si>
  <si>
    <t xml:space="preserve">Turbulencia Bursátil (90 días)</t>
  </si>
  <si>
    <t xml:space="preserve">meganations_fcu.1</t>
  </si>
  <si>
    <t xml:space="preserve">FCU_absorber_a_halvorsen</t>
  </si>
  <si>
    <t xml:space="preserve">Meridian Absorbe a Halvorsen-Ito</t>
  </si>
  <si>
    <t xml:space="preserve">Raciones Meridian</t>
  </si>
  <si>
    <t xml:space="preserve">FCU_meridian +15</t>
  </si>
  <si>
    <t xml:space="preserve">FCU_liquidar_obsidian</t>
  </si>
  <si>
    <t xml:space="preserve">Obsidian Liquidada</t>
  </si>
  <si>
    <t xml:space="preserve">FCU_castellane_firma</t>
  </si>
  <si>
    <t xml:space="preserve">Castellane Firma</t>
  </si>
  <si>
    <t xml:space="preserve">El Directorio de las Cuatro -&gt; Una Sola Compañía</t>
  </si>
  <si>
    <t xml:space="preserve">FCU_el_dividendo_de_guerra</t>
  </si>
  <si>
    <t xml:space="preserve">El Dividendo de Guerra</t>
  </si>
  <si>
    <t xml:space="preserve">meganations_fcu.3</t>
  </si>
  <si>
    <t xml:space="preserve">FCU_los_contratistas_globales</t>
  </si>
  <si>
    <t xml:space="preserve">Contratistas Globales</t>
  </si>
  <si>
    <t xml:space="preserve">FCU_adquirir_la_alta_mar</t>
  </si>
  <si>
    <t xml:space="preserve">Adquirir la Alta Mar</t>
  </si>
  <si>
    <t xml:space="preserve">meganations_hsn.2 (le llega a HSN, no cuenta)</t>
  </si>
  <si>
    <t xml:space="preserve">FCU_la_asamblea_de_accionistas</t>
  </si>
  <si>
    <t xml:space="preserve">La Asamblea de Accionistas</t>
  </si>
  <si>
    <t xml:space="preserve">FCU_la_constitucion_corporativa</t>
  </si>
  <si>
    <t xml:space="preserve">La Constitución Corporativa</t>
  </si>
  <si>
    <t xml:space="preserve">FCU_el_dividendo_de_la_nacion</t>
  </si>
  <si>
    <t xml:space="preserve">El Dividendo de la Nación</t>
  </si>
  <si>
    <t xml:space="preserve">FCU_el_destino_manifiesto</t>
  </si>
  <si>
    <t xml:space="preserve">El Destino Manifiesto</t>
  </si>
  <si>
    <t xml:space="preserve">FCU_consejo_economico</t>
  </si>
  <si>
    <t xml:space="preserve">FCU_el_dividendo</t>
  </si>
  <si>
    <t xml:space="preserve">El Dividendo</t>
  </si>
  <si>
    <t xml:space="preserve">El Dividendo Civil</t>
  </si>
  <si>
    <t xml:space="preserve">FCU_halvorsen +5</t>
  </si>
  <si>
    <t xml:space="preserve">FCU_monopolio_del_agua</t>
  </si>
  <si>
    <t xml:space="preserve">FCU_zonas_francas</t>
  </si>
  <si>
    <t xml:space="preserve">Zonas Francas</t>
  </si>
  <si>
    <t xml:space="preserve">FCU_consumo_de_masas</t>
  </si>
  <si>
    <t xml:space="preserve">Consumo de Masas</t>
  </si>
  <si>
    <t xml:space="preserve">FCU_abrir_la_exportacion</t>
  </si>
  <si>
    <t xml:space="preserve">El Mercado de Exportación</t>
  </si>
  <si>
    <t xml:space="preserve">FCU_obsidian +5</t>
  </si>
  <si>
    <t xml:space="preserve">FCU_hacia_la_abundancia</t>
  </si>
  <si>
    <t xml:space="preserve">La Economía de la Abundancia</t>
  </si>
  <si>
    <t xml:space="preserve">El Dividendo Civil -&gt; La Economía de la Abundancia</t>
  </si>
  <si>
    <t xml:space="preserve">FCU_la_clase_accionista</t>
  </si>
  <si>
    <t xml:space="preserve">La Clase Accionista</t>
  </si>
  <si>
    <t xml:space="preserve">FCU_el_sueno_corporativo</t>
  </si>
  <si>
    <t xml:space="preserve">El Sueño Corporativo</t>
  </si>
  <si>
    <t xml:space="preserve">La Economía de la Abundancia -&gt; El Sueño Corporativo</t>
  </si>
  <si>
    <t xml:space="preserve">El Monopolio del Agua</t>
  </si>
  <si>
    <t xml:space="preserve">FCU_desalinizadoras_del_golfo</t>
  </si>
  <si>
    <t xml:space="preserve">Las Desalinizadoras del Golfo</t>
  </si>
  <si>
    <t xml:space="preserve">FCU_grifos_cerrados</t>
  </si>
  <si>
    <t xml:space="preserve">Grifos Cerrados</t>
  </si>
  <si>
    <t xml:space="preserve">FCU_el_agua_es_poder</t>
  </si>
  <si>
    <t xml:space="preserve">El Agua es Poder</t>
  </si>
  <si>
    <t xml:space="preserve">FCU_el_imperio_del_agua</t>
  </si>
  <si>
    <t xml:space="preserve">El Imperio del Agua</t>
  </si>
  <si>
    <t xml:space="preserve">El Monopolio del Agua -&gt; El Imperio del Agua</t>
  </si>
  <si>
    <t xml:space="preserve">FCU_las_acciones_del_rio</t>
  </si>
  <si>
    <t xml:space="preserve">Las Acciones del Río</t>
  </si>
  <si>
    <t xml:space="preserve">FCU_el_cartel_del_agua</t>
  </si>
  <si>
    <t xml:space="preserve">El Cártel del Agua</t>
  </si>
  <si>
    <t xml:space="preserve">El Imperio del Agua -&gt; El Cártel del Agua</t>
  </si>
  <si>
    <t xml:space="preserve">FCU_zonas_industriales</t>
  </si>
  <si>
    <t xml:space="preserve">Zonas Industriales</t>
  </si>
  <si>
    <t xml:space="preserve">quita Infraestructura Oxidada</t>
  </si>
  <si>
    <t xml:space="preserve">FCU_parque_de_pittsburgh</t>
  </si>
  <si>
    <t xml:space="preserve">El Parque de Pittsburgh</t>
  </si>
  <si>
    <t xml:space="preserve">FCU_meridian +5</t>
  </si>
  <si>
    <t xml:space="preserve">FCU_robotica_meridian</t>
  </si>
  <si>
    <t xml:space="preserve">Robótica Meridian</t>
  </si>
  <si>
    <t xml:space="preserve">Robótica Industrial</t>
  </si>
  <si>
    <t xml:space="preserve">FCU_logistica_obsidian</t>
  </si>
  <si>
    <t xml:space="preserve">Logística Obsidian</t>
  </si>
  <si>
    <t xml:space="preserve">FCU_astilleros_de_los_lagos</t>
  </si>
  <si>
    <t xml:space="preserve">Los Astilleros de los Lagos</t>
  </si>
  <si>
    <t xml:space="preserve">FCU_laboratorios_privados</t>
  </si>
  <si>
    <t xml:space="preserve">Laboratorios Privados</t>
  </si>
  <si>
    <t xml:space="preserve">FCU_fuerza_contratada</t>
  </si>
  <si>
    <t xml:space="preserve">La Fuerza Contratada</t>
  </si>
  <si>
    <t xml:space="preserve">FCU_el_entrenamiento_corporativo</t>
  </si>
  <si>
    <t xml:space="preserve">Entrenamiento Corporativo</t>
  </si>
  <si>
    <t xml:space="preserve">Entrenamiento Corporativo, quita Un Ejército de Contratistas</t>
  </si>
  <si>
    <t xml:space="preserve">FCU_equipo_de_primera</t>
  </si>
  <si>
    <t xml:space="preserve">Equipo de Primera</t>
  </si>
  <si>
    <t xml:space="preserve">FCU_seguro_de_vida</t>
  </si>
  <si>
    <t xml:space="preserve">Seguro de Vida</t>
  </si>
  <si>
    <t xml:space="preserve">FCU_divisiones_de_respuesta</t>
  </si>
  <si>
    <t xml:space="preserve">Divisiones de Respuesta Rápida</t>
  </si>
  <si>
    <t xml:space="preserve">FCU_el_comandante_contratado</t>
  </si>
  <si>
    <t xml:space="preserve">El Comandante Contratado</t>
  </si>
  <si>
    <t xml:space="preserve">FCU_flota_del_atlantico</t>
  </si>
  <si>
    <t xml:space="preserve">La Flota del Atlántico</t>
  </si>
  <si>
    <t xml:space="preserve">FCU_flota_del_pacifico</t>
  </si>
  <si>
    <t xml:space="preserve">La Flota del Pacífico</t>
  </si>
  <si>
    <t xml:space="preserve">FCU_escoltas_de_convoy</t>
  </si>
  <si>
    <t xml:space="preserve">Escoltas de Convoy</t>
  </si>
  <si>
    <t xml:space="preserve">FCU_superioridad_aerea</t>
  </si>
  <si>
    <t xml:space="preserve">Superioridad Aérea</t>
  </si>
  <si>
    <t xml:space="preserve">FCU_portaaviones_corporativos</t>
  </si>
  <si>
    <t xml:space="preserve">Portaaviones Corporativos</t>
  </si>
  <si>
    <t xml:space="preserve">FCU_el_canal_asegurado</t>
  </si>
  <si>
    <t xml:space="preserve">El Canal Asegurado</t>
  </si>
  <si>
    <t xml:space="preserve">Dos Océanos</t>
  </si>
  <si>
    <t xml:space="preserve">FCU_el_tablero</t>
  </si>
  <si>
    <t xml:space="preserve">La Sala del Directorio</t>
  </si>
  <si>
    <t xml:space="preserve">FCU_arbitraje</t>
  </si>
  <si>
    <t xml:space="preserve">Arbitraje Corporativo</t>
  </si>
  <si>
    <t xml:space="preserve">FCU_presupuesto_civil</t>
  </si>
  <si>
    <t xml:space="preserve">El Presupuesto Civil</t>
  </si>
  <si>
    <t xml:space="preserve">FCU_castellane +5, FCU_halvorsen +5, FCU_meridian -5</t>
  </si>
  <si>
    <t xml:space="preserve">FCU_presupuesto_militar</t>
  </si>
  <si>
    <t xml:space="preserve">El Presupuesto Militar</t>
  </si>
  <si>
    <t xml:space="preserve">FCU_meridian +10, FCU_obsidian -5</t>
  </si>
  <si>
    <t xml:space="preserve">FCU_bonos_del_directorio</t>
  </si>
  <si>
    <t xml:space="preserve">Bonos del Directorio</t>
  </si>
  <si>
    <t xml:space="preserve">FCU_el_punto_de_equilibrio</t>
  </si>
  <si>
    <t xml:space="preserve">El Punto de Equilibrio</t>
  </si>
  <si>
    <t xml:space="preserve">FCU_oficina_de_cumplimiento</t>
  </si>
  <si>
    <t xml:space="preserve">Oficina de Cumplimiento</t>
  </si>
  <si>
    <t xml:space="preserve">FCU_escandalo -20</t>
  </si>
  <si>
    <t xml:space="preserve">FCU_la_prensa_amiga</t>
  </si>
  <si>
    <t xml:space="preserve">La Prensa Amiga</t>
  </si>
  <si>
    <t xml:space="preserve">FCU_el_fondo_de_estabilizacion</t>
  </si>
  <si>
    <t xml:space="preserve">El Fondo de Estabilización</t>
  </si>
  <si>
    <t xml:space="preserve">FCU_la_junta_de_accionistas</t>
  </si>
  <si>
    <t xml:space="preserve">La Junta de Accionistas</t>
  </si>
  <si>
    <t xml:space="preserve">FCU_el_contrato_del_siglo</t>
  </si>
  <si>
    <t xml:space="preserve">El Contrato del Siglo</t>
  </si>
  <si>
    <t xml:space="preserve">FCU_escandalo +15</t>
  </si>
  <si>
    <t xml:space="preserve">FCU_la_union_de_accionistas</t>
  </si>
  <si>
    <t xml:space="preserve">La Unión de Accionistas</t>
  </si>
  <si>
    <t xml:space="preserve">HSN_el_libro_de_fletes_2100</t>
  </si>
  <si>
    <t xml:space="preserve">El Libro de Fletes de 2100</t>
  </si>
  <si>
    <t xml:space="preserve">HSN_recalcular_nodos (depende del mapa)</t>
  </si>
  <si>
    <t xml:space="preserve">HSN_la_junta_de_capitanes</t>
  </si>
  <si>
    <t xml:space="preserve">La Junta de Capitanes</t>
  </si>
  <si>
    <t xml:space="preserve">quita Capitanes Rivales</t>
  </si>
  <si>
    <t xml:space="preserve">HSN_el_libro_de_fletes</t>
  </si>
  <si>
    <t xml:space="preserve">El Libro de Fletes</t>
  </si>
  <si>
    <t xml:space="preserve">HSN_el_motin_de_kanto</t>
  </si>
  <si>
    <t xml:space="preserve">HSN_neutralidad_armada</t>
  </si>
  <si>
    <t xml:space="preserve">Neutralidad Armada</t>
  </si>
  <si>
    <t xml:space="preserve">HSN_seguros_maritimos</t>
  </si>
  <si>
    <t xml:space="preserve">Seguros Marítimos</t>
  </si>
  <si>
    <t xml:space="preserve">HSN_arbitraje_de_alta_mar</t>
  </si>
  <si>
    <t xml:space="preserve">El Arbitraje de Alta Mar</t>
  </si>
  <si>
    <t xml:space="preserve">HSN_puertos_francos_del_pacifico</t>
  </si>
  <si>
    <t xml:space="preserve">Los Puertos Francos del Pacífico</t>
  </si>
  <si>
    <t xml:space="preserve">HSN_el_tratado_de_los_estrechos</t>
  </si>
  <si>
    <t xml:space="preserve">El Tratado de los Estrechos</t>
  </si>
  <si>
    <t xml:space="preserve">HSN_bloqueo_legal</t>
  </si>
  <si>
    <t xml:space="preserve">El Bloqueo Legal</t>
  </si>
  <si>
    <t xml:space="preserve">meganations_fcu.8 (le llega a FCU, no cuenta)</t>
  </si>
  <si>
    <t xml:space="preserve">El Motín de Kanto</t>
  </si>
  <si>
    <t xml:space="preserve">meganations_hsn.6</t>
  </si>
  <si>
    <t xml:space="preserve">HSN_capitanes_electos</t>
  </si>
  <si>
    <t xml:space="preserve">Capitanes Electos</t>
  </si>
  <si>
    <t xml:space="preserve">HSN_patentes_de_corso</t>
  </si>
  <si>
    <t xml:space="preserve">Patentes de Corso</t>
  </si>
  <si>
    <t xml:space="preserve">HSN_botin_compartido</t>
  </si>
  <si>
    <t xml:space="preserve">Botín Compartido</t>
  </si>
  <si>
    <t xml:space="preserve">HSN_botin +10</t>
  </si>
  <si>
    <t xml:space="preserve">HSN_la_flota_libre</t>
  </si>
  <si>
    <t xml:space="preserve">La Flota Libre</t>
  </si>
  <si>
    <t xml:space="preserve">HSN_la_hermandad_de_la_cubierta</t>
  </si>
  <si>
    <t xml:space="preserve">La Hermandad de la Cubierta</t>
  </si>
  <si>
    <t xml:space="preserve">HSN_abordaje_del_mundo</t>
  </si>
  <si>
    <t xml:space="preserve">Abordaje del Mundo</t>
  </si>
  <si>
    <t xml:space="preserve">HSN_el_almirantazgo_mercante</t>
  </si>
  <si>
    <t xml:space="preserve">El Almirantazgo Mercante</t>
  </si>
  <si>
    <t xml:space="preserve">HSN_la_carta_de_los_puertos</t>
  </si>
  <si>
    <t xml:space="preserve">La Carta de los Puertos</t>
  </si>
  <si>
    <t xml:space="preserve">HSN_la_ley_del_mar</t>
  </si>
  <si>
    <t xml:space="preserve">La Ley del Mar</t>
  </si>
  <si>
    <t xml:space="preserve">HSN_el_destino_de_los_mares</t>
  </si>
  <si>
    <t xml:space="preserve">El Destino de los Mares</t>
  </si>
  <si>
    <t xml:space="preserve">HSN_el_consejo_mercantil</t>
  </si>
  <si>
    <t xml:space="preserve">El Consejo Mercantil</t>
  </si>
  <si>
    <t xml:space="preserve">HSN_el_puerto_libre</t>
  </si>
  <si>
    <t xml:space="preserve">El Puerto Libre</t>
  </si>
  <si>
    <t xml:space="preserve">HSN_el_peaje_de_los_estrechos</t>
  </si>
  <si>
    <t xml:space="preserve">HSN_zonas_de_transbordo</t>
  </si>
  <si>
    <t xml:space="preserve">Zonas de Transbordo</t>
  </si>
  <si>
    <t xml:space="preserve">HSN_la_bolsa_de_fletes</t>
  </si>
  <si>
    <t xml:space="preserve">La Bolsa de Fletes</t>
  </si>
  <si>
    <t xml:space="preserve">HSN_el_mercado_del_pacifico</t>
  </si>
  <si>
    <t xml:space="preserve">El Mercado del Pacífico</t>
  </si>
  <si>
    <t xml:space="preserve">HSN_el_puerto_de_los_mil_barcos</t>
  </si>
  <si>
    <t xml:space="preserve">El Puerto de los Mil Barcos</t>
  </si>
  <si>
    <t xml:space="preserve">HSN_la_bolsa_del_mundo</t>
  </si>
  <si>
    <t xml:space="preserve">La Bolsa del Mundo</t>
  </si>
  <si>
    <t xml:space="preserve">El Puerto Libre -&gt; La Bolsa del Mundo</t>
  </si>
  <si>
    <t xml:space="preserve">El Peaje de los Estrechos</t>
  </si>
  <si>
    <t xml:space="preserve">HSN_aduanas_flotantes</t>
  </si>
  <si>
    <t xml:space="preserve">Aduanas Flotantes</t>
  </si>
  <si>
    <t xml:space="preserve">HSN_el_arancel_de_guerra</t>
  </si>
  <si>
    <t xml:space="preserve">El Arancel de Guerra</t>
  </si>
  <si>
    <t xml:space="preserve">HSN_los_estrechos_cerrados</t>
  </si>
  <si>
    <t xml:space="preserve">Los Estrechos Cerrados</t>
  </si>
  <si>
    <t xml:space="preserve">HSN_la_flota_aduanera</t>
  </si>
  <si>
    <t xml:space="preserve">La Flota Aduanera</t>
  </si>
  <si>
    <t xml:space="preserve">HSN_el_imperio_del_peaje</t>
  </si>
  <si>
    <t xml:space="preserve">El Imperio del Peaje</t>
  </si>
  <si>
    <t xml:space="preserve">El Peaje de los Estrechos -&gt; El Imperio del Peaje</t>
  </si>
  <si>
    <t xml:space="preserve">HSN_astilleros_flotantes</t>
  </si>
  <si>
    <t xml:space="preserve">Astilleros Flotantes</t>
  </si>
  <si>
    <t xml:space="preserve">quita Una Flota Envejecida</t>
  </si>
  <si>
    <t xml:space="preserve">HSN_diques_de_kanto</t>
  </si>
  <si>
    <t xml:space="preserve">Los Diques de Kanto</t>
  </si>
  <si>
    <t xml:space="preserve">HSN_refinerias_de_borneo</t>
  </si>
  <si>
    <t xml:space="preserve">Las Refinerías de Borneo</t>
  </si>
  <si>
    <t xml:space="preserve">HSN_puertos_de_aguas_profundas</t>
  </si>
  <si>
    <t xml:space="preserve">Puertos de Aguas Profundas</t>
  </si>
  <si>
    <t xml:space="preserve">HSN_ciudades_flotantes</t>
  </si>
  <si>
    <t xml:space="preserve">Ciudades Flotantes</t>
  </si>
  <si>
    <t xml:space="preserve">HSN_la_oficina_de_patentes_navales</t>
  </si>
  <si>
    <t xml:space="preserve">La Oficina de Patentes Navales</t>
  </si>
  <si>
    <t xml:space="preserve">HSN_marines_de_alta_mar</t>
  </si>
  <si>
    <t xml:space="preserve">Marines de Alta Mar</t>
  </si>
  <si>
    <t xml:space="preserve">HSN_doctrina_de_desembarco</t>
  </si>
  <si>
    <t xml:space="preserve">Doctrina de Desembarco</t>
  </si>
  <si>
    <t xml:space="preserve">HSN_asalto_anfibio</t>
  </si>
  <si>
    <t xml:space="preserve">Asalto Anfibio</t>
  </si>
  <si>
    <t xml:space="preserve">HSN_guarniciones_de_isla</t>
  </si>
  <si>
    <t xml:space="preserve">Guarniciones de Isla</t>
  </si>
  <si>
    <t xml:space="preserve">HSN_fuerzas_de_muelle</t>
  </si>
  <si>
    <t xml:space="preserve">Fuerzas de Muelle</t>
  </si>
  <si>
    <t xml:space="preserve">Infantería de Cubierta</t>
  </si>
  <si>
    <t xml:space="preserve">HSN_el_almirante_de_tierra</t>
  </si>
  <si>
    <t xml:space="preserve">El Almirante de Tierra</t>
  </si>
  <si>
    <t xml:space="preserve">HSN_escoltas_de_convoy</t>
  </si>
  <si>
    <t xml:space="preserve">HSN_aviacion_naval</t>
  </si>
  <si>
    <t xml:space="preserve">Aviación Naval</t>
  </si>
  <si>
    <t xml:space="preserve">HSN_cazadores_de_submarinos</t>
  </si>
  <si>
    <t xml:space="preserve">Cazadores de Submarinos</t>
  </si>
  <si>
    <t xml:space="preserve">HSN_grupos_de_portaaviones</t>
  </si>
  <si>
    <t xml:space="preserve">Grupos de Portaaviones</t>
  </si>
  <si>
    <t xml:space="preserve">HSN_la_armada_de_alta_mar</t>
  </si>
  <si>
    <t xml:space="preserve">La Armada de Alta Mar</t>
  </si>
  <si>
    <t xml:space="preserve">HSN_dominio_de_las_rutas</t>
  </si>
  <si>
    <t xml:space="preserve">Dominio de las Rutas</t>
  </si>
  <si>
    <t xml:space="preserve">HSN_malaca</t>
  </si>
  <si>
    <t xml:space="preserve">Nodo: Malaca</t>
  </si>
  <si>
    <t xml:space="preserve">HSN_recalcular_nodos (depende del mapa), HSN_presion -5</t>
  </si>
  <si>
    <t xml:space="preserve">HSN_nodo_sunda</t>
  </si>
  <si>
    <t xml:space="preserve">Nodo: Sunda</t>
  </si>
  <si>
    <t xml:space="preserve">HSN_nodo_manila</t>
  </si>
  <si>
    <t xml:space="preserve">Nodo: Manila</t>
  </si>
  <si>
    <t xml:space="preserve">HSN_nodo_taiwan</t>
  </si>
  <si>
    <t xml:space="preserve">Nodo: Taiwán</t>
  </si>
  <si>
    <t xml:space="preserve">HSN_nodo_hong_kong</t>
  </si>
  <si>
    <t xml:space="preserve">Nodo: Hong Kong</t>
  </si>
  <si>
    <t xml:space="preserve">HSN_nodo_okinawa</t>
  </si>
  <si>
    <t xml:space="preserve">Nodo: Okinawa</t>
  </si>
  <si>
    <t xml:space="preserve">HSN_la_red_de_alta_mar</t>
  </si>
  <si>
    <t xml:space="preserve">La Red de Alta Mar</t>
  </si>
  <si>
    <t xml:space="preserve">HSN_consulados_navales</t>
  </si>
  <si>
    <t xml:space="preserve">Consulados Navales</t>
  </si>
  <si>
    <t xml:space="preserve">HSN_presion -15</t>
  </si>
  <si>
    <t xml:space="preserve">HSN_seguros_para_las_potencias</t>
  </si>
  <si>
    <t xml:space="preserve">Seguros para las Potencias</t>
  </si>
  <si>
    <t xml:space="preserve">HSN_la_flota_de_escolta</t>
  </si>
  <si>
    <t xml:space="preserve">La Flota de Escolta</t>
  </si>
  <si>
    <t xml:space="preserve">HSN_el_tratado_de_libre_paso</t>
  </si>
  <si>
    <t xml:space="preserve">El Tratado de Libre Paso</t>
  </si>
  <si>
    <t xml:space="preserve">Libre Paso</t>
  </si>
  <si>
    <t xml:space="preserve">HSN_presion -20</t>
  </si>
  <si>
    <t xml:space="preserve">HSN_el_arbitro_de_los_mares</t>
  </si>
  <si>
    <t xml:space="preserve">El Árbitro de los Mares</t>
  </si>
  <si>
    <t xml:space="preserve">meganations_fcu.24 (le llega a FCU, no cuenta)</t>
  </si>
  <si>
    <t xml:space="preserve">HSN_la_talasocracia</t>
  </si>
  <si>
    <t xml:space="preserve">La Talasocracia</t>
  </si>
  <si>
    <t xml:space="preserve">NAS_el_sol_de_2100</t>
  </si>
  <si>
    <t xml:space="preserve">El Sol de 2100</t>
  </si>
  <si>
    <t xml:space="preserve">NAS_el_consejo_de_cusco</t>
  </si>
  <si>
    <t xml:space="preserve">El Consejo de Cusco</t>
  </si>
  <si>
    <t xml:space="preserve">NAS_la_coronacion_renovada</t>
  </si>
  <si>
    <t xml:space="preserve">La Coronación Renovada</t>
  </si>
  <si>
    <t xml:space="preserve">NAS_el_inca_rompe_el_silencio</t>
  </si>
  <si>
    <t xml:space="preserve">NAS_los_sacerdotes_del_sol</t>
  </si>
  <si>
    <t xml:space="preserve">Los Sacerdotes del Sol</t>
  </si>
  <si>
    <t xml:space="preserve">NAS_fortalezas_de_la_puna</t>
  </si>
  <si>
    <t xml:space="preserve">Fortalezas de la Puna</t>
  </si>
  <si>
    <t xml:space="preserve">NAS_nueva_granada_leal</t>
  </si>
  <si>
    <t xml:space="preserve">Nueva Granada Leal</t>
  </si>
  <si>
    <t xml:space="preserve">NAS_los_llanos_tributarios</t>
  </si>
  <si>
    <t xml:space="preserve">Los Llanos Tributarios</t>
  </si>
  <si>
    <t xml:space="preserve">NAS_el_invierno_nunca_mas</t>
  </si>
  <si>
    <t xml:space="preserve">El Invierno Nunca Más</t>
  </si>
  <si>
    <t xml:space="preserve">NAS_el_sol_contra_el_directorio</t>
  </si>
  <si>
    <t xml:space="preserve">El Pacto del Mandato</t>
  </si>
  <si>
    <t xml:space="preserve">meganations_shd.1 (le llega a SHD, no cuenta)</t>
  </si>
  <si>
    <t xml:space="preserve">NAS_el_trono_del_sol</t>
  </si>
  <si>
    <t xml:space="preserve">El Trono del Sol</t>
  </si>
  <si>
    <t xml:space="preserve">Los Sacerdotes del Sol -&gt; El Trono del Sol</t>
  </si>
  <si>
    <t xml:space="preserve">El Inca Rompe el Silencio</t>
  </si>
  <si>
    <t xml:space="preserve">meganations_nas.3</t>
  </si>
  <si>
    <t xml:space="preserve">NAS_el_qhapaq_nan</t>
  </si>
  <si>
    <t xml:space="preserve">El Qhapaq Ñan</t>
  </si>
  <si>
    <t xml:space="preserve">quita Montañas Aisladas</t>
  </si>
  <si>
    <t xml:space="preserve">NAS_mita_de_guerra</t>
  </si>
  <si>
    <t xml:space="preserve">Mit'a de Guerra</t>
  </si>
  <si>
    <t xml:space="preserve">NAS_el_cuntisuyu</t>
  </si>
  <si>
    <t xml:space="preserve">El Cuntisuyu</t>
  </si>
  <si>
    <t xml:space="preserve">NAS_el_chinchaysuyu</t>
  </si>
  <si>
    <t xml:space="preserve">El Chinchaysuyu</t>
  </si>
  <si>
    <t xml:space="preserve">NAS_el_antisuyu</t>
  </si>
  <si>
    <t xml:space="preserve">El Antisuyu</t>
  </si>
  <si>
    <t xml:space="preserve">meganations_efe.13 (le llega a EFE, no cuenta)</t>
  </si>
  <si>
    <t xml:space="preserve">NAS_el_collasuyu</t>
  </si>
  <si>
    <t xml:space="preserve">El Collasuyu</t>
  </si>
  <si>
    <t xml:space="preserve">meganations_nas.240 (le llega a EFE, no cuenta)</t>
  </si>
  <si>
    <t xml:space="preserve">country</t>
  </si>
  <si>
    <t xml:space="preserve">NAS_la_bajada_de_la_montana</t>
  </si>
  <si>
    <t xml:space="preserve">La Bajada de la Montaña</t>
  </si>
  <si>
    <t xml:space="preserve">NAS_el_tawantinsuyu</t>
  </si>
  <si>
    <t xml:space="preserve">Tawantinsuyu</t>
  </si>
  <si>
    <t xml:space="preserve">NAS_el_consejo_de_los_cuatro_suyus</t>
  </si>
  <si>
    <t xml:space="preserve">El Consejo de los Cuatro Suyus</t>
  </si>
  <si>
    <t xml:space="preserve">NAS_la_ley_del_ayni</t>
  </si>
  <si>
    <t xml:space="preserve">La Ley del Ayni</t>
  </si>
  <si>
    <t xml:space="preserve">NAS_el_hijo_del_sol</t>
  </si>
  <si>
    <t xml:space="preserve">El Hijo del Sol</t>
  </si>
  <si>
    <t xml:space="preserve">NAS_el_destino_del_sol</t>
  </si>
  <si>
    <t xml:space="preserve">El Destino del Sol</t>
  </si>
  <si>
    <t xml:space="preserve">NAS_el_consejo_del_campo</t>
  </si>
  <si>
    <t xml:space="preserve">El Consejo del Campo</t>
  </si>
  <si>
    <t xml:space="preserve">NAS_las_terrazas</t>
  </si>
  <si>
    <t xml:space="preserve">Las Terrazas</t>
  </si>
  <si>
    <t xml:space="preserve">NAS_la_mineria_del_cielo</t>
  </si>
  <si>
    <t xml:space="preserve">NAS_la_mita_del_campo</t>
  </si>
  <si>
    <t xml:space="preserve">La Mit'a del Campo</t>
  </si>
  <si>
    <t xml:space="preserve">NAS_graneros_del_altiplano</t>
  </si>
  <si>
    <t xml:space="preserve">Graneros del Altiplano</t>
  </si>
  <si>
    <t xml:space="preserve">NAS_el_reino_de_las_terrazas</t>
  </si>
  <si>
    <t xml:space="preserve">El Reino de las Terrazas</t>
  </si>
  <si>
    <t xml:space="preserve">Las Terrazas -&gt; El Reino de las Terrazas</t>
  </si>
  <si>
    <t xml:space="preserve">NAS_los_andenes_del_sol</t>
  </si>
  <si>
    <t xml:space="preserve">Los Andenes del Sol</t>
  </si>
  <si>
    <t xml:space="preserve">NAS_el_granero_del_mundo</t>
  </si>
  <si>
    <t xml:space="preserve">El Granero del Mundo</t>
  </si>
  <si>
    <t xml:space="preserve">El Reino de las Terrazas -&gt; El Granero del Mundo</t>
  </si>
  <si>
    <t xml:space="preserve">La Minería del Cielo</t>
  </si>
  <si>
    <t xml:space="preserve">NAS_el_salar</t>
  </si>
  <si>
    <t xml:space="preserve">El Salar</t>
  </si>
  <si>
    <t xml:space="preserve">NAS_capital_extranjero</t>
  </si>
  <si>
    <t xml:space="preserve">Capital Extranjero</t>
  </si>
  <si>
    <t xml:space="preserve">NAS_la_montana_de_plata</t>
  </si>
  <si>
    <t xml:space="preserve">La Montaña de Plata</t>
  </si>
  <si>
    <t xml:space="preserve">La Minería del Cielo -&gt; La Montaña de Plata</t>
  </si>
  <si>
    <t xml:space="preserve">NAS_los_socavones_profundos</t>
  </si>
  <si>
    <t xml:space="preserve">Los Socavones Profundos</t>
  </si>
  <si>
    <t xml:space="preserve">NAS_la_montana_que_devora</t>
  </si>
  <si>
    <t xml:space="preserve">La Montaña que Devora</t>
  </si>
  <si>
    <t xml:space="preserve">La Montaña de Plata -&gt; La Montaña que Devora</t>
  </si>
  <si>
    <t xml:space="preserve">NAS_talleres_de_altura</t>
  </si>
  <si>
    <t xml:space="preserve">Talleres de Altura</t>
  </si>
  <si>
    <t xml:space="preserve">NAS_hidroelectricas_andinas</t>
  </si>
  <si>
    <t xml:space="preserve">Hidroeléctricas Andinas</t>
  </si>
  <si>
    <t xml:space="preserve">NAS_el_polo_de_lima</t>
  </si>
  <si>
    <t xml:space="preserve">El Polo de Lima</t>
  </si>
  <si>
    <t xml:space="preserve">NAS_las_minas_de_potosi</t>
  </si>
  <si>
    <t xml:space="preserve">Las Minas de Potosí</t>
  </si>
  <si>
    <t xml:space="preserve">NAS_astilleros_del_callao</t>
  </si>
  <si>
    <t xml:space="preserve">Los Astilleros del Callao</t>
  </si>
  <si>
    <t xml:space="preserve">NAS_observatorio_del_sol</t>
  </si>
  <si>
    <t xml:space="preserve">El Observatorio del Sol</t>
  </si>
  <si>
    <t xml:space="preserve">NAS_guerreros_de_la_puna</t>
  </si>
  <si>
    <t xml:space="preserve">Guerreros de la Puna</t>
  </si>
  <si>
    <t xml:space="preserve">quita Un Ejército de Ceremonia</t>
  </si>
  <si>
    <t xml:space="preserve">NAS_aclimatacion</t>
  </si>
  <si>
    <t xml:space="preserve">Aclimatación</t>
  </si>
  <si>
    <t xml:space="preserve">NAS_la_guardia_del_inca</t>
  </si>
  <si>
    <t xml:space="preserve">La Guardia del Inca</t>
  </si>
  <si>
    <t xml:space="preserve">NAS_doctrina_de_la_quebrada</t>
  </si>
  <si>
    <t xml:space="preserve">La Doctrina de la Quebrada</t>
  </si>
  <si>
    <t xml:space="preserve">NAS_montaneses_de_elite</t>
  </si>
  <si>
    <t xml:space="preserve">Montañeses de Élite</t>
  </si>
  <si>
    <t xml:space="preserve">NAS_el_general_del_sol</t>
  </si>
  <si>
    <t xml:space="preserve">El General del Sol</t>
  </si>
  <si>
    <t xml:space="preserve">NAS_alas_del_sol</t>
  </si>
  <si>
    <t xml:space="preserve">Alas del Sol</t>
  </si>
  <si>
    <t xml:space="preserve">NAS_aerodromos_de_altura</t>
  </si>
  <si>
    <t xml:space="preserve">Aeródromos de Altura</t>
  </si>
  <si>
    <t xml:space="preserve">NAS_cazas_del_condor</t>
  </si>
  <si>
    <t xml:space="preserve">Cazas del Cóndor</t>
  </si>
  <si>
    <t xml:space="preserve">La Escuela de Ases del Cóndor</t>
  </si>
  <si>
    <t xml:space="preserve">NAS_transporte_de_montana</t>
  </si>
  <si>
    <t xml:space="preserve">Transporte de Montaña</t>
  </si>
  <si>
    <t xml:space="preserve">NAS_defensa_del_cielo</t>
  </si>
  <si>
    <t xml:space="preserve">Defensa del Cielo</t>
  </si>
  <si>
    <t xml:space="preserve">El Cielo Cerrado</t>
  </si>
  <si>
    <t xml:space="preserve">NAS_la_flota_del_pacifico</t>
  </si>
  <si>
    <t xml:space="preserve">NAS_granjas_del_sol</t>
  </si>
  <si>
    <t xml:space="preserve">Las Granjas del Sol</t>
  </si>
  <si>
    <t xml:space="preserve">NAS_granjas +1</t>
  </si>
  <si>
    <t xml:space="preserve">NAS_el_gran_raymi</t>
  </si>
  <si>
    <t xml:space="preserve">El Gran Raymi</t>
  </si>
  <si>
    <t xml:space="preserve">NAS_inti +25</t>
  </si>
  <si>
    <t xml:space="preserve">NAS_el_calendario_solar</t>
  </si>
  <si>
    <t xml:space="preserve">El Calendario Solar</t>
  </si>
  <si>
    <t xml:space="preserve">NAS_templos_bateria</t>
  </si>
  <si>
    <t xml:space="preserve">Templos-Batería</t>
  </si>
  <si>
    <t xml:space="preserve">NAS_inti_max +50</t>
  </si>
  <si>
    <t xml:space="preserve">NAS_la_chicha_del_sol</t>
  </si>
  <si>
    <t xml:space="preserve">La Chicha del Sol</t>
  </si>
  <si>
    <t xml:space="preserve">NAS_granjas +1, NAS_inti +15</t>
  </si>
  <si>
    <t xml:space="preserve">NAS_ofrenda_de_luz</t>
  </si>
  <si>
    <t xml:space="preserve">Ofrenda de Luz</t>
  </si>
  <si>
    <t xml:space="preserve">NAS_el_sol_eterno</t>
  </si>
  <si>
    <t xml:space="preserve">El Sol Eterno</t>
  </si>
  <si>
    <t xml:space="preserve">NAS_granjas +1, NAS_inti_max +50</t>
  </si>
  <si>
    <t xml:space="preserve">NAS_inti_nunca_se_pone</t>
  </si>
  <si>
    <t xml:space="preserve">Inti Nunca se Pone</t>
  </si>
  <si>
    <t xml:space="preserve">NAS_el_calendario_de_los_templos</t>
  </si>
  <si>
    <t xml:space="preserve">El Calendario de los Templos</t>
  </si>
  <si>
    <t xml:space="preserve">NAS_inti +20</t>
  </si>
  <si>
    <t xml:space="preserve">NAS_templos_eficientes</t>
  </si>
  <si>
    <t xml:space="preserve">Templos Eficientes</t>
  </si>
  <si>
    <t xml:space="preserve">NAS_nuevas_granjas_del_sol</t>
  </si>
  <si>
    <t xml:space="preserve">Nuevas Granjas del Sol</t>
  </si>
  <si>
    <t xml:space="preserve">NAS_el_observatorio_de_la_luz</t>
  </si>
  <si>
    <t xml:space="preserve">El Observatorio de la Luz</t>
  </si>
  <si>
    <t xml:space="preserve">NAS_la_fiesta_del_inti_raymi</t>
  </si>
  <si>
    <t xml:space="preserve">El Gran Inti Raymi</t>
  </si>
  <si>
    <t xml:space="preserve">NAS_inti -30</t>
  </si>
  <si>
    <t xml:space="preserve">NAS_hijos_del_sol</t>
  </si>
  <si>
    <t xml:space="preserve">Hijos del Sol</t>
  </si>
  <si>
    <t xml:space="preserve">SHD_el_directorio_de_2100</t>
  </si>
  <si>
    <t xml:space="preserve">El Directorio de 2100</t>
  </si>
  <si>
    <t xml:space="preserve">SHD_la_sesion_tecnica</t>
  </si>
  <si>
    <t xml:space="preserve">La Sesión Técnica</t>
  </si>
  <si>
    <t xml:space="preserve">SHD_ajuste_tecnico_n_1</t>
  </si>
  <si>
    <t xml:space="preserve">Ajuste Técnico nº 1</t>
  </si>
  <si>
    <t xml:space="preserve">SHD_abrir_las_compuertas</t>
  </si>
  <si>
    <t xml:space="preserve">SHD_los_ingenieros_del_orden</t>
  </si>
  <si>
    <t xml:space="preserve">Los Ingenieros del Orden</t>
  </si>
  <si>
    <t xml:space="preserve">SHD_vigilancia_hidraulica</t>
  </si>
  <si>
    <t xml:space="preserve">Vigilancia Hidráulica</t>
  </si>
  <si>
    <t xml:space="preserve">SHD_orden +5</t>
  </si>
  <si>
    <t xml:space="preserve">SHD_el_protectorado_coreano</t>
  </si>
  <si>
    <t xml:space="preserve">El Protectorado Coreano</t>
  </si>
  <si>
    <t xml:space="preserve">SHD_la_estepa_irrigada</t>
  </si>
  <si>
    <t xml:space="preserve">La Estepa Irrigada</t>
  </si>
  <si>
    <t xml:space="preserve">SHD_el_caudal_perfecto</t>
  </si>
  <si>
    <t xml:space="preserve">El Caudal Perfecto</t>
  </si>
  <si>
    <t xml:space="preserve">Vigilancia Hidráulica -&gt; El Caudal Perfecto</t>
  </si>
  <si>
    <t xml:space="preserve">SHD_corregir_el_sol</t>
  </si>
  <si>
    <t xml:space="preserve">Ingenieros para el Sol</t>
  </si>
  <si>
    <t xml:space="preserve">meganations_nas.5 (le llega a NAS, no cuenta)</t>
  </si>
  <si>
    <t xml:space="preserve">Abrir las Compuertas</t>
  </si>
  <si>
    <t xml:space="preserve">quita La Burocracia del Caudal</t>
  </si>
  <si>
    <t xml:space="preserve">SHD_pueblo +20</t>
  </si>
  <si>
    <t xml:space="preserve">meganations_shd.3</t>
  </si>
  <si>
    <t xml:space="preserve">SHD_el_pueblo_es_el_caudal</t>
  </si>
  <si>
    <t xml:space="preserve">El Pueblo es el Caudal</t>
  </si>
  <si>
    <t xml:space="preserve">SHD_pueblo +10</t>
  </si>
  <si>
    <t xml:space="preserve">SHD_la_movilizacion_del_rio</t>
  </si>
  <si>
    <t xml:space="preserve">La Movilización del Río</t>
  </si>
  <si>
    <t xml:space="preserve">SHD_oleadas</t>
  </si>
  <si>
    <t xml:space="preserve">Oleadas</t>
  </si>
  <si>
    <t xml:space="preserve">SHD_la_crecida_del_norte</t>
  </si>
  <si>
    <t xml:space="preserve">La Crecida del Norte</t>
  </si>
  <si>
    <t xml:space="preserve">SHD_el_rio_se_desborda</t>
  </si>
  <si>
    <t xml:space="preserve">El Río se Desborda</t>
  </si>
  <si>
    <t xml:space="preserve">SHD_el_rio_desbordado</t>
  </si>
  <si>
    <t xml:space="preserve">El Río Desbordado</t>
  </si>
  <si>
    <t xml:space="preserve">SHD_el_gran_consejo_tecnico</t>
  </si>
  <si>
    <t xml:space="preserve">El Gran Consejo Técnico</t>
  </si>
  <si>
    <t xml:space="preserve">SHD_la_ley_del_caudal</t>
  </si>
  <si>
    <t xml:space="preserve">La Ley del Caudal</t>
  </si>
  <si>
    <t xml:space="preserve">SHD_el_mandato_armonioso</t>
  </si>
  <si>
    <t xml:space="preserve">El Mandato Armonioso</t>
  </si>
  <si>
    <t xml:space="preserve">SHD_el_destino_del_cielo</t>
  </si>
  <si>
    <t xml:space="preserve">El Destino del Cielo</t>
  </si>
  <si>
    <t xml:space="preserve">SHD_el_consejo_economico</t>
  </si>
  <si>
    <t xml:space="preserve">SHD_produccion +5</t>
  </si>
  <si>
    <t xml:space="preserve">SHD_las_grandes_obras</t>
  </si>
  <si>
    <t xml:space="preserve">Las Grandes Obras</t>
  </si>
  <si>
    <t xml:space="preserve">SHD_la_economia_de_precision</t>
  </si>
  <si>
    <t xml:space="preserve">SHD_el_gran_canal</t>
  </si>
  <si>
    <t xml:space="preserve">El Gran Canal</t>
  </si>
  <si>
    <t xml:space="preserve">SHD_ciudades_nuevas</t>
  </si>
  <si>
    <t xml:space="preserve">Ciudades Nuevas</t>
  </si>
  <si>
    <t xml:space="preserve">SHD_pueblo +5</t>
  </si>
  <si>
    <t xml:space="preserve">SHD_la_era_de_las_obras</t>
  </si>
  <si>
    <t xml:space="preserve">La Era de las Obras</t>
  </si>
  <si>
    <t xml:space="preserve">Las Grandes Obras -&gt; La Era de las Obras</t>
  </si>
  <si>
    <t xml:space="preserve">SHD_la_segunda_gran_presa</t>
  </si>
  <si>
    <t xml:space="preserve">La Segunda Gran Presa</t>
  </si>
  <si>
    <t xml:space="preserve">SHD_el_pais_como_obra</t>
  </si>
  <si>
    <t xml:space="preserve">El País como Obra</t>
  </si>
  <si>
    <t xml:space="preserve">La Era de las Obras -&gt; El País como Obra</t>
  </si>
  <si>
    <t xml:space="preserve">La Economía de Precisión</t>
  </si>
  <si>
    <t xml:space="preserve">SHD_metrologia_nacional</t>
  </si>
  <si>
    <t xml:space="preserve">Metrología Nacional</t>
  </si>
  <si>
    <t xml:space="preserve">SHD_lineas_calibradas</t>
  </si>
  <si>
    <t xml:space="preserve">Líneas Calibradas</t>
  </si>
  <si>
    <t xml:space="preserve">SHD_la_economia_calibrada</t>
  </si>
  <si>
    <t xml:space="preserve">La Economía Calibrada</t>
  </si>
  <si>
    <t xml:space="preserve">La Economía de Precisión -&gt; La Economía Calibrada</t>
  </si>
  <si>
    <t xml:space="preserve">SHD_sensores_en_todo</t>
  </si>
  <si>
    <t xml:space="preserve">Sensores en Todo</t>
  </si>
  <si>
    <t xml:space="preserve">SHD_la_economia_exacta</t>
  </si>
  <si>
    <t xml:space="preserve">La Economía Exacta</t>
  </si>
  <si>
    <t xml:space="preserve">La Economía Calibrada -&gt; La Economía Exacta</t>
  </si>
  <si>
    <t xml:space="preserve">SHD_las_tres_gargantas</t>
  </si>
  <si>
    <t xml:space="preserve">Las Tres Gargantas</t>
  </si>
  <si>
    <t xml:space="preserve">SHD_la_red_electrica_nacional</t>
  </si>
  <si>
    <t xml:space="preserve">La Red Eléctrica Nacional</t>
  </si>
  <si>
    <t xml:space="preserve">SHD_el_polo_de_shanghai</t>
  </si>
  <si>
    <t xml:space="preserve">El Polo de Shanghái</t>
  </si>
  <si>
    <t xml:space="preserve">SHD_acerias_del_norte</t>
  </si>
  <si>
    <t xml:space="preserve">Las Acerías del Norte</t>
  </si>
  <si>
    <t xml:space="preserve">SHD_astilleros_de_canton</t>
  </si>
  <si>
    <t xml:space="preserve">Los Astilleros de Cantón</t>
  </si>
  <si>
    <t xml:space="preserve">SHD_instituto_del_caudal</t>
  </si>
  <si>
    <t xml:space="preserve">El Instituto del Caudal</t>
  </si>
  <si>
    <t xml:space="preserve">SHD_infanteria_de_masa</t>
  </si>
  <si>
    <t xml:space="preserve">Infantería de Masa</t>
  </si>
  <si>
    <t xml:space="preserve">Infantería de Masa, quita Un Ejército de Papel</t>
  </si>
  <si>
    <t xml:space="preserve">SHD_logistica_fluvial</t>
  </si>
  <si>
    <t xml:space="preserve">Logística Fluvial</t>
  </si>
  <si>
    <t xml:space="preserve">SHD_ingenieros_de_combate</t>
  </si>
  <si>
    <t xml:space="preserve">Ingenieros de Combate</t>
  </si>
  <si>
    <t xml:space="preserve">SHD_defensa_en_profundidad</t>
  </si>
  <si>
    <t xml:space="preserve">Defensa en Profundidad</t>
  </si>
  <si>
    <t xml:space="preserve">SHD_artilleria_del_rio</t>
  </si>
  <si>
    <t xml:space="preserve">Artillería del Río</t>
  </si>
  <si>
    <t xml:space="preserve">SHD_el_general_de_la_crecida</t>
  </si>
  <si>
    <t xml:space="preserve">El General de la Crecida</t>
  </si>
  <si>
    <t xml:space="preserve">SHD_drones_de_vigilancia</t>
  </si>
  <si>
    <t xml:space="preserve">Drones de Vigilancia</t>
  </si>
  <si>
    <t xml:space="preserve">SHD_red_antiaerea</t>
  </si>
  <si>
    <t xml:space="preserve">La Red Antiaérea</t>
  </si>
  <si>
    <t xml:space="preserve">SHD_cazas_del_directorio</t>
  </si>
  <si>
    <t xml:space="preserve">Cazas del Directorio</t>
  </si>
  <si>
    <t xml:space="preserve">SHD_el_cielo_armonioso</t>
  </si>
  <si>
    <t xml:space="preserve">El Cielo Armonioso</t>
  </si>
  <si>
    <t xml:space="preserve">SHD_bombarderos_tacticos</t>
  </si>
  <si>
    <t xml:space="preserve">Bombarderos Tácticos</t>
  </si>
  <si>
    <t xml:space="preserve">SHD_la_flota_del_mar_de_china</t>
  </si>
  <si>
    <t xml:space="preserve">La Flota del Mar de China</t>
  </si>
  <si>
    <t xml:space="preserve">SHD_los_tres_caudales</t>
  </si>
  <si>
    <t xml:space="preserve">Los Tres Caudales</t>
  </si>
  <si>
    <t xml:space="preserve">SHD_valvula_de_produccion</t>
  </si>
  <si>
    <t xml:space="preserve">La Válvula de Producción</t>
  </si>
  <si>
    <t xml:space="preserve">SHD_produccion +10</t>
  </si>
  <si>
    <t xml:space="preserve">SHD_valvula_de_orden</t>
  </si>
  <si>
    <t xml:space="preserve">La Válvula de Orden</t>
  </si>
  <si>
    <t xml:space="preserve">SHD_orden +10</t>
  </si>
  <si>
    <t xml:space="preserve">SHD_valvula_del_pueblo</t>
  </si>
  <si>
    <t xml:space="preserve">La Válvula del Pueblo</t>
  </si>
  <si>
    <t xml:space="preserve">SHD_ajuste_fino</t>
  </si>
  <si>
    <t xml:space="preserve">Ajuste Fino</t>
  </si>
  <si>
    <t xml:space="preserve">SHD_presion_controlada</t>
  </si>
  <si>
    <t xml:space="preserve">Presión Controlada</t>
  </si>
  <si>
    <t xml:space="preserve">SHD_el_aliviadero</t>
  </si>
  <si>
    <t xml:space="preserve">El Aliviadero</t>
  </si>
  <si>
    <t xml:space="preserve">SHD_la_armonia_perfecta</t>
  </si>
  <si>
    <t xml:space="preserve">La Armonía Perfecta</t>
  </si>
  <si>
    <t xml:space="preserve">SHD_la_sala_de_control</t>
  </si>
  <si>
    <t xml:space="preserve">La Sala de Control</t>
  </si>
  <si>
    <t xml:space="preserve">SHD_sensores_del_caudal</t>
  </si>
  <si>
    <t xml:space="preserve">Sensores del Caudal</t>
  </si>
  <si>
    <t xml:space="preserve">SHD_diques_de_contencion</t>
  </si>
  <si>
    <t xml:space="preserve">Diques de Contención</t>
  </si>
  <si>
    <t xml:space="preserve">SHD_el_modelo_del_rio</t>
  </si>
  <si>
    <t xml:space="preserve">El Modelo del Río</t>
  </si>
  <si>
    <t xml:space="preserve">SHD_puertos_para_el_directorio</t>
  </si>
  <si>
    <t xml:space="preserve">Puertos para el Directorio</t>
  </si>
  <si>
    <t xml:space="preserve">meganations_hsn.23 (le llega a HSN, no cuenta)</t>
  </si>
  <si>
    <t xml:space="preserve">SHD_el_caudal_eterno</t>
  </si>
  <si>
    <t xml:space="preserve">El Caudal Eterno</t>
  </si>
  <si>
    <t xml:space="preserve">APF_el_congreso_de_2100</t>
  </si>
  <si>
    <t xml:space="preserve">El Congreso de 2100</t>
  </si>
  <si>
    <t xml:space="preserve">APF_la_asamblea_de_lagos</t>
  </si>
  <si>
    <t xml:space="preserve">La Asamblea de Lagos</t>
  </si>
  <si>
    <t xml:space="preserve">quita Consejos Desorganizados</t>
  </si>
  <si>
    <t xml:space="preserve">APF_mil_consejos</t>
  </si>
  <si>
    <t xml:space="preserve">Mil Consejos</t>
  </si>
  <si>
    <t xml:space="preserve">APF_los_consejos_se_arman</t>
  </si>
  <si>
    <t xml:space="preserve">APF_el_cabo_se_suma</t>
  </si>
  <si>
    <t xml:space="preserve">El Cabo se Suma</t>
  </si>
  <si>
    <t xml:space="preserve">APF_las_tierras_altas_se_suman</t>
  </si>
  <si>
    <t xml:space="preserve">Las Tierras Altas se Suman</t>
  </si>
  <si>
    <t xml:space="preserve">APF_la_constitucion_continental</t>
  </si>
  <si>
    <t xml:space="preserve">La Constitución Continental</t>
  </si>
  <si>
    <t xml:space="preserve">APF_contra_la_maquina</t>
  </si>
  <si>
    <t xml:space="preserve">Contra la Máquina</t>
  </si>
  <si>
    <t xml:space="preserve">meganations_asc.4 (le llega a ASC, no cuenta)</t>
  </si>
  <si>
    <t xml:space="preserve">APF_la_federacion_plena</t>
  </si>
  <si>
    <t xml:space="preserve">La Federación Plena</t>
  </si>
  <si>
    <t xml:space="preserve">Mil Consejos -&gt; La Federación Plena</t>
  </si>
  <si>
    <t xml:space="preserve">Los Consejos se Arman</t>
  </si>
  <si>
    <t xml:space="preserve">meganations_apf.4, meganations_apf.220 (promedio de 2 opciones)</t>
  </si>
  <si>
    <t xml:space="preserve">APF_milicia_popular</t>
  </si>
  <si>
    <t xml:space="preserve">La Milicia Popular</t>
  </si>
  <si>
    <t xml:space="preserve">APF_la_marcha_al_este</t>
  </si>
  <si>
    <t xml:space="preserve">La Marcha al Este</t>
  </si>
  <si>
    <t xml:space="preserve">APF_liberar_el_sinai</t>
  </si>
  <si>
    <t xml:space="preserve">Liberar el Sinaí</t>
  </si>
  <si>
    <t xml:space="preserve">APF_los_emiratos_caen</t>
  </si>
  <si>
    <t xml:space="preserve">Los Emiratos Caen</t>
  </si>
  <si>
    <t xml:space="preserve">APF_la_federacion_sin_fronteras</t>
  </si>
  <si>
    <t xml:space="preserve">La Federación sin Fronteras</t>
  </si>
  <si>
    <t xml:space="preserve">APF_la_asamblea_de_los_pueblos</t>
  </si>
  <si>
    <t xml:space="preserve">La Asamblea de los Pueblos</t>
  </si>
  <si>
    <t xml:space="preserve">APF_la_carta_de_ubuntu</t>
  </si>
  <si>
    <t xml:space="preserve">La Carta de Ubuntu</t>
  </si>
  <si>
    <t xml:space="preserve">APF_la_moneda_continental</t>
  </si>
  <si>
    <t xml:space="preserve">La Moneda Continental</t>
  </si>
  <si>
    <t xml:space="preserve">APF_el_destino_del_origen</t>
  </si>
  <si>
    <t xml:space="preserve">El Destino del Origen</t>
  </si>
  <si>
    <t xml:space="preserve">APF_el_consejo_economico</t>
  </si>
  <si>
    <t xml:space="preserve">APF_la_aldea_autosuficiente</t>
  </si>
  <si>
    <t xml:space="preserve">La Aldea Autosuficiente</t>
  </si>
  <si>
    <t xml:space="preserve">APF_el_corredor_continental</t>
  </si>
  <si>
    <t xml:space="preserve">APF_bancos_de_granos</t>
  </si>
  <si>
    <t xml:space="preserve">Bancos de Granos</t>
  </si>
  <si>
    <t xml:space="preserve">APF_defensa_comunal</t>
  </si>
  <si>
    <t xml:space="preserve">Defensa Comunal</t>
  </si>
  <si>
    <t xml:space="preserve">APF_el_continente_de_aldeas</t>
  </si>
  <si>
    <t xml:space="preserve">El Continente de Aldeas</t>
  </si>
  <si>
    <t xml:space="preserve">La Aldea Autosuficiente -&gt; El Continente de Aldeas</t>
  </si>
  <si>
    <t xml:space="preserve">APF_las_milicias_de_aldea</t>
  </si>
  <si>
    <t xml:space="preserve">Las Milicias de Aldea</t>
  </si>
  <si>
    <t xml:space="preserve">APF_la_federacion_de_aldeas</t>
  </si>
  <si>
    <t xml:space="preserve">La Federación de Aldeas</t>
  </si>
  <si>
    <t xml:space="preserve">El Continente de Aldeas -&gt; La Federación de Aldeas</t>
  </si>
  <si>
    <t xml:space="preserve">El Corredor Continental</t>
  </si>
  <si>
    <t xml:space="preserve">El Corredor Continental, quita Rutas Rotas</t>
  </si>
  <si>
    <t xml:space="preserve">APF_el_ferrocarril_transafricano</t>
  </si>
  <si>
    <t xml:space="preserve">El Ferrocarril Transafricano</t>
  </si>
  <si>
    <t xml:space="preserve">APF_los_polos_mineros</t>
  </si>
  <si>
    <t xml:space="preserve">Los Polos Mineros</t>
  </si>
  <si>
    <t xml:space="preserve">APF_el_gigante_logistico</t>
  </si>
  <si>
    <t xml:space="preserve">El Gigante Logístico</t>
  </si>
  <si>
    <t xml:space="preserve">El Corredor Continental -&gt; El Gigante Logístico</t>
  </si>
  <si>
    <t xml:space="preserve">APF_los_puertos_del_corredor</t>
  </si>
  <si>
    <t xml:space="preserve">Los Puertos del Corredor</t>
  </si>
  <si>
    <t xml:space="preserve">APF_el_continente_conectado</t>
  </si>
  <si>
    <t xml:space="preserve">El Continente Conectado</t>
  </si>
  <si>
    <t xml:space="preserve">El Gigante Logístico -&gt; El Continente Conectado</t>
  </si>
  <si>
    <t xml:space="preserve">APF_polo_de_lagos</t>
  </si>
  <si>
    <t xml:space="preserve">El Polo de Lagos</t>
  </si>
  <si>
    <t xml:space="preserve">quita Rutas Rotas</t>
  </si>
  <si>
    <t xml:space="preserve">APF_acerias_de_katanga</t>
  </si>
  <si>
    <t xml:space="preserve">Las Acerías de Katanga</t>
  </si>
  <si>
    <t xml:space="preserve">APF_el_nilo_industrial</t>
  </si>
  <si>
    <t xml:space="preserve">El Nilo Industrial</t>
  </si>
  <si>
    <t xml:space="preserve">APF_despegue_industrial</t>
  </si>
  <si>
    <t xml:space="preserve">Despegue Industrial</t>
  </si>
  <si>
    <t xml:space="preserve">APF_astilleros_de_dakar</t>
  </si>
  <si>
    <t xml:space="preserve">Los Astilleros de Dakar</t>
  </si>
  <si>
    <t xml:space="preserve">APF_universidad_continental</t>
  </si>
  <si>
    <t xml:space="preserve">La Universidad Continental</t>
  </si>
  <si>
    <t xml:space="preserve">APF_milicias_regulares</t>
  </si>
  <si>
    <t xml:space="preserve">Milicias Regulares</t>
  </si>
  <si>
    <t xml:space="preserve">quita Milicias sin Fusiles</t>
  </si>
  <si>
    <t xml:space="preserve">APF_instructores</t>
  </si>
  <si>
    <t xml:space="preserve">Instructores</t>
  </si>
  <si>
    <t xml:space="preserve">Instructores de los Consejos</t>
  </si>
  <si>
    <t xml:space="preserve">APF_guerra_de_movimiento</t>
  </si>
  <si>
    <t xml:space="preserve">Guerra de Movimiento</t>
  </si>
  <si>
    <t xml:space="preserve">APF_infanteria_ligera</t>
  </si>
  <si>
    <t xml:space="preserve">Infantería Ligera</t>
  </si>
  <si>
    <t xml:space="preserve">APF_defensa_de_la_aldea</t>
  </si>
  <si>
    <t xml:space="preserve">Defensa de la Aldea</t>
  </si>
  <si>
    <t xml:space="preserve">APF_el_general_del_congreso</t>
  </si>
  <si>
    <t xml:space="preserve">El General del Congreso</t>
  </si>
  <si>
    <t xml:space="preserve">APF_alas_del_continente</t>
  </si>
  <si>
    <t xml:space="preserve">Alas del Continente</t>
  </si>
  <si>
    <t xml:space="preserve">APF_red_de_aerodromos</t>
  </si>
  <si>
    <t xml:space="preserve">La Red de Aeródromos</t>
  </si>
  <si>
    <t xml:space="preserve">APF_apoyo_cercano</t>
  </si>
  <si>
    <t xml:space="preserve">Apoyo Cercano</t>
  </si>
  <si>
    <t xml:space="preserve">APF_cazas_del_sahel</t>
  </si>
  <si>
    <t xml:space="preserve">Cazas del Sahel</t>
  </si>
  <si>
    <t xml:space="preserve">APF_paracaidistas</t>
  </si>
  <si>
    <t xml:space="preserve">Paracaidistas</t>
  </si>
  <si>
    <t xml:space="preserve">APF_la_armada_del_golfo</t>
  </si>
  <si>
    <t xml:space="preserve">La Armada del Golfo</t>
  </si>
  <si>
    <t xml:space="preserve">APF_consejos_locales</t>
  </si>
  <si>
    <t xml:space="preserve">Consejos Locales</t>
  </si>
  <si>
    <t xml:space="preserve">APF_congresos_regionales</t>
  </si>
  <si>
    <t xml:space="preserve">Congresos Regionales</t>
  </si>
  <si>
    <t xml:space="preserve">APF_moneda_comun</t>
  </si>
  <si>
    <t xml:space="preserve">La Moneda Común</t>
  </si>
  <si>
    <t xml:space="preserve">APF_el_ejercito_federal</t>
  </si>
  <si>
    <t xml:space="preserve">El Ejército Federal</t>
  </si>
  <si>
    <t xml:space="preserve">APF_ciudadania_continental</t>
  </si>
  <si>
    <t xml:space="preserve">Ciudadanía Continental</t>
  </si>
  <si>
    <t xml:space="preserve">APF_integracion_zet +10, APF_integracion_zsa +10</t>
  </si>
  <si>
    <t xml:space="preserve">APF_la_red_de_consejos</t>
  </si>
  <si>
    <t xml:space="preserve">La Red de Consejos</t>
  </si>
  <si>
    <t xml:space="preserve">APF_un_solo_pueblo</t>
  </si>
  <si>
    <t xml:space="preserve">Un Solo Pueblo</t>
  </si>
  <si>
    <t xml:space="preserve">APF_la_voz_de_los_consejos</t>
  </si>
  <si>
    <t xml:space="preserve">La Voz de los Consejos</t>
  </si>
  <si>
    <t xml:space="preserve">APF_tension -15</t>
  </si>
  <si>
    <t xml:space="preserve">APF_radios_comunitarias</t>
  </si>
  <si>
    <t xml:space="preserve">Radios Comunitarias</t>
  </si>
  <si>
    <t xml:space="preserve">APF_escuelas_de_ingenieros</t>
  </si>
  <si>
    <t xml:space="preserve">Escuelas de Ingenieros</t>
  </si>
  <si>
    <t xml:space="preserve">APF_el_parlamento_de_los_pueblos</t>
  </si>
  <si>
    <t xml:space="preserve">El Parlamento de los Pueblos</t>
  </si>
  <si>
    <t xml:space="preserve">APF_el_corredor_del_cabo</t>
  </si>
  <si>
    <t xml:space="preserve">El Corredor del Cabo</t>
  </si>
  <si>
    <t xml:space="preserve">APF_desarrollo_zet +15, APF_desarrollo_zsa +15</t>
  </si>
  <si>
    <t xml:space="preserve">APF_africa_unida</t>
  </si>
  <si>
    <t xml:space="preserve">África Unida</t>
  </si>
  <si>
    <t xml:space="preserve">NRE_la_aclamacion_confirmada</t>
  </si>
  <si>
    <t xml:space="preserve">La Aclamación Confirmada</t>
  </si>
  <si>
    <t xml:space="preserve">NRE_auctoritas +5</t>
  </si>
  <si>
    <t xml:space="preserve">NRE_el_consilium</t>
  </si>
  <si>
    <t xml:space="preserve">El Consilium</t>
  </si>
  <si>
    <t xml:space="preserve">NRE_el_senado_restaurado</t>
  </si>
  <si>
    <t xml:space="preserve">El Senado Restaurado</t>
  </si>
  <si>
    <t xml:space="preserve">El Senado Restaurado, quita Un Senado Corrupto</t>
  </si>
  <si>
    <t xml:space="preserve">NRE_la_legion_decide</t>
  </si>
  <si>
    <t xml:space="preserve">NRE_las_vias_imperiales</t>
  </si>
  <si>
    <t xml:space="preserve">Las Vías Imperiales</t>
  </si>
  <si>
    <t xml:space="preserve">NRE_el_cursus_honorum</t>
  </si>
  <si>
    <t xml:space="preserve">El Cursus Honorum</t>
  </si>
  <si>
    <t xml:space="preserve">NRE_hispania_provincia</t>
  </si>
  <si>
    <t xml:space="preserve">Hispania Provincia</t>
  </si>
  <si>
    <t xml:space="preserve">NRE_dacia_provincia</t>
  </si>
  <si>
    <t xml:space="preserve">Dacia Provincia</t>
  </si>
  <si>
    <t xml:space="preserve">NRE_el_equilibrio_de_varro</t>
  </si>
  <si>
    <t xml:space="preserve">El Equilibrio de Varro</t>
  </si>
  <si>
    <t xml:space="preserve">El Senado Restaurado -&gt; El Equilibrio de Varro</t>
  </si>
  <si>
    <t xml:space="preserve">NRE_pax_romana</t>
  </si>
  <si>
    <t xml:space="preserve">Pax Romana</t>
  </si>
  <si>
    <t xml:space="preserve">NRE_roma_contra_la_tierra</t>
  </si>
  <si>
    <t xml:space="preserve">Roma contra la Tierra</t>
  </si>
  <si>
    <t xml:space="preserve">meganations_efe.14 (le llega a EFE, no cuenta)</t>
  </si>
  <si>
    <t xml:space="preserve">La Legión Decide</t>
  </si>
  <si>
    <t xml:space="preserve">quita Un Senado Corrupto</t>
  </si>
  <si>
    <t xml:space="preserve">NRE_prestigio_italica +10, NRE_auctoritas +15</t>
  </si>
  <si>
    <t xml:space="preserve">meganations_nre.1, meganations_nre.220 (promedio de 2 opciones)</t>
  </si>
  <si>
    <t xml:space="preserve">NRE_la_guardia_pretoriana</t>
  </si>
  <si>
    <t xml:space="preserve">La Guardia Pretoriana</t>
  </si>
  <si>
    <t xml:space="preserve">NRE_auctoritas +10</t>
  </si>
  <si>
    <t xml:space="preserve">NRE_los_donativos</t>
  </si>
  <si>
    <t xml:space="preserve">Los Donativos</t>
  </si>
  <si>
    <t xml:space="preserve">NRE_ave_imperator</t>
  </si>
  <si>
    <t xml:space="preserve">Ave Imperator</t>
  </si>
  <si>
    <t xml:space="preserve">NRE_auctoritas +15</t>
  </si>
  <si>
    <t xml:space="preserve">NRE_el_ano_de_los_cuatro</t>
  </si>
  <si>
    <t xml:space="preserve">El Año de los Cuatro</t>
  </si>
  <si>
    <t xml:space="preserve">El Año de los Cuatro Imperatores</t>
  </si>
  <si>
    <t xml:space="preserve">NRE_la_marcha_al_norte</t>
  </si>
  <si>
    <t xml:space="preserve">La Marcha al Norte</t>
  </si>
  <si>
    <t xml:space="preserve">NRE_el_imperio_de_las_legiones</t>
  </si>
  <si>
    <t xml:space="preserve">El Imperio de las Legiones</t>
  </si>
  <si>
    <t xml:space="preserve">El Año de los Cuatro Imperatores -&gt; El Imperio de las Legiones</t>
  </si>
  <si>
    <t xml:space="preserve">NRE_auctoritas +20</t>
  </si>
  <si>
    <t xml:space="preserve">NRE_la_lex_imperii</t>
  </si>
  <si>
    <t xml:space="preserve">La Lex Imperii</t>
  </si>
  <si>
    <t xml:space="preserve">NRE_el_culto_imperial</t>
  </si>
  <si>
    <t xml:space="preserve">El Culto Imperial</t>
  </si>
  <si>
    <t xml:space="preserve">NRE_los_juegos_de_la_victoria</t>
  </si>
  <si>
    <t xml:space="preserve">Los Juegos de la Victoria</t>
  </si>
  <si>
    <t xml:space="preserve">NRE_el_destino_de_roma</t>
  </si>
  <si>
    <t xml:space="preserve">El Destino de Roma</t>
  </si>
  <si>
    <t xml:space="preserve">NRE_el_erario</t>
  </si>
  <si>
    <t xml:space="preserve">El Erario</t>
  </si>
  <si>
    <t xml:space="preserve">NRE_la_annona</t>
  </si>
  <si>
    <t xml:space="preserve">La Annona</t>
  </si>
  <si>
    <t xml:space="preserve">La Annona, quita Graneros Vacíos</t>
  </si>
  <si>
    <t xml:space="preserve">NRE_el_tributo</t>
  </si>
  <si>
    <t xml:space="preserve">NRE_pan_y_circo</t>
  </si>
  <si>
    <t xml:space="preserve">Pan y Circo</t>
  </si>
  <si>
    <t xml:space="preserve">NRE_los_graneros_imperiales</t>
  </si>
  <si>
    <t xml:space="preserve">Los Graneros Imperiales</t>
  </si>
  <si>
    <t xml:space="preserve">La Annona -&gt; Los Graneros Imperiales</t>
  </si>
  <si>
    <t xml:space="preserve">El Tributo</t>
  </si>
  <si>
    <t xml:space="preserve">NRE_las_provincias_pagan</t>
  </si>
  <si>
    <t xml:space="preserve">Las Provincias Pagan</t>
  </si>
  <si>
    <t xml:space="preserve">NRE_el_fisco_imperial</t>
  </si>
  <si>
    <t xml:space="preserve">El Fisco Imperial</t>
  </si>
  <si>
    <t xml:space="preserve">El Tributo -&gt; El Fisco Imperial</t>
  </si>
  <si>
    <t xml:space="preserve">NRE_el_nuevo_aureus</t>
  </si>
  <si>
    <t xml:space="preserve">El Nuevo Aureus</t>
  </si>
  <si>
    <t xml:space="preserve">NRE_los_acueductos_de_roma</t>
  </si>
  <si>
    <t xml:space="preserve">Los Acueductos de Roma</t>
  </si>
  <si>
    <t xml:space="preserve">NRE_la_ciudad_alimentada</t>
  </si>
  <si>
    <t xml:space="preserve">La Ciudad Alimentada</t>
  </si>
  <si>
    <t xml:space="preserve">Los Graneros Imperiales -&gt; La Ciudad Alimentada</t>
  </si>
  <si>
    <t xml:space="preserve">NRE_los_publicanos</t>
  </si>
  <si>
    <t xml:space="preserve">Los Publicanos</t>
  </si>
  <si>
    <t xml:space="preserve">NRE_el_tesoro_de_saturno</t>
  </si>
  <si>
    <t xml:space="preserve">El Tesoro de Saturno</t>
  </si>
  <si>
    <t xml:space="preserve">El Fisco Imperial -&gt; El Tesoro de Saturno</t>
  </si>
  <si>
    <t xml:space="preserve">NRE_las_forjas_imperiales</t>
  </si>
  <si>
    <t xml:space="preserve">Las Forjas Imperiales</t>
  </si>
  <si>
    <t xml:space="preserve">NRE_el_polo_de_milan</t>
  </si>
  <si>
    <t xml:space="preserve">El Polo de Milán</t>
  </si>
  <si>
    <t xml:space="preserve">NRE_las_acerias_de_anatolia</t>
  </si>
  <si>
    <t xml:space="preserve">Las Acerías de Anatolia</t>
  </si>
  <si>
    <t xml:space="preserve">NRE_los_nuevos_acueductos</t>
  </si>
  <si>
    <t xml:space="preserve">Los Nuevos Acueductos</t>
  </si>
  <si>
    <t xml:space="preserve">NRE_astilleros_de_ostia</t>
  </si>
  <si>
    <t xml:space="preserve">Astilleros de Ostia</t>
  </si>
  <si>
    <t xml:space="preserve">NRE_la_fabrica_del_imperio</t>
  </si>
  <si>
    <t xml:space="preserve">La Fábrica del Imperio</t>
  </si>
  <si>
    <t xml:space="preserve">NRE_el_arsenal_de_roma</t>
  </si>
  <si>
    <t xml:space="preserve">El Arsenal de Roma</t>
  </si>
  <si>
    <t xml:space="preserve">NRE_la_economia_de_guerra</t>
  </si>
  <si>
    <t xml:space="preserve">La Economía de Guerra Imperial</t>
  </si>
  <si>
    <t xml:space="preserve">NRE_las_legiones</t>
  </si>
  <si>
    <t xml:space="preserve">Las Legiones</t>
  </si>
  <si>
    <t xml:space="preserve">NRE_legio_i_italica</t>
  </si>
  <si>
    <t xml:space="preserve">Legio I Italica</t>
  </si>
  <si>
    <t xml:space="preserve">NRE_prestigio_italica +15, NRE_auctoritas +10</t>
  </si>
  <si>
    <t xml:space="preserve">NRE_legio_v_macedonica</t>
  </si>
  <si>
    <t xml:space="preserve">Legio V Macedonica</t>
  </si>
  <si>
    <t xml:space="preserve">NRE_prestigio_macedonica +15</t>
  </si>
  <si>
    <t xml:space="preserve">NRE_legio_xii_fulminata</t>
  </si>
  <si>
    <t xml:space="preserve">Legio XII Fulminata</t>
  </si>
  <si>
    <t xml:space="preserve">NRE_prestigio_fulminata +15</t>
  </si>
  <si>
    <t xml:space="preserve">NRE_disciplina_de_hierro</t>
  </si>
  <si>
    <t xml:space="preserve">Disciplina de Hierro</t>
  </si>
  <si>
    <t xml:space="preserve">Disciplina de Hierro, quita Legiones Indisciplinadas</t>
  </si>
  <si>
    <t xml:space="preserve">NRE_el_aquila_de_oro</t>
  </si>
  <si>
    <t xml:space="preserve">El Águila de Oro</t>
  </si>
  <si>
    <t xml:space="preserve">NRE_los_blindados_del_rayo</t>
  </si>
  <si>
    <t xml:space="preserve">Los Blindados del Rayo</t>
  </si>
  <si>
    <t xml:space="preserve">NRE_el_ejercito_de_las_provincias</t>
  </si>
  <si>
    <t xml:space="preserve">El Ejército de las Provincias</t>
  </si>
  <si>
    <t xml:space="preserve">NRE_prestigio_italica +10, NRE_prestigio_macedonica +10, NRE_prestigio_fulminata +10</t>
  </si>
  <si>
    <t xml:space="preserve">NRE_mare_nostrum</t>
  </si>
  <si>
    <t xml:space="preserve">Mare Nostrum</t>
  </si>
  <si>
    <t xml:space="preserve">Nuestro Mar</t>
  </si>
  <si>
    <t xml:space="preserve">NRE_la_flota_del_tirreno</t>
  </si>
  <si>
    <t xml:space="preserve">La Flota del Tirreno</t>
  </si>
  <si>
    <t xml:space="preserve">NRE_las_aguilas_del_cielo</t>
  </si>
  <si>
    <t xml:space="preserve">Las Águilas del Cielo</t>
  </si>
  <si>
    <t xml:space="preserve">NRE_la_aeronautica_imperial</t>
  </si>
  <si>
    <t xml:space="preserve">La Aeronáutica Imperial</t>
  </si>
  <si>
    <t xml:space="preserve">NRE_el_cielo_de_roma</t>
  </si>
  <si>
    <t xml:space="preserve">El Cielo de Roma</t>
  </si>
  <si>
    <t xml:space="preserve">NRE_el_mediterraneo_romano</t>
  </si>
  <si>
    <t xml:space="preserve">El Mediterráneo Romano</t>
  </si>
  <si>
    <t xml:space="preserve">Nuestro Mar -&gt; El Mediterráneo Romano</t>
  </si>
  <si>
    <t xml:space="preserve">NRE_legiones_y_oficiales</t>
  </si>
  <si>
    <t xml:space="preserve">Legiones y Oficiales</t>
  </si>
  <si>
    <t xml:space="preserve">NRE_los_tribunos</t>
  </si>
  <si>
    <t xml:space="preserve">Los Tribunos Militares</t>
  </si>
  <si>
    <t xml:space="preserve">NRE_los_centuriones</t>
  </si>
  <si>
    <t xml:space="preserve">Los Centuriones</t>
  </si>
  <si>
    <t xml:space="preserve">NRE_los_veteranos</t>
  </si>
  <si>
    <t xml:space="preserve">Los Veteranos</t>
  </si>
  <si>
    <t xml:space="preserve">NRE_auctoritas +10, NRE_prestigio_italica +10, NRE_prestigio_macedonica +10, NRE_prestigio_fulminata +10</t>
  </si>
  <si>
    <t xml:space="preserve">NRE_el_triunfo</t>
  </si>
  <si>
    <t xml:space="preserve">El Triunfo</t>
  </si>
  <si>
    <t xml:space="preserve">NRE_spqr</t>
  </si>
  <si>
    <t xml:space="preserve">SPQR</t>
  </si>
  <si>
    <t xml:space="preserve">Senatus Populusque Romanus</t>
  </si>
  <si>
    <t xml:space="preserve">NRE_auctoritas +25</t>
  </si>
  <si>
    <t xml:space="preserve">NRE_el_limes</t>
  </si>
  <si>
    <t xml:space="preserve">El Limes</t>
  </si>
  <si>
    <t xml:space="preserve">NRE_colonias_de_veteranos</t>
  </si>
  <si>
    <t xml:space="preserve">Colonias de Veteranos</t>
  </si>
  <si>
    <t xml:space="preserve">NRE_los_castra</t>
  </si>
  <si>
    <t xml:space="preserve">Los Castra</t>
  </si>
  <si>
    <t xml:space="preserve">NRE_la_disciplina_del_limes</t>
  </si>
  <si>
    <t xml:space="preserve">La Disciplina del Limes</t>
  </si>
  <si>
    <t xml:space="preserve">NRE_los_juegos_del_coliseo</t>
  </si>
  <si>
    <t xml:space="preserve">Los Juegos del Coliseo</t>
  </si>
  <si>
    <t xml:space="preserve">NRE_prestigio_italica +5, NRE_prestigio_macedonica +5, NRE_prestigio_fulminata +5, NRE_auctoritas +5</t>
  </si>
  <si>
    <t xml:space="preserve">NRE_roma_aeterna</t>
  </si>
  <si>
    <t xml:space="preserve">Roma Aeterna</t>
  </si>
  <si>
    <t xml:space="preserve">ZWB_foco_1_we_survived</t>
  </si>
  <si>
    <t xml:space="preserve">Sobrevivimos</t>
  </si>
  <si>
    <t xml:space="preserve">La Selva Resiste I</t>
  </si>
  <si>
    <t xml:space="preserve">ZWB_foco_2_the_river_paths</t>
  </si>
  <si>
    <t xml:space="preserve">Los Caminos del Río</t>
  </si>
  <si>
    <t xml:space="preserve">La Selva Resiste I -&gt; La Selva Resiste II</t>
  </si>
  <si>
    <t xml:space="preserve">ZWB_foco_3_poisoned_trails</t>
  </si>
  <si>
    <t xml:space="preserve">Senderos Envenenados</t>
  </si>
  <si>
    <t xml:space="preserve">La Selva Resiste II -&gt; La Selva Resiste III</t>
  </si>
  <si>
    <t xml:space="preserve">ZWB_foco_4_the_villages_rise</t>
  </si>
  <si>
    <t xml:space="preserve">Los Pueblos se Levantan</t>
  </si>
  <si>
    <t xml:space="preserve">La Selva Resiste III -&gt; La Selva Resiste IV</t>
  </si>
  <si>
    <t xml:space="preserve">ZWB_foco_5_masters_of_the_canopy</t>
  </si>
  <si>
    <t xml:space="preserve">Dueños del Dosel</t>
  </si>
  <si>
    <t xml:space="preserve">La Selva Resiste IV -&gt; La Selva Resiste V</t>
  </si>
  <si>
    <t xml:space="preserve">ZWB_foco_6_the_green_wall</t>
  </si>
  <si>
    <t xml:space="preserve">El Muro Verde</t>
  </si>
  <si>
    <t xml:space="preserve">La Selva Resiste V -&gt; La Selva Resiste VI</t>
  </si>
  <si>
    <t xml:space="preserve">ZWB_foco_7_the_jungle_closes_its_gates</t>
  </si>
  <si>
    <t xml:space="preserve">La Selva Cierra sus Puertas</t>
  </si>
  <si>
    <t xml:space="preserve">quita La Selva Resiste VI, La Selva Inviolable</t>
  </si>
  <si>
    <t xml:space="preserve">ZWE_foco_1_we_survived</t>
  </si>
  <si>
    <t xml:space="preserve">La Estepa Aguanta I</t>
  </si>
  <si>
    <t xml:space="preserve">ZWE_foco_2_the_atamans_council</t>
  </si>
  <si>
    <t xml:space="preserve">El Consejo de los Atamanes</t>
  </si>
  <si>
    <t xml:space="preserve">La Estepa Aguanta I -&gt; La Estepa Aguanta II</t>
  </si>
  <si>
    <t xml:space="preserve">ZWE_foco_3_grain_and_rifles</t>
  </si>
  <si>
    <t xml:space="preserve">Trigo y Fusiles</t>
  </si>
  <si>
    <t xml:space="preserve">La Estepa Aguanta II -&gt; La Estepa Aguanta III</t>
  </si>
  <si>
    <t xml:space="preserve">ZWE_foco_4_the_rail_raiders</t>
  </si>
  <si>
    <t xml:space="preserve">Los Asaltantes del Tren</t>
  </si>
  <si>
    <t xml:space="preserve">La Estepa Aguanta III -&gt; La Estepa Aguanta IV</t>
  </si>
  <si>
    <t xml:space="preserve">ZWE_foco_5_the_winter_host</t>
  </si>
  <si>
    <t xml:space="preserve">La Hueste del Invierno</t>
  </si>
  <si>
    <t xml:space="preserve">La Estepa Aguanta IV -&gt; La Estepa Aguanta V</t>
  </si>
  <si>
    <t xml:space="preserve">ZWE_foco_6_the_great_muster</t>
  </si>
  <si>
    <t xml:space="preserve">La Gran Leva</t>
  </si>
  <si>
    <t xml:space="preserve">La Estepa Aguanta V -&gt; La Estepa Aguanta VI</t>
  </si>
  <si>
    <t xml:space="preserve">ZWE_foco_7_the_eternal_horde</t>
  </si>
  <si>
    <t xml:space="preserve">La Horda Eterna</t>
  </si>
  <si>
    <t xml:space="preserve">quita La Estepa Aguanta VI, La Horda Eterna</t>
  </si>
  <si>
    <t xml:space="preserve">ZWI_foco_1_we_survived</t>
  </si>
  <si>
    <t xml:space="preserve">Los Mil Reyes I</t>
  </si>
  <si>
    <t xml:space="preserve">ZWI_foco_2_the_durbar_of_warlords</t>
  </si>
  <si>
    <t xml:space="preserve">El Durbar de los Señores</t>
  </si>
  <si>
    <t xml:space="preserve">Los Mil Reyes I -&gt; Los Mil Reyes II</t>
  </si>
  <si>
    <t xml:space="preserve">ZWI_foco_3_monsoon_armies</t>
  </si>
  <si>
    <t xml:space="preserve">Ejércitos del Monzón</t>
  </si>
  <si>
    <t xml:space="preserve">Los Mil Reyes II -&gt; Los Mil Reyes III</t>
  </si>
  <si>
    <t xml:space="preserve">ZWI_foco_4_the_countless_levy</t>
  </si>
  <si>
    <t xml:space="preserve">La Leva Incontable</t>
  </si>
  <si>
    <t xml:space="preserve">Los Mil Reyes III -&gt; Los Mil Reyes IV</t>
  </si>
  <si>
    <t xml:space="preserve">ZWI_foco_5_fortress_temples</t>
  </si>
  <si>
    <t xml:space="preserve">Templos Fortaleza</t>
  </si>
  <si>
    <t xml:space="preserve">Los Mil Reyes IV -&gt; Los Mil Reyes V</t>
  </si>
  <si>
    <t xml:space="preserve">ZWI_foco_6_the_rivers_of_india</t>
  </si>
  <si>
    <t xml:space="preserve">Los Ríos de la India</t>
  </si>
  <si>
    <t xml:space="preserve">Los Mil Reyes V -&gt; Los Mil Reyes VI</t>
  </si>
  <si>
    <t xml:space="preserve">ZWI_foco_7_the_raj_of_a_thousand_kings</t>
  </si>
  <si>
    <t xml:space="preserve">El Raj de los Mil Reyes</t>
  </si>
  <si>
    <t xml:space="preserve">quita Los Mil Reyes VI, El Raj de los Mil Reyes</t>
  </si>
  <si>
    <t xml:space="preserve">ZWM_foco_1_we_survived</t>
  </si>
  <si>
    <t xml:space="preserve">El Desierto Aguanta I</t>
  </si>
  <si>
    <t xml:space="preserve">ZWM_foco_2_the_oases_council</t>
  </si>
  <si>
    <t xml:space="preserve">El Consejo de los Oasis</t>
  </si>
  <si>
    <t xml:space="preserve">El Desierto Aguanta I -&gt; El Desierto Aguanta II</t>
  </si>
  <si>
    <t xml:space="preserve">ZWM_foco_3_oil_for_rifles</t>
  </si>
  <si>
    <t xml:space="preserve">Petróleo por Fusiles</t>
  </si>
  <si>
    <t xml:space="preserve">El Desierto Aguanta II -&gt; El Desierto Aguanta III</t>
  </si>
  <si>
    <t xml:space="preserve">ZWM_foco_4_the_dune_riders</t>
  </si>
  <si>
    <t xml:space="preserve">Los Jinetes de las Dunas</t>
  </si>
  <si>
    <t xml:space="preserve">El Desierto Aguanta III -&gt; El Desierto Aguanta IV</t>
  </si>
  <si>
    <t xml:space="preserve">ZWM_foco_5_mirage_warfare</t>
  </si>
  <si>
    <t xml:space="preserve">La Guerra del Espejismo</t>
  </si>
  <si>
    <t xml:space="preserve">El Desierto Aguanta IV -&gt; El Desierto Aguanta V</t>
  </si>
  <si>
    <t xml:space="preserve">ZWM_foco_6_the_sandstorm_levy</t>
  </si>
  <si>
    <t xml:space="preserve">La Leva de la Tormenta</t>
  </si>
  <si>
    <t xml:space="preserve">El Desierto Aguanta V -&gt; El Desierto Aguanta VI</t>
  </si>
  <si>
    <t xml:space="preserve">ZWM_foco_7_the_caliphate_of_the_sands</t>
  </si>
  <si>
    <t xml:space="preserve">El Califato de las Arenas</t>
  </si>
  <si>
    <t xml:space="preserve">quita El Desierto Aguanta VI, El Califato de las Arenas</t>
  </si>
  <si>
    <t xml:space="preserve">ZAN_foco_1_the_frontier_counts_itself</t>
  </si>
  <si>
    <t xml:space="preserve">La Frontera se Cuenta</t>
  </si>
  <si>
    <t xml:space="preserve">ZAN_foco_2_frontier_towns</t>
  </si>
  <si>
    <t xml:space="preserve">Pueblos de Frontera</t>
  </si>
  <si>
    <t xml:space="preserve">ZAN_foco_3_the_frontier_pact</t>
  </si>
  <si>
    <t xml:space="preserve">El Pacto de la Frontera</t>
  </si>
  <si>
    <t xml:space="preserve">ZAN_foco_4_forts_on_every_road</t>
  </si>
  <si>
    <t xml:space="preserve">Fuertes en Cada Camino</t>
  </si>
  <si>
    <t xml:space="preserve">ZAN_foco_5_settle_the_score_with_the_un</t>
  </si>
  <si>
    <t xml:space="preserve">Ajustar Cuentas con la Unión</t>
  </si>
  <si>
    <t xml:space="preserve">La Gran Ofensiva (91 días)</t>
  </si>
  <si>
    <t xml:space="preserve">ZAN_foco_6_against_the_world</t>
  </si>
  <si>
    <t xml:space="preserve">Contra el Mundo</t>
  </si>
  <si>
    <t xml:space="preserve">Contra el Mundo (364 días)</t>
  </si>
  <si>
    <t xml:space="preserve">ZAN_foco_7_the_triumphant_frontier</t>
  </si>
  <si>
    <t xml:space="preserve">La Frontera Triunfante</t>
  </si>
  <si>
    <t xml:space="preserve">JUNTA_estado_de_sitio</t>
  </si>
  <si>
    <t xml:space="preserve">La Vigilia del Sol Negro</t>
  </si>
  <si>
    <t xml:space="preserve">JUNTA_fabricas_del_cuartel</t>
  </si>
  <si>
    <t xml:space="preserve">Los Talleres de la Montaña Hueca</t>
  </si>
  <si>
    <t xml:space="preserve">JUNTA_el_orden_de_hierro</t>
  </si>
  <si>
    <t xml:space="preserve">La Purga de los Impuros</t>
  </si>
  <si>
    <t xml:space="preserve">JUNTA_la_nacion_en_armas</t>
  </si>
  <si>
    <t xml:space="preserve">El Pueblo del Sol Negro en Armas</t>
  </si>
  <si>
    <t xml:space="preserve">JUNTA_la_fortaleza_inexpugnable</t>
  </si>
  <si>
    <t xml:space="preserve">La Ciudadela de la Montaña Hueca</t>
  </si>
  <si>
    <t xml:space="preserve">JUNTA_el_ejercito_manda</t>
  </si>
  <si>
    <t xml:space="preserve">El Ejército de los Iniciados</t>
  </si>
  <si>
    <t xml:space="preserve">JUNTA_los_arsenales_abiertos</t>
  </si>
  <si>
    <t xml:space="preserve">Las Armas de los Templos Sellados</t>
  </si>
  <si>
    <t xml:space="preserve">JUNTA_la_leva_de_los_generales</t>
  </si>
  <si>
    <t xml:space="preserve">La Leva de la Profecía</t>
  </si>
  <si>
    <t xml:space="preserve">La Furia (90 días)</t>
  </si>
  <si>
    <t xml:space="preserve">JUNTA_blindados_al_frente</t>
  </si>
  <si>
    <t xml:space="preserve">Los Carros del Eclipse</t>
  </si>
  <si>
    <t xml:space="preserve">JUNTA_el_golpe_de_gracia</t>
  </si>
  <si>
    <t xml:space="preserve">El Eclipse Total</t>
  </si>
  <si>
    <t xml:space="preserve">El Eclipse Total (120 días)</t>
  </si>
  <si>
    <t xml:space="preserve">JUNTA_el_mando_supremo</t>
  </si>
  <si>
    <t xml:space="preserve">La Orden del Sol Negro</t>
  </si>
  <si>
    <t xml:space="preserve">La Orden del Sol Negro (365 días)</t>
  </si>
  <si>
    <t xml:space="preserve">Variable</t>
  </si>
  <si>
    <t xml:space="preserve">Al arrancar</t>
  </si>
  <si>
    <t xml:space="preserve">Después de todos los focos</t>
  </si>
  <si>
    <t xml:space="preserve">Cambio</t>
  </si>
  <si>
    <t xml:space="preserve">EFE_biosteel</t>
  </si>
  <si>
    <t xml:space="preserve">EFE_control_del_monte</t>
  </si>
  <si>
    <t xml:space="preserve">EFE_integracion_yyg</t>
  </si>
  <si>
    <t xml:space="preserve">EFE_integracion_pta</t>
  </si>
  <si>
    <t xml:space="preserve">EFE_saturacion</t>
  </si>
  <si>
    <t xml:space="preserve">ASC_computo</t>
  </si>
  <si>
    <t xml:space="preserve">ASC_calor</t>
  </si>
  <si>
    <t xml:space="preserve">FCU_castellane</t>
  </si>
  <si>
    <t xml:space="preserve">FCU_halvorsen</t>
  </si>
  <si>
    <t xml:space="preserve">FCU_meridian</t>
  </si>
  <si>
    <t xml:space="preserve">FCU_obsidian</t>
  </si>
  <si>
    <t xml:space="preserve">FCU_escandalo</t>
  </si>
  <si>
    <t xml:space="preserve">HSN_nodos</t>
  </si>
  <si>
    <t xml:space="preserve">HSN_nodos_prev</t>
  </si>
  <si>
    <t xml:space="preserve">HSN_botin</t>
  </si>
  <si>
    <t xml:space="preserve">HSN_presion</t>
  </si>
  <si>
    <t xml:space="preserve">NAS_inti</t>
  </si>
  <si>
    <t xml:space="preserve">NAS_inti_max</t>
  </si>
  <si>
    <t xml:space="preserve">NAS_granjas</t>
  </si>
  <si>
    <t xml:space="preserve">NAS_integracion_zng</t>
  </si>
  <si>
    <t xml:space="preserve">NAS_integracion_zll</t>
  </si>
  <si>
    <t xml:space="preserve">SHD_produccion</t>
  </si>
  <si>
    <t xml:space="preserve">SHD_orden</t>
  </si>
  <si>
    <t xml:space="preserve">SHD_pueblo</t>
  </si>
  <si>
    <t xml:space="preserve">SHD_prox_p</t>
  </si>
  <si>
    <t xml:space="preserve">SHD_prox_o</t>
  </si>
  <si>
    <t xml:space="preserve">SHD_prox_pu</t>
  </si>
  <si>
    <t xml:space="preserve">SHD_racha</t>
  </si>
  <si>
    <t xml:space="preserve">SHD_integracion_zkr</t>
  </si>
  <si>
    <t xml:space="preserve">SHD_integracion_zst</t>
  </si>
  <si>
    <t xml:space="preserve">APF_desarrollo_zet</t>
  </si>
  <si>
    <t xml:space="preserve">APF_integracion_zet</t>
  </si>
  <si>
    <t xml:space="preserve">APF_desarrollo_zsa</t>
  </si>
  <si>
    <t xml:space="preserve">APF_integracion_zsa</t>
  </si>
  <si>
    <t xml:space="preserve">APF_tension</t>
  </si>
  <si>
    <t xml:space="preserve">NRE_prestigio_italica</t>
  </si>
  <si>
    <t xml:space="preserve">NRE_prestigio_macedonica</t>
  </si>
  <si>
    <t xml:space="preserve">NRE_prestigio_fulminata</t>
  </si>
  <si>
    <t xml:space="preserve">NRE_auctoritas</t>
  </si>
  <si>
    <t xml:space="preserve">NRE_provincia_zhi</t>
  </si>
  <si>
    <t xml:space="preserve">NRE_provincia_zda</t>
  </si>
  <si>
    <t xml:space="preserve">Beneficio</t>
  </si>
  <si>
    <t xml:space="preserve">Peso (puntos por unidad)</t>
  </si>
  <si>
    <t xml:space="preserve">Grupo</t>
  </si>
  <si>
    <t xml:space="preserve">En el acto</t>
  </si>
  <si>
    <t xml:space="preserve">Política</t>
  </si>
  <si>
    <t xml:space="preserve">Producción</t>
  </si>
  <si>
    <t xml:space="preserve">Ejército</t>
  </si>
  <si>
    <t xml:space="preserve">Aire</t>
  </si>
  <si>
    <t xml:space="preserve">Mar</t>
  </si>
  <si>
    <t xml:space="preserve">Cómo se cuenta (generado por tools/focos_balance.py desde el spec; se vuelve a generar con cada cambio):</t>
  </si>
  <si>
    <t xml:space="preserve">- Cada árbol se recorre foco por foco, rama por rama, en el orden del spec, con un simulador del país:</t>
  </si>
  <si>
    <t xml:space="preserve">  variables de la mecánica (con su valor de arranque), banderas, espíritus y espíritus vivos.</t>
  </si>
  <si>
    <t xml:space="preserve">- Columnas grises: lo que el foco da una sola vez (poder político, fábricas, equipo...).</t>
  </si>
  <si>
    <t xml:space="preserve">- Columnas verdes: cuánto cambia cada modificador permanente al terminar el foco. Suma sus</t>
  </si>
  <si>
    <t xml:space="preserve">  espíritus (agregados menos quitados; un reemplazo cuenta la diferencia) y lo que mueve en la</t>
  </si>
  <si>
    <t xml:space="preserve">  mecánica: la planilla corre la fórmula del espíritu vivo (p. ej. Cómputo de la ASC -&gt; producción;</t>
  </si>
  <si>
    <t xml:space="preserve">  Auctoritas de Roma -&gt; organización; Bioacero del EFE -&gt; blindados).</t>
  </si>
  <si>
    <t xml:space="preserve">- Los modificadores van en % (10 = +10%), salvo los que dicen 'por día', 'por semana' o 'por mes'.</t>
  </si>
  <si>
    <t xml:space="preserve">- 'Bienes de consumo', 'Desgaste' y los castigos: negativo es bueno (su peso es negativo).</t>
  </si>
  <si>
    <t xml:space="preserve">- Las mecánicas se simulan sin el paso del tiempo: no cuenta el crecimiento o el desgaste mensual ni</t>
  </si>
  <si>
    <t xml:space="preserve">  las decisiones; solo lo que suman los focos, con sus topes. La ASC se toma en su prioridad por</t>
  </si>
  <si>
    <t xml:space="preserve">  defecto (economía); la HSN arranca con sus 4 nodos y no suma más (dependen de las regiones que</t>
  </si>
  <si>
    <t xml:space="preserve">  conquiste).</t>
  </si>
  <si>
    <t xml:space="preserve">- Eventos propios que dispara un foco: suman el promedio de sus opciones. Los que le llegan a otro</t>
  </si>
  <si>
    <t xml:space="preserve">  país no cuentan. Los espíritus temporales no suman (están en su columna con los días).</t>
  </si>
  <si>
    <t xml:space="preserve">- 'Puntaje total' suma TODOS los focos, aunque algunos sean excluyentes. 'Camino promedio' pesa 1/2 cada</t>
  </si>
  <si>
    <t xml:space="preserve">  foco que depende de una elección excluyente (columna 'Peso del camino'): es la mejor vara para</t>
  </si>
  <si>
    <t xml:space="preserve">  comparar árboles. El simulador recorre los dos lados de cada elección, uno detrás del otro.</t>
  </si>
  <si>
    <t xml:space="preserve">- Un 'states' al azar es 1 región. Una condición que no se puede evaluar (p. ej. controlar una</t>
  </si>
  <si>
    <t xml:space="preserve">  región) se da por cumplida dentro de un foco; queda anotada en su columna.</t>
  </si>
  <si>
    <t xml:space="preserve">- No incluye la repoblación (depende del mapa instalado).</t>
  </si>
  <si>
    <t xml:space="preserve">- Puntaje = cada columna por su peso de la hoja Pesos (celdas amarillas, editables). Los pesos son</t>
  </si>
  <si>
    <t xml:space="preserve">  inventados para comparar con la misma vara; no salen del juego.</t>
  </si>
  <si>
    <t xml:space="preserve">- 'Camino promedio vs promedio' compara con el promedio de las 8 potencias (filas 2 a 9). Las anarquías, las</t>
  </si>
  <si>
    <t xml:space="preserve">  Tierras Sin Ley (ZAN) y la Junta tienen árboles cortos: no se comparan con las potencias.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</si>
</sst>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;\-0.00;\-"/>
    <numFmt numFmtId="166" formatCode="0.0;\-0.0;\-"/>
    <numFmt numFmtId="167" formatCode="#,##0"/>
    <numFmt numFmtId="168" formatCode="0%;\-0%;\-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DE3EA"/>
        <bgColor rgb="FFD9EAD3"/>
      </patternFill>
    </fill>
    <fill>
      <patternFill patternType="solid">
        <fgColor rgb="FFD9EAD3"/>
        <bgColor rgb="FFDDE3EA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0" min="1" style="0" width="13"/>
  </cols>
  <sheetData>
    <row r="1" customFormat="false" ht="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</row>
    <row r="2" customFormat="false" ht="15" hidden="false" customHeight="false" outlineLevel="0" collapsed="false">
      <c r="A2" s="3" t="s">
        <v>60</v>
      </c>
      <c r="B2" s="3" t="n">
        <f aca="false">COUNTIF('Por foco'!$A$2:$A$579,$A2)</f>
        <v>70</v>
      </c>
      <c r="C2" s="3" t="n">
        <f aca="false">SUMIFS('Por foco'!$H$2:$H$579,'Por foco'!$A$2:$A$579,$A2)</f>
        <v>4487</v>
      </c>
      <c r="D2" s="3" t="n">
        <f aca="false">SUMIFS('Por foco'!$I$2:$I$579,'Por foco'!$A$2:$A$579,$A2)</f>
        <v>1470</v>
      </c>
      <c r="E2" s="3" t="n">
        <f aca="false">SUMIFS('Por foco'!$J$2:$J$579,'Por foco'!$A$2:$A$579,$A2)</f>
        <v>0</v>
      </c>
      <c r="F2" s="3" t="n">
        <f aca="false">SUMIFS('Por foco'!$K$2:$K$579,'Por foco'!$A$2:$A$579,$A2)</f>
        <v>25</v>
      </c>
      <c r="G2" s="3" t="n">
        <f aca="false">SUMIFS('Por foco'!$L$2:$L$579,'Por foco'!$A$2:$A$579,$A2)</f>
        <v>80000</v>
      </c>
      <c r="H2" s="3" t="n">
        <f aca="false">SUMIFS('Por foco'!$M$2:$M$579,'Por foco'!$A$2:$A$579,$A2)</f>
        <v>100</v>
      </c>
      <c r="I2" s="3" t="n">
        <f aca="false">SUMIFS('Por foco'!$N$2:$N$579,'Por foco'!$A$2:$A$579,$A2)</f>
        <v>0</v>
      </c>
      <c r="J2" s="3" t="n">
        <f aca="false">SUMIFS('Por foco'!$O$2:$O$579,'Por foco'!$A$2:$A$579,$A2)</f>
        <v>75</v>
      </c>
      <c r="K2" s="3" t="n">
        <f aca="false">SUMIFS('Por foco'!$P$2:$P$579,'Por foco'!$A$2:$A$579,$A2)</f>
        <v>2</v>
      </c>
      <c r="L2" s="3" t="n">
        <f aca="false">SUMIFS('Por foco'!$Q$2:$Q$579,'Por foco'!$A$2:$A$579,$A2)</f>
        <v>16</v>
      </c>
      <c r="M2" s="3" t="n">
        <f aca="false">SUMIFS('Por foco'!$R$2:$R$579,'Por foco'!$A$2:$A$579,$A2)</f>
        <v>17</v>
      </c>
      <c r="N2" s="3" t="n">
        <f aca="false">SUMIFS('Por foco'!$S$2:$S$579,'Por foco'!$A$2:$A$579,$A2)</f>
        <v>7</v>
      </c>
      <c r="O2" s="3" t="n">
        <f aca="false">SUMIFS('Por foco'!$T$2:$T$579,'Por foco'!$A$2:$A$579,$A2)</f>
        <v>4</v>
      </c>
      <c r="P2" s="3" t="n">
        <f aca="false">SUMIFS('Por foco'!$U$2:$U$579,'Por foco'!$A$2:$A$579,$A2)</f>
        <v>0</v>
      </c>
      <c r="Q2" s="3" t="n">
        <f aca="false">SUMIFS('Por foco'!$V$2:$V$579,'Por foco'!$A$2:$A$579,$A2)</f>
        <v>2</v>
      </c>
      <c r="R2" s="3" t="n">
        <f aca="false">SUMIFS('Por foco'!$W$2:$W$579,'Por foco'!$A$2:$A$579,$A2)</f>
        <v>0</v>
      </c>
      <c r="S2" s="3" t="n">
        <f aca="false">SUMIFS('Por foco'!$X$2:$X$579,'Por foco'!$A$2:$A$579,$A2)</f>
        <v>0</v>
      </c>
      <c r="T2" s="3" t="n">
        <f aca="false">SUMIFS('Por foco'!$Y$2:$Y$579,'Por foco'!$A$2:$A$579,$A2)</f>
        <v>150</v>
      </c>
      <c r="U2" s="3" t="n">
        <f aca="false">SUMIFS('Por foco'!$Z$2:$Z$579,'Por foco'!$A$2:$A$579,$A2)</f>
        <v>11</v>
      </c>
      <c r="V2" s="4" t="n">
        <f aca="false">SUMIFS('Por foco'!$AA$2:$AA$579,'Por foco'!$A$2:$A$579,$A2)</f>
        <v>0.575</v>
      </c>
      <c r="W2" s="5" t="n">
        <f aca="false">SUMIFS('Por foco'!$AB$2:$AB$579,'Por foco'!$A$2:$A$579,$A2)</f>
        <v>36.4</v>
      </c>
      <c r="X2" s="5" t="n">
        <f aca="false">SUMIFS('Por foco'!$AC$2:$AC$579,'Por foco'!$A$2:$A$579,$A2)</f>
        <v>30</v>
      </c>
      <c r="Y2" s="4" t="n">
        <f aca="false">SUMIFS('Por foco'!$AD$2:$AD$579,'Por foco'!$A$2:$A$579,$A2)</f>
        <v>0.01</v>
      </c>
      <c r="Z2" s="5" t="n">
        <f aca="false">SUMIFS('Por foco'!$AE$2:$AE$579,'Por foco'!$A$2:$A$579,$A2)</f>
        <v>-15</v>
      </c>
      <c r="AA2" s="5" t="n">
        <f aca="false">SUMIFS('Por foco'!$AF$2:$AF$579,'Por foco'!$A$2:$A$579,$A2)</f>
        <v>0</v>
      </c>
      <c r="AB2" s="5" t="n">
        <f aca="false">SUMIFS('Por foco'!$AG$2:$AG$579,'Por foco'!$A$2:$A$579,$A2)</f>
        <v>20</v>
      </c>
      <c r="AC2" s="5" t="n">
        <f aca="false">SUMIFS('Por foco'!$AH$2:$AH$579,'Por foco'!$A$2:$A$579,$A2)</f>
        <v>0</v>
      </c>
      <c r="AD2" s="5" t="n">
        <f aca="false">SUMIFS('Por foco'!$AI$2:$AI$579,'Por foco'!$A$2:$A$579,$A2)</f>
        <v>30</v>
      </c>
      <c r="AE2" s="5" t="n">
        <f aca="false">SUMIFS('Por foco'!$AJ$2:$AJ$579,'Por foco'!$A$2:$A$579,$A2)</f>
        <v>35</v>
      </c>
      <c r="AF2" s="5" t="n">
        <f aca="false">SUMIFS('Por foco'!$AK$2:$AK$579,'Por foco'!$A$2:$A$579,$A2)</f>
        <v>0</v>
      </c>
      <c r="AG2" s="5" t="n">
        <f aca="false">SUMIFS('Por foco'!$AL$2:$AL$579,'Por foco'!$A$2:$A$579,$A2)</f>
        <v>-15</v>
      </c>
      <c r="AH2" s="5" t="n">
        <f aca="false">SUMIFS('Por foco'!$AM$2:$AM$579,'Por foco'!$A$2:$A$579,$A2)</f>
        <v>15</v>
      </c>
      <c r="AI2" s="5" t="n">
        <f aca="false">SUMIFS('Por foco'!$AN$2:$AN$579,'Por foco'!$A$2:$A$579,$A2)</f>
        <v>-5</v>
      </c>
      <c r="AJ2" s="4" t="n">
        <f aca="false">SUMIFS('Por foco'!$AO$2:$AO$579,'Por foco'!$A$2:$A$579,$A2)</f>
        <v>0.15</v>
      </c>
      <c r="AK2" s="5" t="n">
        <f aca="false">SUMIFS('Por foco'!$AP$2:$AP$579,'Por foco'!$A$2:$A$579,$A2)</f>
        <v>0</v>
      </c>
      <c r="AL2" s="5" t="n">
        <f aca="false">SUMIFS('Por foco'!$AQ$2:$AQ$579,'Por foco'!$A$2:$A$579,$A2)</f>
        <v>35</v>
      </c>
      <c r="AM2" s="5" t="n">
        <f aca="false">SUMIFS('Por foco'!$AR$2:$AR$579,'Por foco'!$A$2:$A$579,$A2)</f>
        <v>69.2</v>
      </c>
      <c r="AN2" s="5" t="n">
        <f aca="false">SUMIFS('Por foco'!$AS$2:$AS$579,'Por foco'!$A$2:$A$579,$A2)</f>
        <v>28</v>
      </c>
      <c r="AO2" s="5" t="n">
        <f aca="false">SUMIFS('Por foco'!$AT$2:$AT$579,'Por foco'!$A$2:$A$579,$A2)</f>
        <v>30</v>
      </c>
      <c r="AP2" s="5" t="n">
        <f aca="false">SUMIFS('Por foco'!$AU$2:$AU$579,'Por foco'!$A$2:$A$579,$A2)</f>
        <v>58</v>
      </c>
      <c r="AQ2" s="5" t="n">
        <f aca="false">SUMIFS('Por foco'!$AV$2:$AV$579,'Por foco'!$A$2:$A$579,$A2)</f>
        <v>10</v>
      </c>
      <c r="AR2" s="5" t="n">
        <f aca="false">SUMIFS('Por foco'!$AW$2:$AW$579,'Por foco'!$A$2:$A$579,$A2)</f>
        <v>0</v>
      </c>
      <c r="AS2" s="5" t="n">
        <f aca="false">SUMIFS('Por foco'!$AX$2:$AX$579,'Por foco'!$A$2:$A$579,$A2)</f>
        <v>0</v>
      </c>
      <c r="AT2" s="5" t="n">
        <f aca="false">SUMIFS('Por foco'!$AY$2:$AY$579,'Por foco'!$A$2:$A$579,$A2)</f>
        <v>0</v>
      </c>
      <c r="AU2" s="5" t="n">
        <f aca="false">SUMIFS('Por foco'!$AZ$2:$AZ$579,'Por foco'!$A$2:$A$579,$A2)</f>
        <v>0</v>
      </c>
      <c r="AV2" s="5" t="n">
        <f aca="false">SUMIFS('Por foco'!$BA$2:$BA$579,'Por foco'!$A$2:$A$579,$A2)</f>
        <v>0</v>
      </c>
      <c r="AW2" s="5" t="n">
        <f aca="false">SUMIFS('Por foco'!$BB$2:$BB$579,'Por foco'!$A$2:$A$579,$A2)</f>
        <v>0</v>
      </c>
      <c r="AX2" s="5" t="n">
        <f aca="false">SUMIFS('Por foco'!$BC$2:$BC$579,'Por foco'!$A$2:$A$579,$A2)</f>
        <v>0</v>
      </c>
      <c r="AY2" s="5" t="n">
        <f aca="false">SUMIFS('Por foco'!$BD$2:$BD$579,'Por foco'!$A$2:$A$579,$A2)</f>
        <v>0</v>
      </c>
      <c r="AZ2" s="5" t="n">
        <f aca="false">SUMIFS('Por foco'!$BE$2:$BE$579,'Por foco'!$A$2:$A$579,$A2)</f>
        <v>0</v>
      </c>
      <c r="BA2" s="5" t="n">
        <f aca="false">SUMIFS('Por foco'!$BF$2:$BF$579,'Por foco'!$A$2:$A$579,$A2)</f>
        <v>0</v>
      </c>
      <c r="BB2" s="5" t="n">
        <f aca="false">SUMIFS('Por foco'!$BG$2:$BG$579,'Por foco'!$A$2:$A$579,$A2)</f>
        <v>0</v>
      </c>
      <c r="BC2" s="6" t="n">
        <f aca="false">C2*Pesos!$B$2+D2*Pesos!$B$3+E2*Pesos!$B$4+F2*Pesos!$B$5+G2*Pesos!$B$6+H2*Pesos!$B$7+I2*Pesos!$B$8+J2*Pesos!$B$9+K2*Pesos!$B$10+L2*Pesos!$B$11+M2*Pesos!$B$12+N2*Pesos!$B$13+O2*Pesos!$B$14+P2*Pesos!$B$15+Q2*Pesos!$B$16+R2*Pesos!$B$17+S2*Pesos!$B$18+T2*Pesos!$B$19+U2*Pesos!$B$20</f>
        <v>5820</v>
      </c>
      <c r="BD2" s="6" t="n">
        <f aca="false">V2*Pesos!$B$21+W2*Pesos!$B$22+X2*Pesos!$B$23+Y2*Pesos!$B$24+Z2*Pesos!$B$25+AA2*Pesos!$B$26+AB2*Pesos!$B$27+AC2*Pesos!$B$28+AD2*Pesos!$B$29+AE2*Pesos!$B$30+AF2*Pesos!$B$31+AG2*Pesos!$B$32+AH2*Pesos!$B$33+AI2*Pesos!$B$34+AJ2*Pesos!$B$35+AK2*Pesos!$B$36+AL2*Pesos!$B$37+AM2*Pesos!$B$38+AN2*Pesos!$B$39+AO2*Pesos!$B$40+AP2*Pesos!$B$41+AQ2*Pesos!$B$42+AR2*Pesos!$B$43+AS2*Pesos!$B$44+AT2*Pesos!$B$45+AU2*Pesos!$B$46+AV2*Pesos!$B$47+AW2*Pesos!$B$48+AX2*Pesos!$B$49+AY2*Pesos!$B$50+AZ2*Pesos!$B$51+BA2*Pesos!$B$52+BB2*Pesos!$B$53</f>
        <v>4864.6</v>
      </c>
      <c r="BE2" s="6" t="n">
        <f aca="false">BC2+BD2</f>
        <v>10684.6</v>
      </c>
      <c r="BF2" s="6" t="n">
        <f aca="false">SUMIFS('Por foco'!$G$2:$G$579,'Por foco'!$A$2:$A$579,$A2)</f>
        <v>7946.45</v>
      </c>
      <c r="BG2" s="7" t="n">
        <f aca="false">IF($BF$16=0,0,BF2/$BF$16-1)</f>
        <v>-0.0729249342572741</v>
      </c>
      <c r="BH2" s="3" t="n">
        <f aca="false">COUNTIFS('Por foco'!$A$2:$A$579,$A2,'Por foco'!$BM$2:$BM$579,"?*")</f>
        <v>4</v>
      </c>
    </row>
    <row r="3" customFormat="false" ht="15" hidden="false" customHeight="false" outlineLevel="0" collapsed="false">
      <c r="A3" s="3" t="s">
        <v>61</v>
      </c>
      <c r="B3" s="3" t="n">
        <f aca="false">COUNTIF('Por foco'!$A$2:$A$579,$A3)</f>
        <v>69</v>
      </c>
      <c r="C3" s="3" t="n">
        <f aca="false">SUMIFS('Por foco'!$H$2:$H$579,'Por foco'!$A$2:$A$579,$A3)</f>
        <v>4466</v>
      </c>
      <c r="D3" s="3" t="n">
        <f aca="false">SUMIFS('Por foco'!$I$2:$I$579,'Por foco'!$A$2:$A$579,$A3)</f>
        <v>1360</v>
      </c>
      <c r="E3" s="3" t="n">
        <f aca="false">SUMIFS('Por foco'!$J$2:$J$579,'Por foco'!$A$2:$A$579,$A3)</f>
        <v>5</v>
      </c>
      <c r="F3" s="3" t="n">
        <f aca="false">SUMIFS('Por foco'!$K$2:$K$579,'Por foco'!$A$2:$A$579,$A3)</f>
        <v>15</v>
      </c>
      <c r="G3" s="3" t="n">
        <f aca="false">SUMIFS('Por foco'!$L$2:$L$579,'Por foco'!$A$2:$A$579,$A3)</f>
        <v>100000</v>
      </c>
      <c r="H3" s="3" t="n">
        <f aca="false">SUMIFS('Por foco'!$M$2:$M$579,'Por foco'!$A$2:$A$579,$A3)</f>
        <v>75</v>
      </c>
      <c r="I3" s="3" t="n">
        <f aca="false">SUMIFS('Por foco'!$N$2:$N$579,'Por foco'!$A$2:$A$579,$A3)</f>
        <v>0</v>
      </c>
      <c r="J3" s="3" t="n">
        <f aca="false">SUMIFS('Por foco'!$O$2:$O$579,'Por foco'!$A$2:$A$579,$A3)</f>
        <v>0</v>
      </c>
      <c r="K3" s="3" t="n">
        <f aca="false">SUMIFS('Por foco'!$P$2:$P$579,'Por foco'!$A$2:$A$579,$A3)</f>
        <v>5</v>
      </c>
      <c r="L3" s="3" t="n">
        <f aca="false">SUMIFS('Por foco'!$Q$2:$Q$579,'Por foco'!$A$2:$A$579,$A3)</f>
        <v>12</v>
      </c>
      <c r="M3" s="3" t="n">
        <f aca="false">SUMIFS('Por foco'!$R$2:$R$579,'Por foco'!$A$2:$A$579,$A3)</f>
        <v>11</v>
      </c>
      <c r="N3" s="3" t="n">
        <f aca="false">SUMIFS('Por foco'!$S$2:$S$579,'Por foco'!$A$2:$A$579,$A3)</f>
        <v>6</v>
      </c>
      <c r="O3" s="3" t="n">
        <f aca="false">SUMIFS('Por foco'!$T$2:$T$579,'Por foco'!$A$2:$A$579,$A3)</f>
        <v>7</v>
      </c>
      <c r="P3" s="3" t="n">
        <f aca="false">SUMIFS('Por foco'!$U$2:$U$579,'Por foco'!$A$2:$A$579,$A3)</f>
        <v>1</v>
      </c>
      <c r="Q3" s="3" t="n">
        <f aca="false">SUMIFS('Por foco'!$V$2:$V$579,'Por foco'!$A$2:$A$579,$A3)</f>
        <v>0</v>
      </c>
      <c r="R3" s="3" t="n">
        <f aca="false">SUMIFS('Por foco'!$W$2:$W$579,'Por foco'!$A$2:$A$579,$A3)</f>
        <v>0</v>
      </c>
      <c r="S3" s="3" t="n">
        <f aca="false">SUMIFS('Por foco'!$X$2:$X$579,'Por foco'!$A$2:$A$579,$A3)</f>
        <v>0</v>
      </c>
      <c r="T3" s="3" t="n">
        <f aca="false">SUMIFS('Por foco'!$Y$2:$Y$579,'Por foco'!$A$2:$A$579,$A3)</f>
        <v>100</v>
      </c>
      <c r="U3" s="3" t="n">
        <f aca="false">SUMIFS('Por foco'!$Z$2:$Z$579,'Por foco'!$A$2:$A$579,$A3)</f>
        <v>8</v>
      </c>
      <c r="V3" s="4" t="n">
        <f aca="false">SUMIFS('Por foco'!$AA$2:$AA$579,'Por foco'!$A$2:$A$579,$A3)</f>
        <v>-0.15</v>
      </c>
      <c r="W3" s="5" t="n">
        <f aca="false">SUMIFS('Por foco'!$AB$2:$AB$579,'Por foco'!$A$2:$A$579,$A3)</f>
        <v>48</v>
      </c>
      <c r="X3" s="5" t="n">
        <f aca="false">SUMIFS('Por foco'!$AC$2:$AC$579,'Por foco'!$A$2:$A$579,$A3)</f>
        <v>5</v>
      </c>
      <c r="Y3" s="4" t="n">
        <f aca="false">SUMIFS('Por foco'!$AD$2:$AD$579,'Por foco'!$A$2:$A$579,$A3)</f>
        <v>0</v>
      </c>
      <c r="Z3" s="5" t="n">
        <f aca="false">SUMIFS('Por foco'!$AE$2:$AE$579,'Por foco'!$A$2:$A$579,$A3)</f>
        <v>30</v>
      </c>
      <c r="AA3" s="5" t="n">
        <f aca="false">SUMIFS('Por foco'!$AF$2:$AF$579,'Por foco'!$A$2:$A$579,$A3)</f>
        <v>0</v>
      </c>
      <c r="AB3" s="5" t="n">
        <f aca="false">SUMIFS('Por foco'!$AG$2:$AG$579,'Por foco'!$A$2:$A$579,$A3)</f>
        <v>94.5</v>
      </c>
      <c r="AC3" s="5" t="n">
        <f aca="false">SUMIFS('Por foco'!$AH$2:$AH$579,'Por foco'!$A$2:$A$579,$A3)</f>
        <v>10</v>
      </c>
      <c r="AD3" s="5" t="n">
        <f aca="false">SUMIFS('Por foco'!$AI$2:$AI$579,'Por foco'!$A$2:$A$579,$A3)</f>
        <v>53</v>
      </c>
      <c r="AE3" s="5" t="n">
        <f aca="false">SUMIFS('Por foco'!$AJ$2:$AJ$579,'Por foco'!$A$2:$A$579,$A3)</f>
        <v>0</v>
      </c>
      <c r="AF3" s="5" t="n">
        <f aca="false">SUMIFS('Por foco'!$AK$2:$AK$579,'Por foco'!$A$2:$A$579,$A3)</f>
        <v>0</v>
      </c>
      <c r="AG3" s="5" t="n">
        <f aca="false">SUMIFS('Por foco'!$AL$2:$AL$579,'Por foco'!$A$2:$A$579,$A3)</f>
        <v>-15</v>
      </c>
      <c r="AH3" s="5" t="n">
        <f aca="false">SUMIFS('Por foco'!$AM$2:$AM$579,'Por foco'!$A$2:$A$579,$A3)</f>
        <v>0</v>
      </c>
      <c r="AI3" s="5" t="n">
        <f aca="false">SUMIFS('Por foco'!$AN$2:$AN$579,'Por foco'!$A$2:$A$579,$A3)</f>
        <v>55</v>
      </c>
      <c r="AJ3" s="4" t="n">
        <f aca="false">SUMIFS('Por foco'!$AO$2:$AO$579,'Por foco'!$A$2:$A$579,$A3)</f>
        <v>0</v>
      </c>
      <c r="AK3" s="5" t="n">
        <f aca="false">SUMIFS('Por foco'!$AP$2:$AP$579,'Por foco'!$A$2:$A$579,$A3)</f>
        <v>10</v>
      </c>
      <c r="AL3" s="5" t="n">
        <f aca="false">SUMIFS('Por foco'!$AQ$2:$AQ$579,'Por foco'!$A$2:$A$579,$A3)</f>
        <v>20</v>
      </c>
      <c r="AM3" s="5" t="n">
        <f aca="false">SUMIFS('Por foco'!$AR$2:$AR$579,'Por foco'!$A$2:$A$579,$A3)</f>
        <v>5</v>
      </c>
      <c r="AN3" s="5" t="n">
        <f aca="false">SUMIFS('Por foco'!$AS$2:$AS$579,'Por foco'!$A$2:$A$579,$A3)</f>
        <v>10</v>
      </c>
      <c r="AO3" s="5" t="n">
        <f aca="false">SUMIFS('Por foco'!$AT$2:$AT$579,'Por foco'!$A$2:$A$579,$A3)</f>
        <v>0</v>
      </c>
      <c r="AP3" s="5" t="n">
        <f aca="false">SUMIFS('Por foco'!$AU$2:$AU$579,'Por foco'!$A$2:$A$579,$A3)</f>
        <v>0</v>
      </c>
      <c r="AQ3" s="5" t="n">
        <f aca="false">SUMIFS('Por foco'!$AV$2:$AV$579,'Por foco'!$A$2:$A$579,$A3)</f>
        <v>10</v>
      </c>
      <c r="AR3" s="5" t="n">
        <f aca="false">SUMIFS('Por foco'!$AW$2:$AW$579,'Por foco'!$A$2:$A$579,$A3)</f>
        <v>0</v>
      </c>
      <c r="AS3" s="5" t="n">
        <f aca="false">SUMIFS('Por foco'!$AX$2:$AX$579,'Por foco'!$A$2:$A$579,$A3)</f>
        <v>0</v>
      </c>
      <c r="AT3" s="5" t="n">
        <f aca="false">SUMIFS('Por foco'!$AY$2:$AY$579,'Por foco'!$A$2:$A$579,$A3)</f>
        <v>0</v>
      </c>
      <c r="AU3" s="5" t="n">
        <f aca="false">SUMIFS('Por foco'!$AZ$2:$AZ$579,'Por foco'!$A$2:$A$579,$A3)</f>
        <v>0</v>
      </c>
      <c r="AV3" s="5" t="n">
        <f aca="false">SUMIFS('Por foco'!$BA$2:$BA$579,'Por foco'!$A$2:$A$579,$A3)</f>
        <v>0</v>
      </c>
      <c r="AW3" s="5" t="n">
        <f aca="false">SUMIFS('Por foco'!$BB$2:$BB$579,'Por foco'!$A$2:$A$579,$A3)</f>
        <v>0</v>
      </c>
      <c r="AX3" s="5" t="n">
        <f aca="false">SUMIFS('Por foco'!$BC$2:$BC$579,'Por foco'!$A$2:$A$579,$A3)</f>
        <v>0</v>
      </c>
      <c r="AY3" s="5" t="n">
        <f aca="false">SUMIFS('Por foco'!$BD$2:$BD$579,'Por foco'!$A$2:$A$579,$A3)</f>
        <v>0</v>
      </c>
      <c r="AZ3" s="5" t="n">
        <f aca="false">SUMIFS('Por foco'!$BE$2:$BE$579,'Por foco'!$A$2:$A$579,$A3)</f>
        <v>0</v>
      </c>
      <c r="BA3" s="5" t="n">
        <f aca="false">SUMIFS('Por foco'!$BF$2:$BF$579,'Por foco'!$A$2:$A$579,$A3)</f>
        <v>0</v>
      </c>
      <c r="BB3" s="5" t="n">
        <f aca="false">SUMIFS('Por foco'!$BG$2:$BG$579,'Por foco'!$A$2:$A$579,$A3)</f>
        <v>0</v>
      </c>
      <c r="BC3" s="6" t="n">
        <f aca="false">C3*Pesos!$B$2+D3*Pesos!$B$3+E3*Pesos!$B$4+F3*Pesos!$B$5+G3*Pesos!$B$6+H3*Pesos!$B$7+I3*Pesos!$B$8+J3*Pesos!$B$9+K3*Pesos!$B$10+L3*Pesos!$B$11+M3*Pesos!$B$12+N3*Pesos!$B$13+O3*Pesos!$B$14+P3*Pesos!$B$15+Q3*Pesos!$B$16+R3*Pesos!$B$17+S3*Pesos!$B$18+T3*Pesos!$B$19+U3*Pesos!$B$20</f>
        <v>5830</v>
      </c>
      <c r="BD3" s="6" t="n">
        <f aca="false">V3*Pesos!$B$21+W3*Pesos!$B$22+X3*Pesos!$B$23+Y3*Pesos!$B$24+Z3*Pesos!$B$25+AA3*Pesos!$B$26+AB3*Pesos!$B$27+AC3*Pesos!$B$28+AD3*Pesos!$B$29+AE3*Pesos!$B$30+AF3*Pesos!$B$31+AG3*Pesos!$B$32+AH3*Pesos!$B$33+AI3*Pesos!$B$34+AJ3*Pesos!$B$35+AK3*Pesos!$B$36+AL3*Pesos!$B$37+AM3*Pesos!$B$38+AN3*Pesos!$B$39+AO3*Pesos!$B$40+AP3*Pesos!$B$41+AQ3*Pesos!$B$42+AR3*Pesos!$B$43+AS3*Pesos!$B$44+AT3*Pesos!$B$45+AU3*Pesos!$B$46+AV3*Pesos!$B$47+AW3*Pesos!$B$48+AX3*Pesos!$B$49+AY3*Pesos!$B$50+AZ3*Pesos!$B$51+BA3*Pesos!$B$52+BB3*Pesos!$B$53</f>
        <v>6285.5</v>
      </c>
      <c r="BE3" s="6" t="n">
        <f aca="false">BC3+BD3</f>
        <v>12115.5</v>
      </c>
      <c r="BF3" s="6" t="n">
        <f aca="false">SUMIFS('Por foco'!$G$2:$G$579,'Por foco'!$A$2:$A$579,$A3)</f>
        <v>9044.5</v>
      </c>
      <c r="BG3" s="7" t="n">
        <f aca="false">IF($BF$16=0,0,BF3/$BF$16-1)</f>
        <v>0.0551794111974635</v>
      </c>
      <c r="BH3" s="3" t="n">
        <f aca="false">COUNTIFS('Por foco'!$A$2:$A$579,$A3,'Por foco'!$BM$2:$BM$579,"?*")</f>
        <v>4</v>
      </c>
    </row>
    <row r="4" customFormat="false" ht="15" hidden="false" customHeight="false" outlineLevel="0" collapsed="false">
      <c r="A4" s="3" t="s">
        <v>62</v>
      </c>
      <c r="B4" s="3" t="n">
        <f aca="false">COUNTIF('Por foco'!$A$2:$A$579,$A4)</f>
        <v>67</v>
      </c>
      <c r="C4" s="3" t="n">
        <f aca="false">SUMIFS('Por foco'!$H$2:$H$579,'Por foco'!$A$2:$A$579,$A4)</f>
        <v>4221</v>
      </c>
      <c r="D4" s="3" t="n">
        <f aca="false">SUMIFS('Por foco'!$I$2:$I$579,'Por foco'!$A$2:$A$579,$A4)</f>
        <v>1620</v>
      </c>
      <c r="E4" s="3" t="n">
        <f aca="false">SUMIFS('Por foco'!$J$2:$J$579,'Por foco'!$A$2:$A$579,$A4)</f>
        <v>15</v>
      </c>
      <c r="F4" s="3" t="n">
        <f aca="false">SUMIFS('Por foco'!$K$2:$K$579,'Por foco'!$A$2:$A$579,$A4)</f>
        <v>15</v>
      </c>
      <c r="G4" s="3" t="n">
        <f aca="false">SUMIFS('Por foco'!$L$2:$L$579,'Por foco'!$A$2:$A$579,$A4)</f>
        <v>100000</v>
      </c>
      <c r="H4" s="3" t="n">
        <f aca="false">SUMIFS('Por foco'!$M$2:$M$579,'Por foco'!$A$2:$A$579,$A4)</f>
        <v>75</v>
      </c>
      <c r="I4" s="3" t="n">
        <f aca="false">SUMIFS('Por foco'!$N$2:$N$579,'Por foco'!$A$2:$A$579,$A4)</f>
        <v>50</v>
      </c>
      <c r="J4" s="3" t="n">
        <f aca="false">SUMIFS('Por foco'!$O$2:$O$579,'Por foco'!$A$2:$A$579,$A4)</f>
        <v>0</v>
      </c>
      <c r="K4" s="3" t="n">
        <f aca="false">SUMIFS('Por foco'!$P$2:$P$579,'Por foco'!$A$2:$A$579,$A4)</f>
        <v>2</v>
      </c>
      <c r="L4" s="3" t="n">
        <f aca="false">SUMIFS('Por foco'!$Q$2:$Q$579,'Por foco'!$A$2:$A$579,$A4)</f>
        <v>10</v>
      </c>
      <c r="M4" s="3" t="n">
        <f aca="false">SUMIFS('Por foco'!$R$2:$R$579,'Por foco'!$A$2:$A$579,$A4)</f>
        <v>17</v>
      </c>
      <c r="N4" s="3" t="n">
        <f aca="false">SUMIFS('Por foco'!$S$2:$S$579,'Por foco'!$A$2:$A$579,$A4)</f>
        <v>8</v>
      </c>
      <c r="O4" s="3" t="n">
        <f aca="false">SUMIFS('Por foco'!$T$2:$T$579,'Por foco'!$A$2:$A$579,$A4)</f>
        <v>9</v>
      </c>
      <c r="P4" s="3" t="n">
        <f aca="false">SUMIFS('Por foco'!$U$2:$U$579,'Por foco'!$A$2:$A$579,$A4)</f>
        <v>4</v>
      </c>
      <c r="Q4" s="3" t="n">
        <f aca="false">SUMIFS('Por foco'!$V$2:$V$579,'Por foco'!$A$2:$A$579,$A4)</f>
        <v>0</v>
      </c>
      <c r="R4" s="3" t="n">
        <f aca="false">SUMIFS('Por foco'!$W$2:$W$579,'Por foco'!$A$2:$A$579,$A4)</f>
        <v>0</v>
      </c>
      <c r="S4" s="3" t="n">
        <f aca="false">SUMIFS('Por foco'!$X$2:$X$579,'Por foco'!$A$2:$A$579,$A4)</f>
        <v>0</v>
      </c>
      <c r="T4" s="3" t="n">
        <f aca="false">SUMIFS('Por foco'!$Y$2:$Y$579,'Por foco'!$A$2:$A$579,$A4)</f>
        <v>120</v>
      </c>
      <c r="U4" s="3" t="n">
        <f aca="false">SUMIFS('Por foco'!$Z$2:$Z$579,'Por foco'!$A$2:$A$579,$A4)</f>
        <v>7</v>
      </c>
      <c r="V4" s="4" t="n">
        <f aca="false">SUMIFS('Por foco'!$AA$2:$AA$579,'Por foco'!$A$2:$A$579,$A4)</f>
        <v>1.2</v>
      </c>
      <c r="W4" s="5" t="n">
        <f aca="false">SUMIFS('Por foco'!$AB$2:$AB$579,'Por foco'!$A$2:$A$579,$A4)</f>
        <v>42.7</v>
      </c>
      <c r="X4" s="5" t="n">
        <f aca="false">SUMIFS('Por foco'!$AC$2:$AC$579,'Por foco'!$A$2:$A$579,$A4)</f>
        <v>20</v>
      </c>
      <c r="Y4" s="4" t="n">
        <f aca="false">SUMIFS('Por foco'!$AD$2:$AD$579,'Por foco'!$A$2:$A$579,$A4)</f>
        <v>0</v>
      </c>
      <c r="Z4" s="5" t="n">
        <f aca="false">SUMIFS('Por foco'!$AE$2:$AE$579,'Por foco'!$A$2:$A$579,$A4)</f>
        <v>-10</v>
      </c>
      <c r="AA4" s="5" t="n">
        <f aca="false">SUMIFS('Por foco'!$AF$2:$AF$579,'Por foco'!$A$2:$A$579,$A4)</f>
        <v>0</v>
      </c>
      <c r="AB4" s="5" t="n">
        <f aca="false">SUMIFS('Por foco'!$AG$2:$AG$579,'Por foco'!$A$2:$A$579,$A4)</f>
        <v>25.4</v>
      </c>
      <c r="AC4" s="5" t="n">
        <f aca="false">SUMIFS('Por foco'!$AH$2:$AH$579,'Por foco'!$A$2:$A$579,$A4)</f>
        <v>15</v>
      </c>
      <c r="AD4" s="5" t="n">
        <f aca="false">SUMIFS('Por foco'!$AI$2:$AI$579,'Por foco'!$A$2:$A$579,$A4)</f>
        <v>25</v>
      </c>
      <c r="AE4" s="5" t="n">
        <f aca="false">SUMIFS('Por foco'!$AJ$2:$AJ$579,'Por foco'!$A$2:$A$579,$A4)</f>
        <v>20</v>
      </c>
      <c r="AF4" s="5" t="n">
        <f aca="false">SUMIFS('Por foco'!$AK$2:$AK$579,'Por foco'!$A$2:$A$579,$A4)</f>
        <v>10</v>
      </c>
      <c r="AG4" s="5" t="n">
        <f aca="false">SUMIFS('Por foco'!$AL$2:$AL$579,'Por foco'!$A$2:$A$579,$A4)</f>
        <v>-15</v>
      </c>
      <c r="AH4" s="5" t="n">
        <f aca="false">SUMIFS('Por foco'!$AM$2:$AM$579,'Por foco'!$A$2:$A$579,$A4)</f>
        <v>10</v>
      </c>
      <c r="AI4" s="5" t="n">
        <f aca="false">SUMIFS('Por foco'!$AN$2:$AN$579,'Por foco'!$A$2:$A$579,$A4)</f>
        <v>5</v>
      </c>
      <c r="AJ4" s="4" t="n">
        <f aca="false">SUMIFS('Por foco'!$AO$2:$AO$579,'Por foco'!$A$2:$A$579,$A4)</f>
        <v>0</v>
      </c>
      <c r="AK4" s="5" t="n">
        <f aca="false">SUMIFS('Por foco'!$AP$2:$AP$579,'Por foco'!$A$2:$A$579,$A4)</f>
        <v>-10</v>
      </c>
      <c r="AL4" s="5" t="n">
        <f aca="false">SUMIFS('Por foco'!$AQ$2:$AQ$579,'Por foco'!$A$2:$A$579,$A4)</f>
        <v>20</v>
      </c>
      <c r="AM4" s="5" t="n">
        <f aca="false">SUMIFS('Por foco'!$AR$2:$AR$579,'Por foco'!$A$2:$A$579,$A4)</f>
        <v>10</v>
      </c>
      <c r="AN4" s="5" t="n">
        <f aca="false">SUMIFS('Por foco'!$AS$2:$AS$579,'Por foco'!$A$2:$A$579,$A4)</f>
        <v>23</v>
      </c>
      <c r="AO4" s="5" t="n">
        <f aca="false">SUMIFS('Por foco'!$AT$2:$AT$579,'Por foco'!$A$2:$A$579,$A4)</f>
        <v>0</v>
      </c>
      <c r="AP4" s="5" t="n">
        <f aca="false">SUMIFS('Por foco'!$AU$2:$AU$579,'Por foco'!$A$2:$A$579,$A4)</f>
        <v>0</v>
      </c>
      <c r="AQ4" s="5" t="n">
        <f aca="false">SUMIFS('Por foco'!$AV$2:$AV$579,'Por foco'!$A$2:$A$579,$A4)</f>
        <v>20</v>
      </c>
      <c r="AR4" s="5" t="n">
        <f aca="false">SUMIFS('Por foco'!$AW$2:$AW$579,'Por foco'!$A$2:$A$579,$A4)</f>
        <v>0</v>
      </c>
      <c r="AS4" s="5" t="n">
        <f aca="false">SUMIFS('Por foco'!$AX$2:$AX$579,'Por foco'!$A$2:$A$579,$A4)</f>
        <v>0</v>
      </c>
      <c r="AT4" s="5" t="n">
        <f aca="false">SUMIFS('Por foco'!$AY$2:$AY$579,'Por foco'!$A$2:$A$579,$A4)</f>
        <v>0</v>
      </c>
      <c r="AU4" s="5" t="n">
        <f aca="false">SUMIFS('Por foco'!$AZ$2:$AZ$579,'Por foco'!$A$2:$A$579,$A4)</f>
        <v>0</v>
      </c>
      <c r="AV4" s="5" t="n">
        <f aca="false">SUMIFS('Por foco'!$BA$2:$BA$579,'Por foco'!$A$2:$A$579,$A4)</f>
        <v>0</v>
      </c>
      <c r="AW4" s="5" t="n">
        <f aca="false">SUMIFS('Por foco'!$BB$2:$BB$579,'Por foco'!$A$2:$A$579,$A4)</f>
        <v>0</v>
      </c>
      <c r="AX4" s="5" t="n">
        <f aca="false">SUMIFS('Por foco'!$BC$2:$BC$579,'Por foco'!$A$2:$A$579,$A4)</f>
        <v>0</v>
      </c>
      <c r="AY4" s="5" t="n">
        <f aca="false">SUMIFS('Por foco'!$BD$2:$BD$579,'Por foco'!$A$2:$A$579,$A4)</f>
        <v>0</v>
      </c>
      <c r="AZ4" s="5" t="n">
        <f aca="false">SUMIFS('Por foco'!$BE$2:$BE$579,'Por foco'!$A$2:$A$579,$A4)</f>
        <v>0</v>
      </c>
      <c r="BA4" s="5" t="n">
        <f aca="false">SUMIFS('Por foco'!$BF$2:$BF$579,'Por foco'!$A$2:$A$579,$A4)</f>
        <v>0</v>
      </c>
      <c r="BB4" s="5" t="n">
        <f aca="false">SUMIFS('Por foco'!$BG$2:$BG$579,'Por foco'!$A$2:$A$579,$A4)</f>
        <v>0</v>
      </c>
      <c r="BC4" s="6" t="n">
        <f aca="false">C4*Pesos!$B$2+D4*Pesos!$B$3+E4*Pesos!$B$4+F4*Pesos!$B$5+G4*Pesos!$B$6+H4*Pesos!$B$7+I4*Pesos!$B$8+J4*Pesos!$B$9+K4*Pesos!$B$10+L4*Pesos!$B$11+M4*Pesos!$B$12+N4*Pesos!$B$13+O4*Pesos!$B$14+P4*Pesos!$B$15+Q4*Pesos!$B$16+R4*Pesos!$B$17+S4*Pesos!$B$18+T4*Pesos!$B$19+U4*Pesos!$B$20</f>
        <v>6205</v>
      </c>
      <c r="BD4" s="6" t="n">
        <f aca="false">V4*Pesos!$B$21+W4*Pesos!$B$22+X4*Pesos!$B$23+Y4*Pesos!$B$24+Z4*Pesos!$B$25+AA4*Pesos!$B$26+AB4*Pesos!$B$27+AC4*Pesos!$B$28+AD4*Pesos!$B$29+AE4*Pesos!$B$30+AF4*Pesos!$B$31+AG4*Pesos!$B$32+AH4*Pesos!$B$33+AI4*Pesos!$B$34+AJ4*Pesos!$B$35+AK4*Pesos!$B$36+AL4*Pesos!$B$37+AM4*Pesos!$B$38+AN4*Pesos!$B$39+AO4*Pesos!$B$40+AP4*Pesos!$B$41+AQ4*Pesos!$B$42+AR4*Pesos!$B$43+AS4*Pesos!$B$44+AT4*Pesos!$B$45+AU4*Pesos!$B$46+AV4*Pesos!$B$47+AW4*Pesos!$B$48+AX4*Pesos!$B$49+AY4*Pesos!$B$50+AZ4*Pesos!$B$51+BA4*Pesos!$B$52+BB4*Pesos!$B$53</f>
        <v>3980</v>
      </c>
      <c r="BE4" s="6" t="n">
        <f aca="false">BC4+BD4</f>
        <v>10185</v>
      </c>
      <c r="BF4" s="6" t="n">
        <f aca="false">SUMIFS('Por foco'!$G$2:$G$579,'Por foco'!$A$2:$A$579,$A4)</f>
        <v>7933.4</v>
      </c>
      <c r="BG4" s="7" t="n">
        <f aca="false">IF($BF$16=0,0,BF4/$BF$16-1)</f>
        <v>-0.0744474165742763</v>
      </c>
      <c r="BH4" s="3" t="n">
        <f aca="false">COUNTIFS('Por foco'!$A$2:$A$579,$A4,'Por foco'!$BM$2:$BM$579,"?*")</f>
        <v>6</v>
      </c>
    </row>
    <row r="5" customFormat="false" ht="15" hidden="false" customHeight="false" outlineLevel="0" collapsed="false">
      <c r="A5" s="3" t="s">
        <v>63</v>
      </c>
      <c r="B5" s="3" t="n">
        <f aca="false">COUNTIF('Por foco'!$A$2:$A$579,$A5)</f>
        <v>64</v>
      </c>
      <c r="C5" s="3" t="n">
        <f aca="false">SUMIFS('Por foco'!$H$2:$H$579,'Por foco'!$A$2:$A$579,$A5)</f>
        <v>4137</v>
      </c>
      <c r="D5" s="3" t="n">
        <f aca="false">SUMIFS('Por foco'!$I$2:$I$579,'Por foco'!$A$2:$A$579,$A5)</f>
        <v>1720</v>
      </c>
      <c r="E5" s="3" t="n">
        <f aca="false">SUMIFS('Por foco'!$J$2:$J$579,'Por foco'!$A$2:$A$579,$A5)</f>
        <v>5</v>
      </c>
      <c r="F5" s="3" t="n">
        <f aca="false">SUMIFS('Por foco'!$K$2:$K$579,'Por foco'!$A$2:$A$579,$A5)</f>
        <v>25</v>
      </c>
      <c r="G5" s="3" t="n">
        <f aca="false">SUMIFS('Por foco'!$L$2:$L$579,'Por foco'!$A$2:$A$579,$A5)</f>
        <v>75000</v>
      </c>
      <c r="H5" s="3" t="n">
        <f aca="false">SUMIFS('Por foco'!$M$2:$M$579,'Por foco'!$A$2:$A$579,$A5)</f>
        <v>150</v>
      </c>
      <c r="I5" s="3" t="n">
        <f aca="false">SUMIFS('Por foco'!$N$2:$N$579,'Por foco'!$A$2:$A$579,$A5)</f>
        <v>255</v>
      </c>
      <c r="J5" s="3" t="n">
        <f aca="false">SUMIFS('Por foco'!$O$2:$O$579,'Por foco'!$A$2:$A$579,$A5)</f>
        <v>0</v>
      </c>
      <c r="K5" s="3" t="n">
        <f aca="false">SUMIFS('Por foco'!$P$2:$P$579,'Por foco'!$A$2:$A$579,$A5)</f>
        <v>2</v>
      </c>
      <c r="L5" s="3" t="n">
        <f aca="false">SUMIFS('Por foco'!$Q$2:$Q$579,'Por foco'!$A$2:$A$579,$A5)</f>
        <v>9</v>
      </c>
      <c r="M5" s="3" t="n">
        <f aca="false">SUMIFS('Por foco'!$R$2:$R$579,'Por foco'!$A$2:$A$579,$A5)</f>
        <v>10</v>
      </c>
      <c r="N5" s="3" t="n">
        <f aca="false">SUMIFS('Por foco'!$S$2:$S$579,'Por foco'!$A$2:$A$579,$A5)</f>
        <v>5</v>
      </c>
      <c r="O5" s="3" t="n">
        <f aca="false">SUMIFS('Por foco'!$T$2:$T$579,'Por foco'!$A$2:$A$579,$A5)</f>
        <v>21</v>
      </c>
      <c r="P5" s="3" t="n">
        <f aca="false">SUMIFS('Por foco'!$U$2:$U$579,'Por foco'!$A$2:$A$579,$A5)</f>
        <v>7</v>
      </c>
      <c r="Q5" s="3" t="n">
        <f aca="false">SUMIFS('Por foco'!$V$2:$V$579,'Por foco'!$A$2:$A$579,$A5)</f>
        <v>3</v>
      </c>
      <c r="R5" s="3" t="n">
        <f aca="false">SUMIFS('Por foco'!$W$2:$W$579,'Por foco'!$A$2:$A$579,$A5)</f>
        <v>0</v>
      </c>
      <c r="S5" s="3" t="n">
        <f aca="false">SUMIFS('Por foco'!$X$2:$X$579,'Por foco'!$A$2:$A$579,$A5)</f>
        <v>0</v>
      </c>
      <c r="T5" s="3" t="n">
        <f aca="false">SUMIFS('Por foco'!$Y$2:$Y$579,'Por foco'!$A$2:$A$579,$A5)</f>
        <v>80</v>
      </c>
      <c r="U5" s="3" t="n">
        <f aca="false">SUMIFS('Por foco'!$Z$2:$Z$579,'Por foco'!$A$2:$A$579,$A5)</f>
        <v>12</v>
      </c>
      <c r="V5" s="4" t="n">
        <f aca="false">SUMIFS('Por foco'!$AA$2:$AA$579,'Por foco'!$A$2:$A$579,$A5)</f>
        <v>0.6</v>
      </c>
      <c r="W5" s="5" t="n">
        <f aca="false">SUMIFS('Por foco'!$AB$2:$AB$579,'Por foco'!$A$2:$A$579,$A5)</f>
        <v>21</v>
      </c>
      <c r="X5" s="5" t="n">
        <f aca="false">SUMIFS('Por foco'!$AC$2:$AC$579,'Por foco'!$A$2:$A$579,$A5)</f>
        <v>25</v>
      </c>
      <c r="Y5" s="4" t="n">
        <f aca="false">SUMIFS('Por foco'!$AD$2:$AD$579,'Por foco'!$A$2:$A$579,$A5)</f>
        <v>0</v>
      </c>
      <c r="Z5" s="5" t="n">
        <f aca="false">SUMIFS('Por foco'!$AE$2:$AE$579,'Por foco'!$A$2:$A$579,$A5)</f>
        <v>45</v>
      </c>
      <c r="AA5" s="5" t="n">
        <f aca="false">SUMIFS('Por foco'!$AF$2:$AF$579,'Por foco'!$A$2:$A$579,$A5)</f>
        <v>0</v>
      </c>
      <c r="AB5" s="5" t="n">
        <f aca="false">SUMIFS('Por foco'!$AG$2:$AG$579,'Por foco'!$A$2:$A$579,$A5)</f>
        <v>5</v>
      </c>
      <c r="AC5" s="5" t="n">
        <f aca="false">SUMIFS('Por foco'!$AH$2:$AH$579,'Por foco'!$A$2:$A$579,$A5)</f>
        <v>65</v>
      </c>
      <c r="AD5" s="5" t="n">
        <f aca="false">SUMIFS('Por foco'!$AI$2:$AI$579,'Por foco'!$A$2:$A$579,$A5)</f>
        <v>10</v>
      </c>
      <c r="AE5" s="5" t="n">
        <f aca="false">SUMIFS('Por foco'!$AJ$2:$AJ$579,'Por foco'!$A$2:$A$579,$A5)</f>
        <v>0</v>
      </c>
      <c r="AF5" s="5" t="n">
        <f aca="false">SUMIFS('Por foco'!$AK$2:$AK$579,'Por foco'!$A$2:$A$579,$A5)</f>
        <v>0</v>
      </c>
      <c r="AG5" s="5" t="n">
        <f aca="false">SUMIFS('Por foco'!$AL$2:$AL$579,'Por foco'!$A$2:$A$579,$A5)</f>
        <v>-10</v>
      </c>
      <c r="AH5" s="5" t="n">
        <f aca="false">SUMIFS('Por foco'!$AM$2:$AM$579,'Por foco'!$A$2:$A$579,$A5)</f>
        <v>0</v>
      </c>
      <c r="AI5" s="5" t="n">
        <f aca="false">SUMIFS('Por foco'!$AN$2:$AN$579,'Por foco'!$A$2:$A$579,$A5)</f>
        <v>0</v>
      </c>
      <c r="AJ5" s="4" t="n">
        <f aca="false">SUMIFS('Por foco'!$AO$2:$AO$579,'Por foco'!$A$2:$A$579,$A5)</f>
        <v>0</v>
      </c>
      <c r="AK5" s="5" t="n">
        <f aca="false">SUMIFS('Por foco'!$AP$2:$AP$579,'Por foco'!$A$2:$A$579,$A5)</f>
        <v>0</v>
      </c>
      <c r="AL5" s="5" t="n">
        <f aca="false">SUMIFS('Por foco'!$AQ$2:$AQ$579,'Por foco'!$A$2:$A$579,$A5)</f>
        <v>15</v>
      </c>
      <c r="AM5" s="5" t="n">
        <f aca="false">SUMIFS('Por foco'!$AR$2:$AR$579,'Por foco'!$A$2:$A$579,$A5)</f>
        <v>5</v>
      </c>
      <c r="AN5" s="5" t="n">
        <f aca="false">SUMIFS('Por foco'!$AS$2:$AS$579,'Por foco'!$A$2:$A$579,$A5)</f>
        <v>10</v>
      </c>
      <c r="AO5" s="5" t="n">
        <f aca="false">SUMIFS('Por foco'!$AT$2:$AT$579,'Por foco'!$A$2:$A$579,$A5)</f>
        <v>0</v>
      </c>
      <c r="AP5" s="5" t="n">
        <f aca="false">SUMIFS('Por foco'!$AU$2:$AU$579,'Por foco'!$A$2:$A$579,$A5)</f>
        <v>0</v>
      </c>
      <c r="AQ5" s="5" t="n">
        <f aca="false">SUMIFS('Por foco'!$AV$2:$AV$579,'Por foco'!$A$2:$A$579,$A5)</f>
        <v>0</v>
      </c>
      <c r="AR5" s="5" t="n">
        <f aca="false">SUMIFS('Por foco'!$AW$2:$AW$579,'Por foco'!$A$2:$A$579,$A5)</f>
        <v>0</v>
      </c>
      <c r="AS5" s="5" t="n">
        <f aca="false">SUMIFS('Por foco'!$AX$2:$AX$579,'Por foco'!$A$2:$A$579,$A5)</f>
        <v>0</v>
      </c>
      <c r="AT5" s="5" t="n">
        <f aca="false">SUMIFS('Por foco'!$AY$2:$AY$579,'Por foco'!$A$2:$A$579,$A5)</f>
        <v>0</v>
      </c>
      <c r="AU5" s="5" t="n">
        <f aca="false">SUMIFS('Por foco'!$AZ$2:$AZ$579,'Por foco'!$A$2:$A$579,$A5)</f>
        <v>0</v>
      </c>
      <c r="AV5" s="5" t="n">
        <f aca="false">SUMIFS('Por foco'!$BA$2:$BA$579,'Por foco'!$A$2:$A$579,$A5)</f>
        <v>0</v>
      </c>
      <c r="AW5" s="5" t="n">
        <f aca="false">SUMIFS('Por foco'!$BB$2:$BB$579,'Por foco'!$A$2:$A$579,$A5)</f>
        <v>0</v>
      </c>
      <c r="AX5" s="5" t="n">
        <f aca="false">SUMIFS('Por foco'!$BC$2:$BC$579,'Por foco'!$A$2:$A$579,$A5)</f>
        <v>0</v>
      </c>
      <c r="AY5" s="5" t="n">
        <f aca="false">SUMIFS('Por foco'!$BD$2:$BD$579,'Por foco'!$A$2:$A$579,$A5)</f>
        <v>0</v>
      </c>
      <c r="AZ5" s="5" t="n">
        <f aca="false">SUMIFS('Por foco'!$BE$2:$BE$579,'Por foco'!$A$2:$A$579,$A5)</f>
        <v>0</v>
      </c>
      <c r="BA5" s="5" t="n">
        <f aca="false">SUMIFS('Por foco'!$BF$2:$BF$579,'Por foco'!$A$2:$A$579,$A5)</f>
        <v>0</v>
      </c>
      <c r="BB5" s="5" t="n">
        <f aca="false">SUMIFS('Por foco'!$BG$2:$BG$579,'Por foco'!$A$2:$A$579,$A5)</f>
        <v>10</v>
      </c>
      <c r="BC5" s="6" t="n">
        <f aca="false">C5*Pesos!$B$2+D5*Pesos!$B$3+E5*Pesos!$B$4+F5*Pesos!$B$5+G5*Pesos!$B$6+H5*Pesos!$B$7+I5*Pesos!$B$8+J5*Pesos!$B$9+K5*Pesos!$B$10+L5*Pesos!$B$11+M5*Pesos!$B$12+N5*Pesos!$B$13+O5*Pesos!$B$14+P5*Pesos!$B$15+Q5*Pesos!$B$16+R5*Pesos!$B$17+S5*Pesos!$B$18+T5*Pesos!$B$19+U5*Pesos!$B$20</f>
        <v>6425</v>
      </c>
      <c r="BD5" s="6" t="n">
        <f aca="false">V5*Pesos!$B$21+W5*Pesos!$B$22+X5*Pesos!$B$23+Y5*Pesos!$B$24+Z5*Pesos!$B$25+AA5*Pesos!$B$26+AB5*Pesos!$B$27+AC5*Pesos!$B$28+AD5*Pesos!$B$29+AE5*Pesos!$B$30+AF5*Pesos!$B$31+AG5*Pesos!$B$32+AH5*Pesos!$B$33+AI5*Pesos!$B$34+AJ5*Pesos!$B$35+AK5*Pesos!$B$36+AL5*Pesos!$B$37+AM5*Pesos!$B$38+AN5*Pesos!$B$39+AO5*Pesos!$B$40+AP5*Pesos!$B$41+AQ5*Pesos!$B$42+AR5*Pesos!$B$43+AS5*Pesos!$B$44+AT5*Pesos!$B$45+AU5*Pesos!$B$46+AV5*Pesos!$B$47+AW5*Pesos!$B$48+AX5*Pesos!$B$49+AY5*Pesos!$B$50+AZ5*Pesos!$B$51+BA5*Pesos!$B$52+BB5*Pesos!$B$53</f>
        <v>2903</v>
      </c>
      <c r="BE5" s="6" t="n">
        <f aca="false">BC5+BD5</f>
        <v>9328</v>
      </c>
      <c r="BF5" s="6" t="n">
        <f aca="false">SUMIFS('Por foco'!$G$2:$G$579,'Por foco'!$A$2:$A$579,$A5)</f>
        <v>7927.5</v>
      </c>
      <c r="BG5" s="7" t="n">
        <f aca="false">IF($BF$16=0,0,BF5/$BF$16-1)</f>
        <v>-0.0751357419129977</v>
      </c>
      <c r="BH5" s="3" t="n">
        <f aca="false">COUNTIFS('Por foco'!$A$2:$A$579,$A5,'Por foco'!$BM$2:$BM$579,"?*")</f>
        <v>4</v>
      </c>
    </row>
    <row r="6" customFormat="false" ht="15" hidden="false" customHeight="false" outlineLevel="0" collapsed="false">
      <c r="A6" s="3" t="s">
        <v>64</v>
      </c>
      <c r="B6" s="3" t="n">
        <f aca="false">COUNTIF('Por foco'!$A$2:$A$579,$A6)</f>
        <v>68</v>
      </c>
      <c r="C6" s="3" t="n">
        <f aca="false">SUMIFS('Por foco'!$H$2:$H$579,'Por foco'!$A$2:$A$579,$A6)</f>
        <v>4417</v>
      </c>
      <c r="D6" s="3" t="n">
        <f aca="false">SUMIFS('Por foco'!$I$2:$I$579,'Por foco'!$A$2:$A$579,$A6)</f>
        <v>1170</v>
      </c>
      <c r="E6" s="3" t="n">
        <f aca="false">SUMIFS('Por foco'!$J$2:$J$579,'Por foco'!$A$2:$A$579,$A6)</f>
        <v>38</v>
      </c>
      <c r="F6" s="3" t="n">
        <f aca="false">SUMIFS('Por foco'!$K$2:$K$579,'Por foco'!$A$2:$A$579,$A6)</f>
        <v>35</v>
      </c>
      <c r="G6" s="3" t="n">
        <f aca="false">SUMIFS('Por foco'!$L$2:$L$579,'Por foco'!$A$2:$A$579,$A6)</f>
        <v>80000</v>
      </c>
      <c r="H6" s="3" t="n">
        <f aca="false">SUMIFS('Por foco'!$M$2:$M$579,'Por foco'!$A$2:$A$579,$A6)</f>
        <v>325</v>
      </c>
      <c r="I6" s="3" t="n">
        <f aca="false">SUMIFS('Por foco'!$N$2:$N$579,'Por foco'!$A$2:$A$579,$A6)</f>
        <v>25</v>
      </c>
      <c r="J6" s="3" t="n">
        <f aca="false">SUMIFS('Por foco'!$O$2:$O$579,'Por foco'!$A$2:$A$579,$A6)</f>
        <v>50</v>
      </c>
      <c r="K6" s="3" t="n">
        <f aca="false">SUMIFS('Por foco'!$P$2:$P$579,'Por foco'!$A$2:$A$579,$A6)</f>
        <v>4</v>
      </c>
      <c r="L6" s="3" t="n">
        <f aca="false">SUMIFS('Por foco'!$Q$2:$Q$579,'Por foco'!$A$2:$A$579,$A6)</f>
        <v>16</v>
      </c>
      <c r="M6" s="3" t="n">
        <f aca="false">SUMIFS('Por foco'!$R$2:$R$579,'Por foco'!$A$2:$A$579,$A6)</f>
        <v>16</v>
      </c>
      <c r="N6" s="3" t="n">
        <f aca="false">SUMIFS('Por foco'!$S$2:$S$579,'Por foco'!$A$2:$A$579,$A6)</f>
        <v>2</v>
      </c>
      <c r="O6" s="3" t="n">
        <f aca="false">SUMIFS('Por foco'!$T$2:$T$579,'Por foco'!$A$2:$A$579,$A6)</f>
        <v>4</v>
      </c>
      <c r="P6" s="3" t="n">
        <f aca="false">SUMIFS('Por foco'!$U$2:$U$579,'Por foco'!$A$2:$A$579,$A6)</f>
        <v>2</v>
      </c>
      <c r="Q6" s="3" t="n">
        <f aca="false">SUMIFS('Por foco'!$V$2:$V$579,'Por foco'!$A$2:$A$579,$A6)</f>
        <v>5</v>
      </c>
      <c r="R6" s="3" t="n">
        <f aca="false">SUMIFS('Por foco'!$W$2:$W$579,'Por foco'!$A$2:$A$579,$A6)</f>
        <v>0</v>
      </c>
      <c r="S6" s="3" t="n">
        <f aca="false">SUMIFS('Por foco'!$X$2:$X$579,'Por foco'!$A$2:$A$579,$A6)</f>
        <v>0</v>
      </c>
      <c r="T6" s="3" t="n">
        <f aca="false">SUMIFS('Por foco'!$Y$2:$Y$579,'Por foco'!$A$2:$A$579,$A6)</f>
        <v>300</v>
      </c>
      <c r="U6" s="3" t="n">
        <f aca="false">SUMIFS('Por foco'!$Z$2:$Z$579,'Por foco'!$A$2:$A$579,$A6)</f>
        <v>22</v>
      </c>
      <c r="V6" s="4" t="n">
        <f aca="false">SUMIFS('Por foco'!$AA$2:$AA$579,'Por foco'!$A$2:$A$579,$A6)</f>
        <v>0.75</v>
      </c>
      <c r="W6" s="5" t="n">
        <f aca="false">SUMIFS('Por foco'!$AB$2:$AB$579,'Por foco'!$A$2:$A$579,$A6)</f>
        <v>70</v>
      </c>
      <c r="X6" s="5" t="n">
        <f aca="false">SUMIFS('Por foco'!$AC$2:$AC$579,'Por foco'!$A$2:$A$579,$A6)</f>
        <v>15</v>
      </c>
      <c r="Y6" s="4" t="n">
        <f aca="false">SUMIFS('Por foco'!$AD$2:$AD$579,'Por foco'!$A$2:$A$579,$A6)</f>
        <v>0</v>
      </c>
      <c r="Z6" s="5" t="n">
        <f aca="false">SUMIFS('Por foco'!$AE$2:$AE$579,'Por foco'!$A$2:$A$579,$A6)</f>
        <v>20</v>
      </c>
      <c r="AA6" s="5" t="n">
        <f aca="false">SUMIFS('Por foco'!$AF$2:$AF$579,'Por foco'!$A$2:$A$579,$A6)</f>
        <v>0</v>
      </c>
      <c r="AB6" s="5" t="n">
        <f aca="false">SUMIFS('Por foco'!$AG$2:$AG$579,'Por foco'!$A$2:$A$579,$A6)</f>
        <v>30</v>
      </c>
      <c r="AC6" s="5" t="n">
        <f aca="false">SUMIFS('Por foco'!$AH$2:$AH$579,'Por foco'!$A$2:$A$579,$A6)</f>
        <v>0</v>
      </c>
      <c r="AD6" s="5" t="n">
        <f aca="false">SUMIFS('Por foco'!$AI$2:$AI$579,'Por foco'!$A$2:$A$579,$A6)</f>
        <v>25</v>
      </c>
      <c r="AE6" s="5" t="n">
        <f aca="false">SUMIFS('Por foco'!$AJ$2:$AJ$579,'Por foco'!$A$2:$A$579,$A6)</f>
        <v>0</v>
      </c>
      <c r="AF6" s="5" t="n">
        <f aca="false">SUMIFS('Por foco'!$AK$2:$AK$579,'Por foco'!$A$2:$A$579,$A6)</f>
        <v>0</v>
      </c>
      <c r="AG6" s="5" t="n">
        <f aca="false">SUMIFS('Por foco'!$AL$2:$AL$579,'Por foco'!$A$2:$A$579,$A6)</f>
        <v>-5</v>
      </c>
      <c r="AH6" s="5" t="n">
        <f aca="false">SUMIFS('Por foco'!$AM$2:$AM$579,'Por foco'!$A$2:$A$579,$A6)</f>
        <v>35</v>
      </c>
      <c r="AI6" s="5" t="n">
        <f aca="false">SUMIFS('Por foco'!$AN$2:$AN$579,'Por foco'!$A$2:$A$579,$A6)</f>
        <v>8</v>
      </c>
      <c r="AJ6" s="4" t="n">
        <f aca="false">SUMIFS('Por foco'!$AO$2:$AO$579,'Por foco'!$A$2:$A$579,$A6)</f>
        <v>0</v>
      </c>
      <c r="AK6" s="5" t="n">
        <f aca="false">SUMIFS('Por foco'!$AP$2:$AP$579,'Por foco'!$A$2:$A$579,$A6)</f>
        <v>10</v>
      </c>
      <c r="AL6" s="5" t="n">
        <f aca="false">SUMIFS('Por foco'!$AQ$2:$AQ$579,'Por foco'!$A$2:$A$579,$A6)</f>
        <v>30</v>
      </c>
      <c r="AM6" s="5" t="n">
        <f aca="false">SUMIFS('Por foco'!$AR$2:$AR$579,'Por foco'!$A$2:$A$579,$A6)</f>
        <v>30</v>
      </c>
      <c r="AN6" s="5" t="n">
        <f aca="false">SUMIFS('Por foco'!$AS$2:$AS$579,'Por foco'!$A$2:$A$579,$A6)</f>
        <v>25</v>
      </c>
      <c r="AO6" s="5" t="n">
        <f aca="false">SUMIFS('Por foco'!$AT$2:$AT$579,'Por foco'!$A$2:$A$579,$A6)</f>
        <v>0</v>
      </c>
      <c r="AP6" s="5" t="n">
        <f aca="false">SUMIFS('Por foco'!$AU$2:$AU$579,'Por foco'!$A$2:$A$579,$A6)</f>
        <v>0</v>
      </c>
      <c r="AQ6" s="5" t="n">
        <f aca="false">SUMIFS('Por foco'!$AV$2:$AV$579,'Por foco'!$A$2:$A$579,$A6)</f>
        <v>0</v>
      </c>
      <c r="AR6" s="5" t="n">
        <f aca="false">SUMIFS('Por foco'!$AW$2:$AW$579,'Por foco'!$A$2:$A$579,$A6)</f>
        <v>0</v>
      </c>
      <c r="AS6" s="5" t="n">
        <f aca="false">SUMIFS('Por foco'!$AX$2:$AX$579,'Por foco'!$A$2:$A$579,$A6)</f>
        <v>0</v>
      </c>
      <c r="AT6" s="5" t="n">
        <f aca="false">SUMIFS('Por foco'!$AY$2:$AY$579,'Por foco'!$A$2:$A$579,$A6)</f>
        <v>5</v>
      </c>
      <c r="AU6" s="5" t="n">
        <f aca="false">SUMIFS('Por foco'!$AZ$2:$AZ$579,'Por foco'!$A$2:$A$579,$A6)</f>
        <v>15</v>
      </c>
      <c r="AV6" s="5" t="n">
        <f aca="false">SUMIFS('Por foco'!$BA$2:$BA$579,'Por foco'!$A$2:$A$579,$A6)</f>
        <v>5</v>
      </c>
      <c r="AW6" s="5" t="n">
        <f aca="false">SUMIFS('Por foco'!$BB$2:$BB$579,'Por foco'!$A$2:$A$579,$A6)</f>
        <v>10</v>
      </c>
      <c r="AX6" s="5" t="n">
        <f aca="false">SUMIFS('Por foco'!$BC$2:$BC$579,'Por foco'!$A$2:$A$579,$A6)</f>
        <v>15</v>
      </c>
      <c r="AY6" s="5" t="n">
        <f aca="false">SUMIFS('Por foco'!$BD$2:$BD$579,'Por foco'!$A$2:$A$579,$A6)</f>
        <v>50</v>
      </c>
      <c r="AZ6" s="5" t="n">
        <f aca="false">SUMIFS('Por foco'!$BE$2:$BE$579,'Por foco'!$A$2:$A$579,$A6)</f>
        <v>25</v>
      </c>
      <c r="BA6" s="5" t="n">
        <f aca="false">SUMIFS('Por foco'!$BF$2:$BF$579,'Por foco'!$A$2:$A$579,$A6)</f>
        <v>15</v>
      </c>
      <c r="BB6" s="5" t="n">
        <f aca="false">SUMIFS('Por foco'!$BG$2:$BG$579,'Por foco'!$A$2:$A$579,$A6)</f>
        <v>0</v>
      </c>
      <c r="BC6" s="6" t="n">
        <f aca="false">C6*Pesos!$B$2+D6*Pesos!$B$3+E6*Pesos!$B$4+F6*Pesos!$B$5+G6*Pesos!$B$6+H6*Pesos!$B$7+I6*Pesos!$B$8+J6*Pesos!$B$9+K6*Pesos!$B$10+L6*Pesos!$B$11+M6*Pesos!$B$12+N6*Pesos!$B$13+O6*Pesos!$B$14+P6*Pesos!$B$15+Q6*Pesos!$B$16+R6*Pesos!$B$17+S6*Pesos!$B$18+T6*Pesos!$B$19+U6*Pesos!$B$20</f>
        <v>6660</v>
      </c>
      <c r="BD6" s="6" t="n">
        <f aca="false">V6*Pesos!$B$21+W6*Pesos!$B$22+X6*Pesos!$B$23+Y6*Pesos!$B$24+Z6*Pesos!$B$25+AA6*Pesos!$B$26+AB6*Pesos!$B$27+AC6*Pesos!$B$28+AD6*Pesos!$B$29+AE6*Pesos!$B$30+AF6*Pesos!$B$31+AG6*Pesos!$B$32+AH6*Pesos!$B$33+AI6*Pesos!$B$34+AJ6*Pesos!$B$35+AK6*Pesos!$B$36+AL6*Pesos!$B$37+AM6*Pesos!$B$38+AN6*Pesos!$B$39+AO6*Pesos!$B$40+AP6*Pesos!$B$41+AQ6*Pesos!$B$42+AR6*Pesos!$B$43+AS6*Pesos!$B$44+AT6*Pesos!$B$45+AU6*Pesos!$B$46+AV6*Pesos!$B$47+AW6*Pesos!$B$48+AX6*Pesos!$B$49+AY6*Pesos!$B$50+AZ6*Pesos!$B$51+BA6*Pesos!$B$52+BB6*Pesos!$B$53</f>
        <v>4917.5</v>
      </c>
      <c r="BE6" s="6" t="n">
        <f aca="false">BC6+BD6</f>
        <v>11577.5</v>
      </c>
      <c r="BF6" s="6" t="n">
        <f aca="false">SUMIFS('Por foco'!$G$2:$G$579,'Por foco'!$A$2:$A$579,$A6)</f>
        <v>8605</v>
      </c>
      <c r="BG6" s="7" t="n">
        <f aca="false">IF($BF$16=0,0,BF6/$BF$16-1)</f>
        <v>0.00390500672830729</v>
      </c>
      <c r="BH6" s="3" t="n">
        <f aca="false">COUNTIFS('Por foco'!$A$2:$A$579,$A6,'Por foco'!$BM$2:$BM$579,"?*")</f>
        <v>4</v>
      </c>
    </row>
    <row r="7" customFormat="false" ht="15" hidden="false" customHeight="false" outlineLevel="0" collapsed="false">
      <c r="A7" s="3" t="s">
        <v>65</v>
      </c>
      <c r="B7" s="3" t="n">
        <f aca="false">COUNTIF('Por foco'!$A$2:$A$579,$A7)</f>
        <v>65</v>
      </c>
      <c r="C7" s="3" t="n">
        <f aca="false">SUMIFS('Por foco'!$H$2:$H$579,'Por foco'!$A$2:$A$579,$A7)</f>
        <v>4123</v>
      </c>
      <c r="D7" s="3" t="n">
        <f aca="false">SUMIFS('Por foco'!$I$2:$I$579,'Por foco'!$A$2:$A$579,$A7)</f>
        <v>1120</v>
      </c>
      <c r="E7" s="3" t="n">
        <f aca="false">SUMIFS('Por foco'!$J$2:$J$579,'Por foco'!$A$2:$A$579,$A7)</f>
        <v>18</v>
      </c>
      <c r="F7" s="3" t="n">
        <f aca="false">SUMIFS('Por foco'!$K$2:$K$579,'Por foco'!$A$2:$A$579,$A7)</f>
        <v>25</v>
      </c>
      <c r="G7" s="3" t="n">
        <f aca="false">SUMIFS('Por foco'!$L$2:$L$579,'Por foco'!$A$2:$A$579,$A7)</f>
        <v>300000</v>
      </c>
      <c r="H7" s="3" t="n">
        <f aca="false">SUMIFS('Por foco'!$M$2:$M$579,'Por foco'!$A$2:$A$579,$A7)</f>
        <v>375</v>
      </c>
      <c r="I7" s="3" t="n">
        <f aca="false">SUMIFS('Por foco'!$N$2:$N$579,'Por foco'!$A$2:$A$579,$A7)</f>
        <v>25</v>
      </c>
      <c r="J7" s="3" t="n">
        <f aca="false">SUMIFS('Por foco'!$O$2:$O$579,'Por foco'!$A$2:$A$579,$A7)</f>
        <v>50</v>
      </c>
      <c r="K7" s="3" t="n">
        <f aca="false">SUMIFS('Por foco'!$P$2:$P$579,'Por foco'!$A$2:$A$579,$A7)</f>
        <v>4</v>
      </c>
      <c r="L7" s="3" t="n">
        <f aca="false">SUMIFS('Por foco'!$Q$2:$Q$579,'Por foco'!$A$2:$A$579,$A7)</f>
        <v>20</v>
      </c>
      <c r="M7" s="3" t="n">
        <f aca="false">SUMIFS('Por foco'!$R$2:$R$579,'Por foco'!$A$2:$A$579,$A7)</f>
        <v>17</v>
      </c>
      <c r="N7" s="3" t="n">
        <f aca="false">SUMIFS('Por foco'!$S$2:$S$579,'Por foco'!$A$2:$A$579,$A7)</f>
        <v>4</v>
      </c>
      <c r="O7" s="3" t="n">
        <f aca="false">SUMIFS('Por foco'!$T$2:$T$579,'Por foco'!$A$2:$A$579,$A7)</f>
        <v>4</v>
      </c>
      <c r="P7" s="3" t="n">
        <f aca="false">SUMIFS('Por foco'!$U$2:$U$579,'Por foco'!$A$2:$A$579,$A7)</f>
        <v>5</v>
      </c>
      <c r="Q7" s="3" t="n">
        <f aca="false">SUMIFS('Por foco'!$V$2:$V$579,'Por foco'!$A$2:$A$579,$A7)</f>
        <v>2</v>
      </c>
      <c r="R7" s="3" t="n">
        <f aca="false">SUMIFS('Por foco'!$W$2:$W$579,'Por foco'!$A$2:$A$579,$A7)</f>
        <v>0</v>
      </c>
      <c r="S7" s="3" t="n">
        <f aca="false">SUMIFS('Por foco'!$X$2:$X$579,'Por foco'!$A$2:$A$579,$A7)</f>
        <v>0</v>
      </c>
      <c r="T7" s="3" t="n">
        <f aca="false">SUMIFS('Por foco'!$Y$2:$Y$579,'Por foco'!$A$2:$A$579,$A7)</f>
        <v>100</v>
      </c>
      <c r="U7" s="3" t="n">
        <f aca="false">SUMIFS('Por foco'!$Z$2:$Z$579,'Por foco'!$A$2:$A$579,$A7)</f>
        <v>10</v>
      </c>
      <c r="V7" s="4" t="n">
        <f aca="false">SUMIFS('Por foco'!$AA$2:$AA$579,'Por foco'!$A$2:$A$579,$A7)</f>
        <v>0.5</v>
      </c>
      <c r="W7" s="5" t="n">
        <f aca="false">SUMIFS('Por foco'!$AB$2:$AB$579,'Por foco'!$A$2:$A$579,$A7)</f>
        <v>36.6</v>
      </c>
      <c r="X7" s="5" t="n">
        <f aca="false">SUMIFS('Por foco'!$AC$2:$AC$579,'Por foco'!$A$2:$A$579,$A7)</f>
        <v>20</v>
      </c>
      <c r="Y7" s="4" t="n">
        <f aca="false">SUMIFS('Por foco'!$AD$2:$AD$579,'Por foco'!$A$2:$A$579,$A7)</f>
        <v>0</v>
      </c>
      <c r="Z7" s="5" t="n">
        <f aca="false">SUMIFS('Por foco'!$AE$2:$AE$579,'Por foco'!$A$2:$A$579,$A7)</f>
        <v>0</v>
      </c>
      <c r="AA7" s="5" t="n">
        <f aca="false">SUMIFS('Por foco'!$AF$2:$AF$579,'Por foco'!$A$2:$A$579,$A7)</f>
        <v>0</v>
      </c>
      <c r="AB7" s="5" t="n">
        <f aca="false">SUMIFS('Por foco'!$AG$2:$AG$579,'Por foco'!$A$2:$A$579,$A7)</f>
        <v>55.6</v>
      </c>
      <c r="AC7" s="5" t="n">
        <f aca="false">SUMIFS('Por foco'!$AH$2:$AH$579,'Por foco'!$A$2:$A$579,$A7)</f>
        <v>0</v>
      </c>
      <c r="AD7" s="5" t="n">
        <f aca="false">SUMIFS('Por foco'!$AI$2:$AI$579,'Por foco'!$A$2:$A$579,$A7)</f>
        <v>40</v>
      </c>
      <c r="AE7" s="5" t="n">
        <f aca="false">SUMIFS('Por foco'!$AJ$2:$AJ$579,'Por foco'!$A$2:$A$579,$A7)</f>
        <v>0</v>
      </c>
      <c r="AF7" s="5" t="n">
        <f aca="false">SUMIFS('Por foco'!$AK$2:$AK$579,'Por foco'!$A$2:$A$579,$A7)</f>
        <v>0</v>
      </c>
      <c r="AG7" s="5" t="n">
        <f aca="false">SUMIFS('Por foco'!$AL$2:$AL$579,'Por foco'!$A$2:$A$579,$A7)</f>
        <v>0</v>
      </c>
      <c r="AH7" s="5" t="n">
        <f aca="false">SUMIFS('Por foco'!$AM$2:$AM$579,'Por foco'!$A$2:$A$579,$A7)</f>
        <v>0</v>
      </c>
      <c r="AI7" s="5" t="n">
        <f aca="false">SUMIFS('Por foco'!$AN$2:$AN$579,'Por foco'!$A$2:$A$579,$A7)</f>
        <v>25</v>
      </c>
      <c r="AJ7" s="4" t="n">
        <f aca="false">SUMIFS('Por foco'!$AO$2:$AO$579,'Por foco'!$A$2:$A$579,$A7)</f>
        <v>0</v>
      </c>
      <c r="AK7" s="5" t="n">
        <f aca="false">SUMIFS('Por foco'!$AP$2:$AP$579,'Por foco'!$A$2:$A$579,$A7)</f>
        <v>6.6</v>
      </c>
      <c r="AL7" s="5" t="n">
        <f aca="false">SUMIFS('Por foco'!$AQ$2:$AQ$579,'Por foco'!$A$2:$A$579,$A7)</f>
        <v>20</v>
      </c>
      <c r="AM7" s="5" t="n">
        <f aca="false">SUMIFS('Por foco'!$AR$2:$AR$579,'Por foco'!$A$2:$A$579,$A7)</f>
        <v>15</v>
      </c>
      <c r="AN7" s="5" t="n">
        <f aca="false">SUMIFS('Por foco'!$AS$2:$AS$579,'Por foco'!$A$2:$A$579,$A7)</f>
        <v>33</v>
      </c>
      <c r="AO7" s="5" t="n">
        <f aca="false">SUMIFS('Por foco'!$AT$2:$AT$579,'Por foco'!$A$2:$A$579,$A7)</f>
        <v>0</v>
      </c>
      <c r="AP7" s="5" t="n">
        <f aca="false">SUMIFS('Por foco'!$AU$2:$AU$579,'Por foco'!$A$2:$A$579,$A7)</f>
        <v>0</v>
      </c>
      <c r="AQ7" s="5" t="n">
        <f aca="false">SUMIFS('Por foco'!$AV$2:$AV$579,'Por foco'!$A$2:$A$579,$A7)</f>
        <v>0</v>
      </c>
      <c r="AR7" s="5" t="n">
        <f aca="false">SUMIFS('Por foco'!$AW$2:$AW$579,'Por foco'!$A$2:$A$579,$A7)</f>
        <v>0</v>
      </c>
      <c r="AS7" s="5" t="n">
        <f aca="false">SUMIFS('Por foco'!$AX$2:$AX$579,'Por foco'!$A$2:$A$579,$A7)</f>
        <v>0</v>
      </c>
      <c r="AT7" s="5" t="n">
        <f aca="false">SUMIFS('Por foco'!$AY$2:$AY$579,'Por foco'!$A$2:$A$579,$A7)</f>
        <v>0</v>
      </c>
      <c r="AU7" s="5" t="n">
        <f aca="false">SUMIFS('Por foco'!$AZ$2:$AZ$579,'Por foco'!$A$2:$A$579,$A7)</f>
        <v>0</v>
      </c>
      <c r="AV7" s="5" t="n">
        <f aca="false">SUMIFS('Por foco'!$BA$2:$BA$579,'Por foco'!$A$2:$A$579,$A7)</f>
        <v>0</v>
      </c>
      <c r="AW7" s="5" t="n">
        <f aca="false">SUMIFS('Por foco'!$BB$2:$BB$579,'Por foco'!$A$2:$A$579,$A7)</f>
        <v>0</v>
      </c>
      <c r="AX7" s="5" t="n">
        <f aca="false">SUMIFS('Por foco'!$BC$2:$BC$579,'Por foco'!$A$2:$A$579,$A7)</f>
        <v>0</v>
      </c>
      <c r="AY7" s="5" t="n">
        <f aca="false">SUMIFS('Por foco'!$BD$2:$BD$579,'Por foco'!$A$2:$A$579,$A7)</f>
        <v>0</v>
      </c>
      <c r="AZ7" s="5" t="n">
        <f aca="false">SUMIFS('Por foco'!$BE$2:$BE$579,'Por foco'!$A$2:$A$579,$A7)</f>
        <v>0</v>
      </c>
      <c r="BA7" s="5" t="n">
        <f aca="false">SUMIFS('Por foco'!$BF$2:$BF$579,'Por foco'!$A$2:$A$579,$A7)</f>
        <v>0</v>
      </c>
      <c r="BB7" s="5" t="n">
        <f aca="false">SUMIFS('Por foco'!$BG$2:$BG$579,'Por foco'!$A$2:$A$579,$A7)</f>
        <v>0</v>
      </c>
      <c r="BC7" s="6" t="n">
        <f aca="false">C7*Pesos!$B$2+D7*Pesos!$B$3+E7*Pesos!$B$4+F7*Pesos!$B$5+G7*Pesos!$B$6+H7*Pesos!$B$7+I7*Pesos!$B$8+J7*Pesos!$B$9+K7*Pesos!$B$10+L7*Pesos!$B$11+M7*Pesos!$B$12+N7*Pesos!$B$13+O7*Pesos!$B$14+P7*Pesos!$B$15+Q7*Pesos!$B$16+R7*Pesos!$B$17+S7*Pesos!$B$18+T7*Pesos!$B$19+U7*Pesos!$B$20</f>
        <v>6855</v>
      </c>
      <c r="BD7" s="6" t="n">
        <f aca="false">V7*Pesos!$B$21+W7*Pesos!$B$22+X7*Pesos!$B$23+Y7*Pesos!$B$24+Z7*Pesos!$B$25+AA7*Pesos!$B$26+AB7*Pesos!$B$27+AC7*Pesos!$B$28+AD7*Pesos!$B$29+AE7*Pesos!$B$30+AF7*Pesos!$B$31+AG7*Pesos!$B$32+AH7*Pesos!$B$33+AI7*Pesos!$B$34+AJ7*Pesos!$B$35+AK7*Pesos!$B$36+AL7*Pesos!$B$37+AM7*Pesos!$B$38+AN7*Pesos!$B$39+AO7*Pesos!$B$40+AP7*Pesos!$B$41+AQ7*Pesos!$B$42+AR7*Pesos!$B$43+AS7*Pesos!$B$44+AT7*Pesos!$B$45+AU7*Pesos!$B$46+AV7*Pesos!$B$47+AW7*Pesos!$B$48+AX7*Pesos!$B$49+AY7*Pesos!$B$50+AZ7*Pesos!$B$51+BA7*Pesos!$B$52+BB7*Pesos!$B$53</f>
        <v>4542</v>
      </c>
      <c r="BE7" s="6" t="n">
        <f aca="false">BC7+BD7</f>
        <v>11397</v>
      </c>
      <c r="BF7" s="6" t="n">
        <f aca="false">SUMIFS('Por foco'!$G$2:$G$579,'Por foco'!$A$2:$A$579,$A7)</f>
        <v>8712.75</v>
      </c>
      <c r="BG7" s="7" t="n">
        <f aca="false">IF($BF$16=0,0,BF7/$BF$16-1)</f>
        <v>0.016475694058345</v>
      </c>
      <c r="BH7" s="3" t="n">
        <f aca="false">COUNTIFS('Por foco'!$A$2:$A$579,$A7,'Por foco'!$BM$2:$BM$579,"?*")</f>
        <v>4</v>
      </c>
    </row>
    <row r="8" customFormat="false" ht="15" hidden="false" customHeight="false" outlineLevel="0" collapsed="false">
      <c r="A8" s="3" t="s">
        <v>66</v>
      </c>
      <c r="B8" s="3" t="n">
        <f aca="false">COUNTIF('Por foco'!$A$2:$A$579,$A8)</f>
        <v>62</v>
      </c>
      <c r="C8" s="3" t="n">
        <f aca="false">SUMIFS('Por foco'!$H$2:$H$579,'Por foco'!$A$2:$A$579,$A8)</f>
        <v>4025</v>
      </c>
      <c r="D8" s="3" t="n">
        <f aca="false">SUMIFS('Por foco'!$I$2:$I$579,'Por foco'!$A$2:$A$579,$A8)</f>
        <v>1070</v>
      </c>
      <c r="E8" s="3" t="n">
        <f aca="false">SUMIFS('Por foco'!$J$2:$J$579,'Por foco'!$A$2:$A$579,$A8)</f>
        <v>18</v>
      </c>
      <c r="F8" s="3" t="n">
        <f aca="false">SUMIFS('Por foco'!$K$2:$K$579,'Por foco'!$A$2:$A$579,$A8)</f>
        <v>45</v>
      </c>
      <c r="G8" s="3" t="n">
        <f aca="false">SUMIFS('Por foco'!$L$2:$L$579,'Por foco'!$A$2:$A$579,$A8)</f>
        <v>320000</v>
      </c>
      <c r="H8" s="3" t="n">
        <f aca="false">SUMIFS('Por foco'!$M$2:$M$579,'Por foco'!$A$2:$A$579,$A8)</f>
        <v>425</v>
      </c>
      <c r="I8" s="3" t="n">
        <f aca="false">SUMIFS('Por foco'!$N$2:$N$579,'Por foco'!$A$2:$A$579,$A8)</f>
        <v>25</v>
      </c>
      <c r="J8" s="3" t="n">
        <f aca="false">SUMIFS('Por foco'!$O$2:$O$579,'Por foco'!$A$2:$A$579,$A8)</f>
        <v>50</v>
      </c>
      <c r="K8" s="3" t="n">
        <f aca="false">SUMIFS('Por foco'!$P$2:$P$579,'Por foco'!$A$2:$A$579,$A8)</f>
        <v>3</v>
      </c>
      <c r="L8" s="3" t="n">
        <f aca="false">SUMIFS('Por foco'!$Q$2:$Q$579,'Por foco'!$A$2:$A$579,$A8)</f>
        <v>21</v>
      </c>
      <c r="M8" s="3" t="n">
        <f aca="false">SUMIFS('Por foco'!$R$2:$R$579,'Por foco'!$A$2:$A$579,$A8)</f>
        <v>19</v>
      </c>
      <c r="N8" s="3" t="n">
        <f aca="false">SUMIFS('Por foco'!$S$2:$S$579,'Por foco'!$A$2:$A$579,$A8)</f>
        <v>2</v>
      </c>
      <c r="O8" s="3" t="n">
        <f aca="false">SUMIFS('Por foco'!$T$2:$T$579,'Por foco'!$A$2:$A$579,$A8)</f>
        <v>5</v>
      </c>
      <c r="P8" s="3" t="n">
        <f aca="false">SUMIFS('Por foco'!$U$2:$U$579,'Por foco'!$A$2:$A$579,$A8)</f>
        <v>4</v>
      </c>
      <c r="Q8" s="3" t="n">
        <f aca="false">SUMIFS('Por foco'!$V$2:$V$579,'Por foco'!$A$2:$A$579,$A8)</f>
        <v>3</v>
      </c>
      <c r="R8" s="3" t="n">
        <f aca="false">SUMIFS('Por foco'!$W$2:$W$579,'Por foco'!$A$2:$A$579,$A8)</f>
        <v>0</v>
      </c>
      <c r="S8" s="3" t="n">
        <f aca="false">SUMIFS('Por foco'!$X$2:$X$579,'Por foco'!$A$2:$A$579,$A8)</f>
        <v>0</v>
      </c>
      <c r="T8" s="3" t="n">
        <f aca="false">SUMIFS('Por foco'!$Y$2:$Y$579,'Por foco'!$A$2:$A$579,$A8)</f>
        <v>100</v>
      </c>
      <c r="U8" s="3" t="n">
        <f aca="false">SUMIFS('Por foco'!$Z$2:$Z$579,'Por foco'!$A$2:$A$579,$A8)</f>
        <v>15</v>
      </c>
      <c r="V8" s="4" t="n">
        <f aca="false">SUMIFS('Por foco'!$AA$2:$AA$579,'Por foco'!$A$2:$A$579,$A8)</f>
        <v>1.15</v>
      </c>
      <c r="W8" s="5" t="n">
        <f aca="false">SUMIFS('Por foco'!$AB$2:$AB$579,'Por foco'!$A$2:$A$579,$A8)</f>
        <v>84.5</v>
      </c>
      <c r="X8" s="5" t="n">
        <f aca="false">SUMIFS('Por foco'!$AC$2:$AC$579,'Por foco'!$A$2:$A$579,$A8)</f>
        <v>35</v>
      </c>
      <c r="Y8" s="4" t="n">
        <f aca="false">SUMIFS('Por foco'!$AD$2:$AD$579,'Por foco'!$A$2:$A$579,$A8)</f>
        <v>0</v>
      </c>
      <c r="Z8" s="5" t="n">
        <f aca="false">SUMIFS('Por foco'!$AE$2:$AE$579,'Por foco'!$A$2:$A$579,$A8)</f>
        <v>30</v>
      </c>
      <c r="AA8" s="5" t="n">
        <f aca="false">SUMIFS('Por foco'!$AF$2:$AF$579,'Por foco'!$A$2:$A$579,$A8)</f>
        <v>0</v>
      </c>
      <c r="AB8" s="5" t="n">
        <f aca="false">SUMIFS('Por foco'!$AG$2:$AG$579,'Por foco'!$A$2:$A$579,$A8)</f>
        <v>35</v>
      </c>
      <c r="AC8" s="5" t="n">
        <f aca="false">SUMIFS('Por foco'!$AH$2:$AH$579,'Por foco'!$A$2:$A$579,$A8)</f>
        <v>0</v>
      </c>
      <c r="AD8" s="5" t="n">
        <f aca="false">SUMIFS('Por foco'!$AI$2:$AI$579,'Por foco'!$A$2:$A$579,$A8)</f>
        <v>51.2</v>
      </c>
      <c r="AE8" s="5" t="n">
        <f aca="false">SUMIFS('Por foco'!$AJ$2:$AJ$579,'Por foco'!$A$2:$A$579,$A8)</f>
        <v>0</v>
      </c>
      <c r="AF8" s="5" t="n">
        <f aca="false">SUMIFS('Por foco'!$AK$2:$AK$579,'Por foco'!$A$2:$A$579,$A8)</f>
        <v>0</v>
      </c>
      <c r="AG8" s="5" t="n">
        <f aca="false">SUMIFS('Por foco'!$AL$2:$AL$579,'Por foco'!$A$2:$A$579,$A8)</f>
        <v>5</v>
      </c>
      <c r="AH8" s="5" t="n">
        <f aca="false">SUMIFS('Por foco'!$AM$2:$AM$579,'Por foco'!$A$2:$A$579,$A8)</f>
        <v>30</v>
      </c>
      <c r="AI8" s="5" t="n">
        <f aca="false">SUMIFS('Por foco'!$AN$2:$AN$579,'Por foco'!$A$2:$A$579,$A8)</f>
        <v>5</v>
      </c>
      <c r="AJ8" s="4" t="n">
        <f aca="false">SUMIFS('Por foco'!$AO$2:$AO$579,'Por foco'!$A$2:$A$579,$A8)</f>
        <v>0</v>
      </c>
      <c r="AK8" s="5" t="n">
        <f aca="false">SUMIFS('Por foco'!$AP$2:$AP$579,'Por foco'!$A$2:$A$579,$A8)</f>
        <v>10</v>
      </c>
      <c r="AL8" s="5" t="n">
        <f aca="false">SUMIFS('Por foco'!$AQ$2:$AQ$579,'Por foco'!$A$2:$A$579,$A8)</f>
        <v>25</v>
      </c>
      <c r="AM8" s="5" t="n">
        <f aca="false">SUMIFS('Por foco'!$AR$2:$AR$579,'Por foco'!$A$2:$A$579,$A8)</f>
        <v>15</v>
      </c>
      <c r="AN8" s="5" t="n">
        <f aca="false">SUMIFS('Por foco'!$AS$2:$AS$579,'Por foco'!$A$2:$A$579,$A8)</f>
        <v>25</v>
      </c>
      <c r="AO8" s="5" t="n">
        <f aca="false">SUMIFS('Por foco'!$AT$2:$AT$579,'Por foco'!$A$2:$A$579,$A8)</f>
        <v>0</v>
      </c>
      <c r="AP8" s="5" t="n">
        <f aca="false">SUMIFS('Por foco'!$AU$2:$AU$579,'Por foco'!$A$2:$A$579,$A8)</f>
        <v>0</v>
      </c>
      <c r="AQ8" s="5" t="n">
        <f aca="false">SUMIFS('Por foco'!$AV$2:$AV$579,'Por foco'!$A$2:$A$579,$A8)</f>
        <v>0</v>
      </c>
      <c r="AR8" s="5" t="n">
        <f aca="false">SUMIFS('Por foco'!$AW$2:$AW$579,'Por foco'!$A$2:$A$579,$A8)</f>
        <v>0</v>
      </c>
      <c r="AS8" s="5" t="n">
        <f aca="false">SUMIFS('Por foco'!$AX$2:$AX$579,'Por foco'!$A$2:$A$579,$A8)</f>
        <v>0</v>
      </c>
      <c r="AT8" s="5" t="n">
        <f aca="false">SUMIFS('Por foco'!$AY$2:$AY$579,'Por foco'!$A$2:$A$579,$A8)</f>
        <v>0</v>
      </c>
      <c r="AU8" s="5" t="n">
        <f aca="false">SUMIFS('Por foco'!$AZ$2:$AZ$579,'Por foco'!$A$2:$A$579,$A8)</f>
        <v>0</v>
      </c>
      <c r="AV8" s="5" t="n">
        <f aca="false">SUMIFS('Por foco'!$BA$2:$BA$579,'Por foco'!$A$2:$A$579,$A8)</f>
        <v>0</v>
      </c>
      <c r="AW8" s="5" t="n">
        <f aca="false">SUMIFS('Por foco'!$BB$2:$BB$579,'Por foco'!$A$2:$A$579,$A8)</f>
        <v>0</v>
      </c>
      <c r="AX8" s="5" t="n">
        <f aca="false">SUMIFS('Por foco'!$BC$2:$BC$579,'Por foco'!$A$2:$A$579,$A8)</f>
        <v>0</v>
      </c>
      <c r="AY8" s="5" t="n">
        <f aca="false">SUMIFS('Por foco'!$BD$2:$BD$579,'Por foco'!$A$2:$A$579,$A8)</f>
        <v>0</v>
      </c>
      <c r="AZ8" s="5" t="n">
        <f aca="false">SUMIFS('Por foco'!$BE$2:$BE$579,'Por foco'!$A$2:$A$579,$A8)</f>
        <v>0</v>
      </c>
      <c r="BA8" s="5" t="n">
        <f aca="false">SUMIFS('Por foco'!$BF$2:$BF$579,'Por foco'!$A$2:$A$579,$A8)</f>
        <v>0</v>
      </c>
      <c r="BB8" s="5" t="n">
        <f aca="false">SUMIFS('Por foco'!$BG$2:$BG$579,'Por foco'!$A$2:$A$579,$A8)</f>
        <v>0</v>
      </c>
      <c r="BC8" s="6" t="n">
        <f aca="false">C8*Pesos!$B$2+D8*Pesos!$B$3+E8*Pesos!$B$4+F8*Pesos!$B$5+G8*Pesos!$B$6+H8*Pesos!$B$7+I8*Pesos!$B$8+J8*Pesos!$B$9+K8*Pesos!$B$10+L8*Pesos!$B$11+M8*Pesos!$B$12+N8*Pesos!$B$13+O8*Pesos!$B$14+P8*Pesos!$B$15+Q8*Pesos!$B$16+R8*Pesos!$B$17+S8*Pesos!$B$18+T8*Pesos!$B$19+U8*Pesos!$B$20</f>
        <v>6975</v>
      </c>
      <c r="BD8" s="6" t="n">
        <f aca="false">V8*Pesos!$B$21+W8*Pesos!$B$22+X8*Pesos!$B$23+Y8*Pesos!$B$24+Z8*Pesos!$B$25+AA8*Pesos!$B$26+AB8*Pesos!$B$27+AC8*Pesos!$B$28+AD8*Pesos!$B$29+AE8*Pesos!$B$30+AF8*Pesos!$B$31+AG8*Pesos!$B$32+AH8*Pesos!$B$33+AI8*Pesos!$B$34+AJ8*Pesos!$B$35+AK8*Pesos!$B$36+AL8*Pesos!$B$37+AM8*Pesos!$B$38+AN8*Pesos!$B$39+AO8*Pesos!$B$40+AP8*Pesos!$B$41+AQ8*Pesos!$B$42+AR8*Pesos!$B$43+AS8*Pesos!$B$44+AT8*Pesos!$B$45+AU8*Pesos!$B$46+AV8*Pesos!$B$47+AW8*Pesos!$B$48+AX8*Pesos!$B$49+AY8*Pesos!$B$50+AZ8*Pesos!$B$51+BA8*Pesos!$B$52+BB8*Pesos!$B$53</f>
        <v>5142.5</v>
      </c>
      <c r="BE8" s="6" t="n">
        <f aca="false">BC8+BD8</f>
        <v>12117.5</v>
      </c>
      <c r="BF8" s="6" t="n">
        <f aca="false">SUMIFS('Por foco'!$G$2:$G$579,'Por foco'!$A$2:$A$579,$A8)</f>
        <v>9190.75</v>
      </c>
      <c r="BG8" s="7" t="n">
        <f aca="false">IF($BF$16=0,0,BF8/$BF$16-1)</f>
        <v>0.0722417130259372</v>
      </c>
      <c r="BH8" s="3" t="n">
        <f aca="false">COUNTIFS('Por foco'!$A$2:$A$579,$A8,'Por foco'!$BM$2:$BM$579,"?*")</f>
        <v>4</v>
      </c>
    </row>
    <row r="9" customFormat="false" ht="15" hidden="false" customHeight="false" outlineLevel="0" collapsed="false">
      <c r="A9" s="3" t="s">
        <v>67</v>
      </c>
      <c r="B9" s="3" t="n">
        <f aca="false">COUNTIF('Por foco'!$A$2:$A$579,$A9)</f>
        <v>67</v>
      </c>
      <c r="C9" s="3" t="n">
        <f aca="false">SUMIFS('Por foco'!$H$2:$H$579,'Por foco'!$A$2:$A$579,$A9)</f>
        <v>4606</v>
      </c>
      <c r="D9" s="3" t="n">
        <f aca="false">SUMIFS('Por foco'!$I$2:$I$579,'Por foco'!$A$2:$A$579,$A9)</f>
        <v>1070</v>
      </c>
      <c r="E9" s="3" t="n">
        <f aca="false">SUMIFS('Por foco'!$J$2:$J$579,'Por foco'!$A$2:$A$579,$A9)</f>
        <v>19</v>
      </c>
      <c r="F9" s="3" t="n">
        <f aca="false">SUMIFS('Por foco'!$K$2:$K$579,'Por foco'!$A$2:$A$579,$A9)</f>
        <v>40</v>
      </c>
      <c r="G9" s="3" t="n">
        <f aca="false">SUMIFS('Por foco'!$L$2:$L$579,'Por foco'!$A$2:$A$579,$A9)</f>
        <v>400000</v>
      </c>
      <c r="H9" s="3" t="n">
        <f aca="false">SUMIFS('Por foco'!$M$2:$M$579,'Por foco'!$A$2:$A$579,$A9)</f>
        <v>225</v>
      </c>
      <c r="I9" s="3" t="n">
        <f aca="false">SUMIFS('Por foco'!$N$2:$N$579,'Por foco'!$A$2:$A$579,$A9)</f>
        <v>25</v>
      </c>
      <c r="J9" s="3" t="n">
        <f aca="false">SUMIFS('Por foco'!$O$2:$O$579,'Por foco'!$A$2:$A$579,$A9)</f>
        <v>75</v>
      </c>
      <c r="K9" s="3" t="n">
        <f aca="false">SUMIFS('Por foco'!$P$2:$P$579,'Por foco'!$A$2:$A$579,$A9)</f>
        <v>3</v>
      </c>
      <c r="L9" s="3" t="n">
        <f aca="false">SUMIFS('Por foco'!$Q$2:$Q$579,'Por foco'!$A$2:$A$579,$A9)</f>
        <v>15</v>
      </c>
      <c r="M9" s="3" t="n">
        <f aca="false">SUMIFS('Por foco'!$R$2:$R$579,'Por foco'!$A$2:$A$579,$A9)</f>
        <v>11</v>
      </c>
      <c r="N9" s="3" t="n">
        <f aca="false">SUMIFS('Por foco'!$S$2:$S$579,'Por foco'!$A$2:$A$579,$A9)</f>
        <v>8</v>
      </c>
      <c r="O9" s="3" t="n">
        <f aca="false">SUMIFS('Por foco'!$T$2:$T$579,'Por foco'!$A$2:$A$579,$A9)</f>
        <v>4</v>
      </c>
      <c r="P9" s="3" t="n">
        <f aca="false">SUMIFS('Por foco'!$U$2:$U$579,'Por foco'!$A$2:$A$579,$A9)</f>
        <v>6</v>
      </c>
      <c r="Q9" s="3" t="n">
        <f aca="false">SUMIFS('Por foco'!$V$2:$V$579,'Por foco'!$A$2:$A$579,$A9)</f>
        <v>2</v>
      </c>
      <c r="R9" s="3" t="n">
        <f aca="false">SUMIFS('Por foco'!$W$2:$W$579,'Por foco'!$A$2:$A$579,$A9)</f>
        <v>0</v>
      </c>
      <c r="S9" s="3" t="n">
        <f aca="false">SUMIFS('Por foco'!$X$2:$X$579,'Por foco'!$A$2:$A$579,$A9)</f>
        <v>0</v>
      </c>
      <c r="T9" s="3" t="n">
        <f aca="false">SUMIFS('Por foco'!$Y$2:$Y$579,'Por foco'!$A$2:$A$579,$A9)</f>
        <v>100</v>
      </c>
      <c r="U9" s="3" t="n">
        <f aca="false">SUMIFS('Por foco'!$Z$2:$Z$579,'Por foco'!$A$2:$A$579,$A9)</f>
        <v>12</v>
      </c>
      <c r="V9" s="4" t="n">
        <f aca="false">SUMIFS('Por foco'!$AA$2:$AA$579,'Por foco'!$A$2:$A$579,$A9)</f>
        <v>0.65</v>
      </c>
      <c r="W9" s="5" t="n">
        <f aca="false">SUMIFS('Por foco'!$AB$2:$AB$579,'Por foco'!$A$2:$A$579,$A9)</f>
        <v>70</v>
      </c>
      <c r="X9" s="5" t="n">
        <f aca="false">SUMIFS('Por foco'!$AC$2:$AC$579,'Por foco'!$A$2:$A$579,$A9)</f>
        <v>23</v>
      </c>
      <c r="Y9" s="4" t="n">
        <f aca="false">SUMIFS('Por foco'!$AD$2:$AD$579,'Por foco'!$A$2:$A$579,$A9)</f>
        <v>0</v>
      </c>
      <c r="Z9" s="5" t="n">
        <f aca="false">SUMIFS('Por foco'!$AE$2:$AE$579,'Por foco'!$A$2:$A$579,$A9)</f>
        <v>40</v>
      </c>
      <c r="AA9" s="5" t="n">
        <f aca="false">SUMIFS('Por foco'!$AF$2:$AF$579,'Por foco'!$A$2:$A$579,$A9)</f>
        <v>0</v>
      </c>
      <c r="AB9" s="5" t="n">
        <f aca="false">SUMIFS('Por foco'!$AG$2:$AG$579,'Por foco'!$A$2:$A$579,$A9)</f>
        <v>50</v>
      </c>
      <c r="AC9" s="5" t="n">
        <f aca="false">SUMIFS('Por foco'!$AH$2:$AH$579,'Por foco'!$A$2:$A$579,$A9)</f>
        <v>20</v>
      </c>
      <c r="AD9" s="5" t="n">
        <f aca="false">SUMIFS('Por foco'!$AI$2:$AI$579,'Por foco'!$A$2:$A$579,$A9)</f>
        <v>20</v>
      </c>
      <c r="AE9" s="5" t="n">
        <f aca="false">SUMIFS('Por foco'!$AJ$2:$AJ$579,'Por foco'!$A$2:$A$579,$A9)</f>
        <v>10</v>
      </c>
      <c r="AF9" s="5" t="n">
        <f aca="false">SUMIFS('Por foco'!$AK$2:$AK$579,'Por foco'!$A$2:$A$579,$A9)</f>
        <v>0</v>
      </c>
      <c r="AG9" s="5" t="n">
        <f aca="false">SUMIFS('Por foco'!$AL$2:$AL$579,'Por foco'!$A$2:$A$579,$A9)</f>
        <v>-15</v>
      </c>
      <c r="AH9" s="5" t="n">
        <f aca="false">SUMIFS('Por foco'!$AM$2:$AM$579,'Por foco'!$A$2:$A$579,$A9)</f>
        <v>0</v>
      </c>
      <c r="AI9" s="5" t="n">
        <f aca="false">SUMIFS('Por foco'!$AN$2:$AN$579,'Por foco'!$A$2:$A$579,$A9)</f>
        <v>3</v>
      </c>
      <c r="AJ9" s="4" t="n">
        <f aca="false">SUMIFS('Por foco'!$AO$2:$AO$579,'Por foco'!$A$2:$A$579,$A9)</f>
        <v>0.2</v>
      </c>
      <c r="AK9" s="5" t="n">
        <f aca="false">SUMIFS('Por foco'!$AP$2:$AP$579,'Por foco'!$A$2:$A$579,$A9)</f>
        <v>0</v>
      </c>
      <c r="AL9" s="5" t="n">
        <f aca="false">SUMIFS('Por foco'!$AQ$2:$AQ$579,'Por foco'!$A$2:$A$579,$A9)</f>
        <v>41.25</v>
      </c>
      <c r="AM9" s="5" t="n">
        <f aca="false">SUMIFS('Por foco'!$AR$2:$AR$579,'Por foco'!$A$2:$A$579,$A9)</f>
        <v>30</v>
      </c>
      <c r="AN9" s="5" t="n">
        <f aca="false">SUMIFS('Por foco'!$AS$2:$AS$579,'Por foco'!$A$2:$A$579,$A9)</f>
        <v>58</v>
      </c>
      <c r="AO9" s="5" t="n">
        <f aca="false">SUMIFS('Por foco'!$AT$2:$AT$579,'Por foco'!$A$2:$A$579,$A9)</f>
        <v>0</v>
      </c>
      <c r="AP9" s="5" t="n">
        <f aca="false">SUMIFS('Por foco'!$AU$2:$AU$579,'Por foco'!$A$2:$A$579,$A9)</f>
        <v>0</v>
      </c>
      <c r="AQ9" s="5" t="n">
        <f aca="false">SUMIFS('Por foco'!$AV$2:$AV$579,'Por foco'!$A$2:$A$579,$A9)</f>
        <v>10</v>
      </c>
      <c r="AR9" s="5" t="n">
        <f aca="false">SUMIFS('Por foco'!$AW$2:$AW$579,'Por foco'!$A$2:$A$579,$A9)</f>
        <v>0</v>
      </c>
      <c r="AS9" s="5" t="n">
        <f aca="false">SUMIFS('Por foco'!$AX$2:$AX$579,'Por foco'!$A$2:$A$579,$A9)</f>
        <v>0</v>
      </c>
      <c r="AT9" s="5" t="n">
        <f aca="false">SUMIFS('Por foco'!$AY$2:$AY$579,'Por foco'!$A$2:$A$579,$A9)</f>
        <v>0</v>
      </c>
      <c r="AU9" s="5" t="n">
        <f aca="false">SUMIFS('Por foco'!$AZ$2:$AZ$579,'Por foco'!$A$2:$A$579,$A9)</f>
        <v>0</v>
      </c>
      <c r="AV9" s="5" t="n">
        <f aca="false">SUMIFS('Por foco'!$BA$2:$BA$579,'Por foco'!$A$2:$A$579,$A9)</f>
        <v>0</v>
      </c>
      <c r="AW9" s="5" t="n">
        <f aca="false">SUMIFS('Por foco'!$BB$2:$BB$579,'Por foco'!$A$2:$A$579,$A9)</f>
        <v>0</v>
      </c>
      <c r="AX9" s="5" t="n">
        <f aca="false">SUMIFS('Por foco'!$BC$2:$BC$579,'Por foco'!$A$2:$A$579,$A9)</f>
        <v>0</v>
      </c>
      <c r="AY9" s="5" t="n">
        <f aca="false">SUMIFS('Por foco'!$BD$2:$BD$579,'Por foco'!$A$2:$A$579,$A9)</f>
        <v>0</v>
      </c>
      <c r="AZ9" s="5" t="n">
        <f aca="false">SUMIFS('Por foco'!$BE$2:$BE$579,'Por foco'!$A$2:$A$579,$A9)</f>
        <v>0</v>
      </c>
      <c r="BA9" s="5" t="n">
        <f aca="false">SUMIFS('Por foco'!$BF$2:$BF$579,'Por foco'!$A$2:$A$579,$A9)</f>
        <v>0</v>
      </c>
      <c r="BB9" s="5" t="n">
        <f aca="false">SUMIFS('Por foco'!$BG$2:$BG$579,'Por foco'!$A$2:$A$579,$A9)</f>
        <v>0</v>
      </c>
      <c r="BC9" s="6" t="n">
        <f aca="false">C9*Pesos!$B$2+D9*Pesos!$B$3+E9*Pesos!$B$4+F9*Pesos!$B$5+G9*Pesos!$B$6+H9*Pesos!$B$7+I9*Pesos!$B$8+J9*Pesos!$B$9+K9*Pesos!$B$10+L9*Pesos!$B$11+M9*Pesos!$B$12+N9*Pesos!$B$13+O9*Pesos!$B$14+P9*Pesos!$B$15+Q9*Pesos!$B$16+R9*Pesos!$B$17+S9*Pesos!$B$18+T9*Pesos!$B$19+U9*Pesos!$B$20</f>
        <v>6360</v>
      </c>
      <c r="BD9" s="6" t="n">
        <f aca="false">V9*Pesos!$B$21+W9*Pesos!$B$22+X9*Pesos!$B$23+Y9*Pesos!$B$24+Z9*Pesos!$B$25+AA9*Pesos!$B$26+AB9*Pesos!$B$27+AC9*Pesos!$B$28+AD9*Pesos!$B$29+AE9*Pesos!$B$30+AF9*Pesos!$B$31+AG9*Pesos!$B$32+AH9*Pesos!$B$33+AI9*Pesos!$B$34+AJ9*Pesos!$B$35+AK9*Pesos!$B$36+AL9*Pesos!$B$37+AM9*Pesos!$B$38+AN9*Pesos!$B$39+AO9*Pesos!$B$40+AP9*Pesos!$B$41+AQ9*Pesos!$B$42+AR9*Pesos!$B$43+AS9*Pesos!$B$44+AT9*Pesos!$B$45+AU9*Pesos!$B$46+AV9*Pesos!$B$47+AW9*Pesos!$B$48+AX9*Pesos!$B$49+AY9*Pesos!$B$50+AZ9*Pesos!$B$51+BA9*Pesos!$B$52+BB9*Pesos!$B$53</f>
        <v>5632.85</v>
      </c>
      <c r="BE9" s="6" t="n">
        <f aca="false">BC9+BD9</f>
        <v>11992.85</v>
      </c>
      <c r="BF9" s="6" t="n">
        <f aca="false">SUMIFS('Por foco'!$G$2:$G$579,'Por foco'!$A$2:$A$579,$A9)</f>
        <v>9211.875</v>
      </c>
      <c r="BG9" s="7" t="n">
        <f aca="false">IF($BF$16=0,0,BF9/$BF$16-1)</f>
        <v>0.0747062677344945</v>
      </c>
      <c r="BH9" s="3" t="n">
        <f aca="false">COUNTIFS('Por foco'!$A$2:$A$579,$A9,'Por foco'!$BM$2:$BM$579,"?*")</f>
        <v>4</v>
      </c>
    </row>
    <row r="10" customFormat="false" ht="15" hidden="false" customHeight="false" outlineLevel="0" collapsed="false">
      <c r="A10" s="3" t="s">
        <v>68</v>
      </c>
      <c r="B10" s="3" t="n">
        <f aca="false">COUNTIF('Por foco'!$A$2:$A$579,$A10)</f>
        <v>7</v>
      </c>
      <c r="C10" s="3" t="n">
        <f aca="false">SUMIFS('Por foco'!$H$2:$H$579,'Por foco'!$A$2:$A$579,$A10)</f>
        <v>245</v>
      </c>
      <c r="D10" s="3" t="n">
        <f aca="false">SUMIFS('Por foco'!$I$2:$I$579,'Por foco'!$A$2:$A$579,$A10)</f>
        <v>0</v>
      </c>
      <c r="E10" s="3" t="n">
        <f aca="false">SUMIFS('Por foco'!$J$2:$J$579,'Por foco'!$A$2:$A$579,$A10)</f>
        <v>0</v>
      </c>
      <c r="F10" s="3" t="n">
        <f aca="false">SUMIFS('Por foco'!$K$2:$K$579,'Por foco'!$A$2:$A$579,$A10)</f>
        <v>0</v>
      </c>
      <c r="G10" s="3" t="n">
        <f aca="false">SUMIFS('Por foco'!$L$2:$L$579,'Por foco'!$A$2:$A$579,$A10)</f>
        <v>120000</v>
      </c>
      <c r="H10" s="3" t="n">
        <f aca="false">SUMIFS('Por foco'!$M$2:$M$579,'Por foco'!$A$2:$A$579,$A10)</f>
        <v>0</v>
      </c>
      <c r="I10" s="3" t="n">
        <f aca="false">SUMIFS('Por foco'!$N$2:$N$579,'Por foco'!$A$2:$A$579,$A10)</f>
        <v>0</v>
      </c>
      <c r="J10" s="3" t="n">
        <f aca="false">SUMIFS('Por foco'!$O$2:$O$579,'Por foco'!$A$2:$A$579,$A10)</f>
        <v>0</v>
      </c>
      <c r="K10" s="3" t="n">
        <f aca="false">SUMIFS('Por foco'!$P$2:$P$579,'Por foco'!$A$2:$A$579,$A10)</f>
        <v>0</v>
      </c>
      <c r="L10" s="3" t="n">
        <f aca="false">SUMIFS('Por foco'!$Q$2:$Q$579,'Por foco'!$A$2:$A$579,$A10)</f>
        <v>0</v>
      </c>
      <c r="M10" s="3" t="n">
        <f aca="false">SUMIFS('Por foco'!$R$2:$R$579,'Por foco'!$A$2:$A$579,$A10)</f>
        <v>0</v>
      </c>
      <c r="N10" s="3" t="n">
        <f aca="false">SUMIFS('Por foco'!$S$2:$S$579,'Por foco'!$A$2:$A$579,$A10)</f>
        <v>0</v>
      </c>
      <c r="O10" s="3" t="n">
        <f aca="false">SUMIFS('Por foco'!$T$2:$T$579,'Por foco'!$A$2:$A$579,$A10)</f>
        <v>0</v>
      </c>
      <c r="P10" s="3" t="n">
        <f aca="false">SUMIFS('Por foco'!$U$2:$U$579,'Por foco'!$A$2:$A$579,$A10)</f>
        <v>0</v>
      </c>
      <c r="Q10" s="3" t="n">
        <f aca="false">SUMIFS('Por foco'!$V$2:$V$579,'Por foco'!$A$2:$A$579,$A10)</f>
        <v>0</v>
      </c>
      <c r="R10" s="3" t="n">
        <f aca="false">SUMIFS('Por foco'!$W$2:$W$579,'Por foco'!$A$2:$A$579,$A10)</f>
        <v>7000</v>
      </c>
      <c r="S10" s="3" t="n">
        <f aca="false">SUMIFS('Por foco'!$X$2:$X$579,'Por foco'!$A$2:$A$579,$A10)</f>
        <v>0</v>
      </c>
      <c r="T10" s="3" t="n">
        <f aca="false">SUMIFS('Por foco'!$Y$2:$Y$579,'Por foco'!$A$2:$A$579,$A10)</f>
        <v>0</v>
      </c>
      <c r="U10" s="3" t="n">
        <f aca="false">SUMIFS('Por foco'!$Z$2:$Z$579,'Por foco'!$A$2:$A$579,$A10)</f>
        <v>0</v>
      </c>
      <c r="V10" s="4" t="n">
        <f aca="false">SUMIFS('Por foco'!$AA$2:$AA$579,'Por foco'!$A$2:$A$579,$A10)</f>
        <v>0</v>
      </c>
      <c r="W10" s="5" t="n">
        <f aca="false">SUMIFS('Por foco'!$AB$2:$AB$579,'Por foco'!$A$2:$A$579,$A10)</f>
        <v>30</v>
      </c>
      <c r="X10" s="5" t="n">
        <f aca="false">SUMIFS('Por foco'!$AC$2:$AC$579,'Por foco'!$A$2:$A$579,$A10)</f>
        <v>21</v>
      </c>
      <c r="Y10" s="4" t="n">
        <f aca="false">SUMIFS('Por foco'!$AD$2:$AD$579,'Por foco'!$A$2:$A$579,$A10)</f>
        <v>0</v>
      </c>
      <c r="Z10" s="5" t="n">
        <f aca="false">SUMIFS('Por foco'!$AE$2:$AE$579,'Por foco'!$A$2:$A$579,$A10)</f>
        <v>0</v>
      </c>
      <c r="AA10" s="5" t="n">
        <f aca="false">SUMIFS('Por foco'!$AF$2:$AF$579,'Por foco'!$A$2:$A$579,$A10)</f>
        <v>405</v>
      </c>
      <c r="AB10" s="5" t="n">
        <f aca="false">SUMIFS('Por foco'!$AG$2:$AG$579,'Por foco'!$A$2:$A$579,$A10)</f>
        <v>0</v>
      </c>
      <c r="AC10" s="5" t="n">
        <f aca="false">SUMIFS('Por foco'!$AH$2:$AH$579,'Por foco'!$A$2:$A$579,$A10)</f>
        <v>0</v>
      </c>
      <c r="AD10" s="5" t="n">
        <f aca="false">SUMIFS('Por foco'!$AI$2:$AI$579,'Por foco'!$A$2:$A$579,$A10)</f>
        <v>0</v>
      </c>
      <c r="AE10" s="5" t="n">
        <f aca="false">SUMIFS('Por foco'!$AJ$2:$AJ$579,'Por foco'!$A$2:$A$579,$A10)</f>
        <v>0</v>
      </c>
      <c r="AF10" s="5" t="n">
        <f aca="false">SUMIFS('Por foco'!$AK$2:$AK$579,'Por foco'!$A$2:$A$579,$A10)</f>
        <v>0</v>
      </c>
      <c r="AG10" s="5" t="n">
        <f aca="false">SUMIFS('Por foco'!$AL$2:$AL$579,'Por foco'!$A$2:$A$579,$A10)</f>
        <v>0</v>
      </c>
      <c r="AH10" s="5" t="n">
        <f aca="false">SUMIFS('Por foco'!$AM$2:$AM$579,'Por foco'!$A$2:$A$579,$A10)</f>
        <v>0</v>
      </c>
      <c r="AI10" s="5" t="n">
        <f aca="false">SUMIFS('Por foco'!$AN$2:$AN$579,'Por foco'!$A$2:$A$579,$A10)</f>
        <v>0</v>
      </c>
      <c r="AJ10" s="4" t="n">
        <f aca="false">SUMIFS('Por foco'!$AO$2:$AO$579,'Por foco'!$A$2:$A$579,$A10)</f>
        <v>0</v>
      </c>
      <c r="AK10" s="5" t="n">
        <f aca="false">SUMIFS('Por foco'!$AP$2:$AP$579,'Por foco'!$A$2:$A$579,$A10)</f>
        <v>31</v>
      </c>
      <c r="AL10" s="5" t="n">
        <f aca="false">SUMIFS('Por foco'!$AQ$2:$AQ$579,'Por foco'!$A$2:$A$579,$A10)</f>
        <v>0</v>
      </c>
      <c r="AM10" s="5" t="n">
        <f aca="false">SUMIFS('Por foco'!$AR$2:$AR$579,'Por foco'!$A$2:$A$579,$A10)</f>
        <v>36</v>
      </c>
      <c r="AN10" s="5" t="n">
        <f aca="false">SUMIFS('Por foco'!$AS$2:$AS$579,'Por foco'!$A$2:$A$579,$A10)</f>
        <v>20</v>
      </c>
      <c r="AO10" s="5" t="n">
        <f aca="false">SUMIFS('Por foco'!$AT$2:$AT$579,'Por foco'!$A$2:$A$579,$A10)</f>
        <v>0</v>
      </c>
      <c r="AP10" s="5" t="n">
        <f aca="false">SUMIFS('Por foco'!$AU$2:$AU$579,'Por foco'!$A$2:$A$579,$A10)</f>
        <v>0</v>
      </c>
      <c r="AQ10" s="5" t="n">
        <f aca="false">SUMIFS('Por foco'!$AV$2:$AV$579,'Por foco'!$A$2:$A$579,$A10)</f>
        <v>0</v>
      </c>
      <c r="AR10" s="5" t="n">
        <f aca="false">SUMIFS('Por foco'!$AW$2:$AW$579,'Por foco'!$A$2:$A$579,$A10)</f>
        <v>-16</v>
      </c>
      <c r="AS10" s="5" t="n">
        <f aca="false">SUMIFS('Por foco'!$AX$2:$AX$579,'Por foco'!$A$2:$A$579,$A10)</f>
        <v>0</v>
      </c>
      <c r="AT10" s="5" t="n">
        <f aca="false">SUMIFS('Por foco'!$AY$2:$AY$579,'Por foco'!$A$2:$A$579,$A10)</f>
        <v>0</v>
      </c>
      <c r="AU10" s="5" t="n">
        <f aca="false">SUMIFS('Por foco'!$AZ$2:$AZ$579,'Por foco'!$A$2:$A$579,$A10)</f>
        <v>0</v>
      </c>
      <c r="AV10" s="5" t="n">
        <f aca="false">SUMIFS('Por foco'!$BA$2:$BA$579,'Por foco'!$A$2:$A$579,$A10)</f>
        <v>0</v>
      </c>
      <c r="AW10" s="5" t="n">
        <f aca="false">SUMIFS('Por foco'!$BB$2:$BB$579,'Por foco'!$A$2:$A$579,$A10)</f>
        <v>0</v>
      </c>
      <c r="AX10" s="5" t="n">
        <f aca="false">SUMIFS('Por foco'!$BC$2:$BC$579,'Por foco'!$A$2:$A$579,$A10)</f>
        <v>0</v>
      </c>
      <c r="AY10" s="5" t="n">
        <f aca="false">SUMIFS('Por foco'!$BD$2:$BD$579,'Por foco'!$A$2:$A$579,$A10)</f>
        <v>0</v>
      </c>
      <c r="AZ10" s="5" t="n">
        <f aca="false">SUMIFS('Por foco'!$BE$2:$BE$579,'Por foco'!$A$2:$A$579,$A10)</f>
        <v>0</v>
      </c>
      <c r="BA10" s="5" t="n">
        <f aca="false">SUMIFS('Por foco'!$BF$2:$BF$579,'Por foco'!$A$2:$A$579,$A10)</f>
        <v>0</v>
      </c>
      <c r="BB10" s="5" t="n">
        <f aca="false">SUMIFS('Por foco'!$BG$2:$BG$579,'Por foco'!$A$2:$A$579,$A10)</f>
        <v>0</v>
      </c>
      <c r="BC10" s="6" t="n">
        <f aca="false">C10*Pesos!$B$2+D10*Pesos!$B$3+E10*Pesos!$B$4+F10*Pesos!$B$5+G10*Pesos!$B$6+H10*Pesos!$B$7+I10*Pesos!$B$8+J10*Pesos!$B$9+K10*Pesos!$B$10+L10*Pesos!$B$11+M10*Pesos!$B$12+N10*Pesos!$B$13+O10*Pesos!$B$14+P10*Pesos!$B$15+Q10*Pesos!$B$16+R10*Pesos!$B$17+S10*Pesos!$B$18+T10*Pesos!$B$19+U10*Pesos!$B$20</f>
        <v>380</v>
      </c>
      <c r="BD10" s="6" t="n">
        <f aca="false">V10*Pesos!$B$21+W10*Pesos!$B$22+X10*Pesos!$B$23+Y10*Pesos!$B$24+Z10*Pesos!$B$25+AA10*Pesos!$B$26+AB10*Pesos!$B$27+AC10*Pesos!$B$28+AD10*Pesos!$B$29+AE10*Pesos!$B$30+AF10*Pesos!$B$31+AG10*Pesos!$B$32+AH10*Pesos!$B$33+AI10*Pesos!$B$34+AJ10*Pesos!$B$35+AK10*Pesos!$B$36+AL10*Pesos!$B$37+AM10*Pesos!$B$38+AN10*Pesos!$B$39+AO10*Pesos!$B$40+AP10*Pesos!$B$41+AQ10*Pesos!$B$42+AR10*Pesos!$B$43+AS10*Pesos!$B$44+AT10*Pesos!$B$45+AU10*Pesos!$B$46+AV10*Pesos!$B$47+AW10*Pesos!$B$48+AX10*Pesos!$B$49+AY10*Pesos!$B$50+AZ10*Pesos!$B$51+BA10*Pesos!$B$52+BB10*Pesos!$B$53</f>
        <v>2515</v>
      </c>
      <c r="BE10" s="6" t="n">
        <f aca="false">BC10+BD10</f>
        <v>2895</v>
      </c>
      <c r="BF10" s="6" t="n">
        <f aca="false">SUMIFS('Por foco'!$G$2:$G$579,'Por foco'!$A$2:$A$579,$A10)</f>
        <v>2895</v>
      </c>
      <c r="BG10" s="7" t="n">
        <f aca="false">IF($BF$16=0,0,BF10/$BF$16-1)</f>
        <v>-0.662253922779959</v>
      </c>
      <c r="BH10" s="3" t="n">
        <f aca="false">COUNTIFS('Por foco'!$A$2:$A$579,$A10,'Por foco'!$BM$2:$BM$579,"?*")</f>
        <v>0</v>
      </c>
    </row>
    <row r="11" customFormat="false" ht="15" hidden="false" customHeight="false" outlineLevel="0" collapsed="false">
      <c r="A11" s="3" t="s">
        <v>69</v>
      </c>
      <c r="B11" s="3" t="n">
        <f aca="false">COUNTIF('Por foco'!$A$2:$A$579,$A11)</f>
        <v>7</v>
      </c>
      <c r="C11" s="3" t="n">
        <f aca="false">SUMIFS('Por foco'!$H$2:$H$579,'Por foco'!$A$2:$A$579,$A11)</f>
        <v>245</v>
      </c>
      <c r="D11" s="3" t="n">
        <f aca="false">SUMIFS('Por foco'!$I$2:$I$579,'Por foco'!$A$2:$A$579,$A11)</f>
        <v>0</v>
      </c>
      <c r="E11" s="3" t="n">
        <f aca="false">SUMIFS('Por foco'!$J$2:$J$579,'Por foco'!$A$2:$A$579,$A11)</f>
        <v>0</v>
      </c>
      <c r="F11" s="3" t="n">
        <f aca="false">SUMIFS('Por foco'!$K$2:$K$579,'Por foco'!$A$2:$A$579,$A11)</f>
        <v>0</v>
      </c>
      <c r="G11" s="3" t="n">
        <f aca="false">SUMIFS('Por foco'!$L$2:$L$579,'Por foco'!$A$2:$A$579,$A11)</f>
        <v>1340000</v>
      </c>
      <c r="H11" s="3" t="n">
        <f aca="false">SUMIFS('Por foco'!$M$2:$M$579,'Por foco'!$A$2:$A$579,$A11)</f>
        <v>0</v>
      </c>
      <c r="I11" s="3" t="n">
        <f aca="false">SUMIFS('Por foco'!$N$2:$N$579,'Por foco'!$A$2:$A$579,$A11)</f>
        <v>0</v>
      </c>
      <c r="J11" s="3" t="n">
        <f aca="false">SUMIFS('Por foco'!$O$2:$O$579,'Por foco'!$A$2:$A$579,$A11)</f>
        <v>0</v>
      </c>
      <c r="K11" s="3" t="n">
        <f aca="false">SUMIFS('Por foco'!$P$2:$P$579,'Por foco'!$A$2:$A$579,$A11)</f>
        <v>0</v>
      </c>
      <c r="L11" s="3" t="n">
        <f aca="false">SUMIFS('Por foco'!$Q$2:$Q$579,'Por foco'!$A$2:$A$579,$A11)</f>
        <v>0</v>
      </c>
      <c r="M11" s="3" t="n">
        <f aca="false">SUMIFS('Por foco'!$R$2:$R$579,'Por foco'!$A$2:$A$579,$A11)</f>
        <v>0</v>
      </c>
      <c r="N11" s="3" t="n">
        <f aca="false">SUMIFS('Por foco'!$S$2:$S$579,'Por foco'!$A$2:$A$579,$A11)</f>
        <v>0</v>
      </c>
      <c r="O11" s="3" t="n">
        <f aca="false">SUMIFS('Por foco'!$T$2:$T$579,'Por foco'!$A$2:$A$579,$A11)</f>
        <v>0</v>
      </c>
      <c r="P11" s="3" t="n">
        <f aca="false">SUMIFS('Por foco'!$U$2:$U$579,'Por foco'!$A$2:$A$579,$A11)</f>
        <v>0</v>
      </c>
      <c r="Q11" s="3" t="n">
        <f aca="false">SUMIFS('Por foco'!$V$2:$V$579,'Por foco'!$A$2:$A$579,$A11)</f>
        <v>0</v>
      </c>
      <c r="R11" s="3" t="n">
        <f aca="false">SUMIFS('Por foco'!$W$2:$W$579,'Por foco'!$A$2:$A$579,$A11)</f>
        <v>30150</v>
      </c>
      <c r="S11" s="3" t="n">
        <f aca="false">SUMIFS('Por foco'!$X$2:$X$579,'Por foco'!$A$2:$A$579,$A11)</f>
        <v>6</v>
      </c>
      <c r="T11" s="3" t="n">
        <f aca="false">SUMIFS('Por foco'!$Y$2:$Y$579,'Por foco'!$A$2:$A$579,$A11)</f>
        <v>0</v>
      </c>
      <c r="U11" s="3" t="n">
        <f aca="false">SUMIFS('Por foco'!$Z$2:$Z$579,'Por foco'!$A$2:$A$579,$A11)</f>
        <v>2</v>
      </c>
      <c r="V11" s="4" t="n">
        <f aca="false">SUMIFS('Por foco'!$AA$2:$AA$579,'Por foco'!$A$2:$A$579,$A11)</f>
        <v>0</v>
      </c>
      <c r="W11" s="5" t="n">
        <f aca="false">SUMIFS('Por foco'!$AB$2:$AB$579,'Por foco'!$A$2:$A$579,$A11)</f>
        <v>41</v>
      </c>
      <c r="X11" s="5" t="n">
        <f aca="false">SUMIFS('Por foco'!$AC$2:$AC$579,'Por foco'!$A$2:$A$579,$A11)</f>
        <v>41</v>
      </c>
      <c r="Y11" s="4" t="n">
        <f aca="false">SUMIFS('Por foco'!$AD$2:$AD$579,'Por foco'!$A$2:$A$579,$A11)</f>
        <v>0</v>
      </c>
      <c r="Z11" s="5" t="n">
        <f aca="false">SUMIFS('Por foco'!$AE$2:$AE$579,'Por foco'!$A$2:$A$579,$A11)</f>
        <v>0</v>
      </c>
      <c r="AA11" s="5" t="n">
        <f aca="false">SUMIFS('Por foco'!$AF$2:$AF$579,'Por foco'!$A$2:$A$579,$A11)</f>
        <v>0</v>
      </c>
      <c r="AB11" s="5" t="n">
        <f aca="false">SUMIFS('Por foco'!$AG$2:$AG$579,'Por foco'!$A$2:$A$579,$A11)</f>
        <v>0</v>
      </c>
      <c r="AC11" s="5" t="n">
        <f aca="false">SUMIFS('Por foco'!$AH$2:$AH$579,'Por foco'!$A$2:$A$579,$A11)</f>
        <v>0</v>
      </c>
      <c r="AD11" s="5" t="n">
        <f aca="false">SUMIFS('Por foco'!$AI$2:$AI$579,'Por foco'!$A$2:$A$579,$A11)</f>
        <v>0</v>
      </c>
      <c r="AE11" s="5" t="n">
        <f aca="false">SUMIFS('Por foco'!$AJ$2:$AJ$579,'Por foco'!$A$2:$A$579,$A11)</f>
        <v>0</v>
      </c>
      <c r="AF11" s="5" t="n">
        <f aca="false">SUMIFS('Por foco'!$AK$2:$AK$579,'Por foco'!$A$2:$A$579,$A11)</f>
        <v>0</v>
      </c>
      <c r="AG11" s="5" t="n">
        <f aca="false">SUMIFS('Por foco'!$AL$2:$AL$579,'Por foco'!$A$2:$A$579,$A11)</f>
        <v>0</v>
      </c>
      <c r="AH11" s="5" t="n">
        <f aca="false">SUMIFS('Por foco'!$AM$2:$AM$579,'Por foco'!$A$2:$A$579,$A11)</f>
        <v>0</v>
      </c>
      <c r="AI11" s="5" t="n">
        <f aca="false">SUMIFS('Por foco'!$AN$2:$AN$579,'Por foco'!$A$2:$A$579,$A11)</f>
        <v>0</v>
      </c>
      <c r="AJ11" s="4" t="n">
        <f aca="false">SUMIFS('Por foco'!$AO$2:$AO$579,'Por foco'!$A$2:$A$579,$A11)</f>
        <v>0</v>
      </c>
      <c r="AK11" s="5" t="n">
        <f aca="false">SUMIFS('Por foco'!$AP$2:$AP$579,'Por foco'!$A$2:$A$579,$A11)</f>
        <v>59</v>
      </c>
      <c r="AL11" s="5" t="n">
        <f aca="false">SUMIFS('Por foco'!$AQ$2:$AQ$579,'Por foco'!$A$2:$A$579,$A11)</f>
        <v>33</v>
      </c>
      <c r="AM11" s="5" t="n">
        <f aca="false">SUMIFS('Por foco'!$AR$2:$AR$579,'Por foco'!$A$2:$A$579,$A11)</f>
        <v>35</v>
      </c>
      <c r="AN11" s="5" t="n">
        <f aca="false">SUMIFS('Por foco'!$AS$2:$AS$579,'Por foco'!$A$2:$A$579,$A11)</f>
        <v>25</v>
      </c>
      <c r="AO11" s="5" t="n">
        <f aca="false">SUMIFS('Por foco'!$AT$2:$AT$579,'Por foco'!$A$2:$A$579,$A11)</f>
        <v>0</v>
      </c>
      <c r="AP11" s="5" t="n">
        <f aca="false">SUMIFS('Por foco'!$AU$2:$AU$579,'Por foco'!$A$2:$A$579,$A11)</f>
        <v>0</v>
      </c>
      <c r="AQ11" s="5" t="n">
        <f aca="false">SUMIFS('Por foco'!$AV$2:$AV$579,'Por foco'!$A$2:$A$579,$A11)</f>
        <v>0</v>
      </c>
      <c r="AR11" s="5" t="n">
        <f aca="false">SUMIFS('Por foco'!$AW$2:$AW$579,'Por foco'!$A$2:$A$579,$A11)</f>
        <v>0</v>
      </c>
      <c r="AS11" s="5" t="n">
        <f aca="false">SUMIFS('Por foco'!$AX$2:$AX$579,'Por foco'!$A$2:$A$579,$A11)</f>
        <v>-24</v>
      </c>
      <c r="AT11" s="5" t="n">
        <f aca="false">SUMIFS('Por foco'!$AY$2:$AY$579,'Por foco'!$A$2:$A$579,$A11)</f>
        <v>0</v>
      </c>
      <c r="AU11" s="5" t="n">
        <f aca="false">SUMIFS('Por foco'!$AZ$2:$AZ$579,'Por foco'!$A$2:$A$579,$A11)</f>
        <v>0</v>
      </c>
      <c r="AV11" s="5" t="n">
        <f aca="false">SUMIFS('Por foco'!$BA$2:$BA$579,'Por foco'!$A$2:$A$579,$A11)</f>
        <v>0</v>
      </c>
      <c r="AW11" s="5" t="n">
        <f aca="false">SUMIFS('Por foco'!$BB$2:$BB$579,'Por foco'!$A$2:$A$579,$A11)</f>
        <v>0</v>
      </c>
      <c r="AX11" s="5" t="n">
        <f aca="false">SUMIFS('Por foco'!$BC$2:$BC$579,'Por foco'!$A$2:$A$579,$A11)</f>
        <v>0</v>
      </c>
      <c r="AY11" s="5" t="n">
        <f aca="false">SUMIFS('Por foco'!$BD$2:$BD$579,'Por foco'!$A$2:$A$579,$A11)</f>
        <v>0</v>
      </c>
      <c r="AZ11" s="5" t="n">
        <f aca="false">SUMIFS('Por foco'!$BE$2:$BE$579,'Por foco'!$A$2:$A$579,$A11)</f>
        <v>0</v>
      </c>
      <c r="BA11" s="5" t="n">
        <f aca="false">SUMIFS('Por foco'!$BF$2:$BF$579,'Por foco'!$A$2:$A$579,$A11)</f>
        <v>0</v>
      </c>
      <c r="BB11" s="5" t="n">
        <f aca="false">SUMIFS('Por foco'!$BG$2:$BG$579,'Por foco'!$A$2:$A$579,$A11)</f>
        <v>0</v>
      </c>
      <c r="BC11" s="6" t="n">
        <f aca="false">C11*Pesos!$B$2+D11*Pesos!$B$3+E11*Pesos!$B$4+F11*Pesos!$B$5+G11*Pesos!$B$6+H11*Pesos!$B$7+I11*Pesos!$B$8+J11*Pesos!$B$9+K11*Pesos!$B$10+L11*Pesos!$B$11+M11*Pesos!$B$12+N11*Pesos!$B$13+O11*Pesos!$B$14+P11*Pesos!$B$15+Q11*Pesos!$B$16+R11*Pesos!$B$17+S11*Pesos!$B$18+T11*Pesos!$B$19+U11*Pesos!$B$20</f>
        <v>3563</v>
      </c>
      <c r="BD11" s="6" t="n">
        <f aca="false">V11*Pesos!$B$21+W11*Pesos!$B$22+X11*Pesos!$B$23+Y11*Pesos!$B$24+Z11*Pesos!$B$25+AA11*Pesos!$B$26+AB11*Pesos!$B$27+AC11*Pesos!$B$28+AD11*Pesos!$B$29+AE11*Pesos!$B$30+AF11*Pesos!$B$31+AG11*Pesos!$B$32+AH11*Pesos!$B$33+AI11*Pesos!$B$34+AJ11*Pesos!$B$35+AK11*Pesos!$B$36+AL11*Pesos!$B$37+AM11*Pesos!$B$38+AN11*Pesos!$B$39+AO11*Pesos!$B$40+AP11*Pesos!$B$41+AQ11*Pesos!$B$42+AR11*Pesos!$B$43+AS11*Pesos!$B$44+AT11*Pesos!$B$45+AU11*Pesos!$B$46+AV11*Pesos!$B$47+AW11*Pesos!$B$48+AX11*Pesos!$B$49+AY11*Pesos!$B$50+AZ11*Pesos!$B$51+BA11*Pesos!$B$52+BB11*Pesos!$B$53</f>
        <v>3817</v>
      </c>
      <c r="BE11" s="6" t="n">
        <f aca="false">BC11+BD11</f>
        <v>7380</v>
      </c>
      <c r="BF11" s="6" t="n">
        <f aca="false">SUMIFS('Por foco'!$G$2:$G$579,'Por foco'!$A$2:$A$579,$A11)</f>
        <v>7380</v>
      </c>
      <c r="BG11" s="7" t="n">
        <f aca="false">IF($BF$16=0,0,BF11/$BF$16-1)</f>
        <v>-0.139010000040104</v>
      </c>
      <c r="BH11" s="3" t="n">
        <f aca="false">COUNTIFS('Por foco'!$A$2:$A$579,$A11,'Por foco'!$BM$2:$BM$579,"?*")</f>
        <v>0</v>
      </c>
    </row>
    <row r="12" customFormat="false" ht="15" hidden="false" customHeight="false" outlineLevel="0" collapsed="false">
      <c r="A12" s="3" t="s">
        <v>70</v>
      </c>
      <c r="B12" s="3" t="n">
        <f aca="false">COUNTIF('Por foco'!$A$2:$A$579,$A12)</f>
        <v>7</v>
      </c>
      <c r="C12" s="3" t="n">
        <f aca="false">SUMIFS('Por foco'!$H$2:$H$579,'Por foco'!$A$2:$A$579,$A12)</f>
        <v>245</v>
      </c>
      <c r="D12" s="3" t="n">
        <f aca="false">SUMIFS('Por foco'!$I$2:$I$579,'Por foco'!$A$2:$A$579,$A12)</f>
        <v>0</v>
      </c>
      <c r="E12" s="3" t="n">
        <f aca="false">SUMIFS('Por foco'!$J$2:$J$579,'Por foco'!$A$2:$A$579,$A12)</f>
        <v>0</v>
      </c>
      <c r="F12" s="3" t="n">
        <f aca="false">SUMIFS('Por foco'!$K$2:$K$579,'Por foco'!$A$2:$A$579,$A12)</f>
        <v>0</v>
      </c>
      <c r="G12" s="3" t="n">
        <f aca="false">SUMIFS('Por foco'!$L$2:$L$579,'Por foco'!$A$2:$A$579,$A12)</f>
        <v>1840000</v>
      </c>
      <c r="H12" s="3" t="n">
        <f aca="false">SUMIFS('Por foco'!$M$2:$M$579,'Por foco'!$A$2:$A$579,$A12)</f>
        <v>0</v>
      </c>
      <c r="I12" s="3" t="n">
        <f aca="false">SUMIFS('Por foco'!$N$2:$N$579,'Por foco'!$A$2:$A$579,$A12)</f>
        <v>0</v>
      </c>
      <c r="J12" s="3" t="n">
        <f aca="false">SUMIFS('Por foco'!$O$2:$O$579,'Por foco'!$A$2:$A$579,$A12)</f>
        <v>0</v>
      </c>
      <c r="K12" s="3" t="n">
        <f aca="false">SUMIFS('Por foco'!$P$2:$P$579,'Por foco'!$A$2:$A$579,$A12)</f>
        <v>0</v>
      </c>
      <c r="L12" s="3" t="n">
        <f aca="false">SUMIFS('Por foco'!$Q$2:$Q$579,'Por foco'!$A$2:$A$579,$A12)</f>
        <v>0</v>
      </c>
      <c r="M12" s="3" t="n">
        <f aca="false">SUMIFS('Por foco'!$R$2:$R$579,'Por foco'!$A$2:$A$579,$A12)</f>
        <v>0</v>
      </c>
      <c r="N12" s="3" t="n">
        <f aca="false">SUMIFS('Por foco'!$S$2:$S$579,'Por foco'!$A$2:$A$579,$A12)</f>
        <v>0</v>
      </c>
      <c r="O12" s="3" t="n">
        <f aca="false">SUMIFS('Por foco'!$T$2:$T$579,'Por foco'!$A$2:$A$579,$A12)</f>
        <v>0</v>
      </c>
      <c r="P12" s="3" t="n">
        <f aca="false">SUMIFS('Por foco'!$U$2:$U$579,'Por foco'!$A$2:$A$579,$A12)</f>
        <v>0</v>
      </c>
      <c r="Q12" s="3" t="n">
        <f aca="false">SUMIFS('Por foco'!$V$2:$V$579,'Por foco'!$A$2:$A$579,$A12)</f>
        <v>0</v>
      </c>
      <c r="R12" s="3" t="n">
        <f aca="false">SUMIFS('Por foco'!$W$2:$W$579,'Por foco'!$A$2:$A$579,$A12)</f>
        <v>32150</v>
      </c>
      <c r="S12" s="3" t="n">
        <f aca="false">SUMIFS('Por foco'!$X$2:$X$579,'Por foco'!$A$2:$A$579,$A12)</f>
        <v>8</v>
      </c>
      <c r="T12" s="3" t="n">
        <f aca="false">SUMIFS('Por foco'!$Y$2:$Y$579,'Por foco'!$A$2:$A$579,$A12)</f>
        <v>0</v>
      </c>
      <c r="U12" s="3" t="n">
        <f aca="false">SUMIFS('Por foco'!$Z$2:$Z$579,'Por foco'!$A$2:$A$579,$A12)</f>
        <v>0</v>
      </c>
      <c r="V12" s="4" t="n">
        <f aca="false">SUMIFS('Por foco'!$AA$2:$AA$579,'Por foco'!$A$2:$A$579,$A12)</f>
        <v>0</v>
      </c>
      <c r="W12" s="5" t="n">
        <f aca="false">SUMIFS('Por foco'!$AB$2:$AB$579,'Por foco'!$A$2:$A$579,$A12)</f>
        <v>41</v>
      </c>
      <c r="X12" s="5" t="n">
        <f aca="false">SUMIFS('Por foco'!$AC$2:$AC$579,'Por foco'!$A$2:$A$579,$A12)</f>
        <v>41</v>
      </c>
      <c r="Y12" s="4" t="n">
        <f aca="false">SUMIFS('Por foco'!$AD$2:$AD$579,'Por foco'!$A$2:$A$579,$A12)</f>
        <v>0</v>
      </c>
      <c r="Z12" s="5" t="n">
        <f aca="false">SUMIFS('Por foco'!$AE$2:$AE$579,'Por foco'!$A$2:$A$579,$A12)</f>
        <v>0</v>
      </c>
      <c r="AA12" s="5" t="n">
        <f aca="false">SUMIFS('Por foco'!$AF$2:$AF$579,'Por foco'!$A$2:$A$579,$A12)</f>
        <v>0</v>
      </c>
      <c r="AB12" s="5" t="n">
        <f aca="false">SUMIFS('Por foco'!$AG$2:$AG$579,'Por foco'!$A$2:$A$579,$A12)</f>
        <v>24</v>
      </c>
      <c r="AC12" s="5" t="n">
        <f aca="false">SUMIFS('Por foco'!$AH$2:$AH$579,'Por foco'!$A$2:$A$579,$A12)</f>
        <v>0</v>
      </c>
      <c r="AD12" s="5" t="n">
        <f aca="false">SUMIFS('Por foco'!$AI$2:$AI$579,'Por foco'!$A$2:$A$579,$A12)</f>
        <v>0</v>
      </c>
      <c r="AE12" s="5" t="n">
        <f aca="false">SUMIFS('Por foco'!$AJ$2:$AJ$579,'Por foco'!$A$2:$A$579,$A12)</f>
        <v>0</v>
      </c>
      <c r="AF12" s="5" t="n">
        <f aca="false">SUMIFS('Por foco'!$AK$2:$AK$579,'Por foco'!$A$2:$A$579,$A12)</f>
        <v>0</v>
      </c>
      <c r="AG12" s="5" t="n">
        <f aca="false">SUMIFS('Por foco'!$AL$2:$AL$579,'Por foco'!$A$2:$A$579,$A12)</f>
        <v>0</v>
      </c>
      <c r="AH12" s="5" t="n">
        <f aca="false">SUMIFS('Por foco'!$AM$2:$AM$579,'Por foco'!$A$2:$A$579,$A12)</f>
        <v>0</v>
      </c>
      <c r="AI12" s="5" t="n">
        <f aca="false">SUMIFS('Por foco'!$AN$2:$AN$579,'Por foco'!$A$2:$A$579,$A12)</f>
        <v>0</v>
      </c>
      <c r="AJ12" s="4" t="n">
        <f aca="false">SUMIFS('Por foco'!$AO$2:$AO$579,'Por foco'!$A$2:$A$579,$A12)</f>
        <v>0.29</v>
      </c>
      <c r="AK12" s="5" t="n">
        <f aca="false">SUMIFS('Por foco'!$AP$2:$AP$579,'Por foco'!$A$2:$A$579,$A12)</f>
        <v>59</v>
      </c>
      <c r="AL12" s="5" t="n">
        <f aca="false">SUMIFS('Por foco'!$AQ$2:$AQ$579,'Por foco'!$A$2:$A$579,$A12)</f>
        <v>0</v>
      </c>
      <c r="AM12" s="5" t="n">
        <f aca="false">SUMIFS('Por foco'!$AR$2:$AR$579,'Por foco'!$A$2:$A$579,$A12)</f>
        <v>35</v>
      </c>
      <c r="AN12" s="5" t="n">
        <f aca="false">SUMIFS('Por foco'!$AS$2:$AS$579,'Por foco'!$A$2:$A$579,$A12)</f>
        <v>25</v>
      </c>
      <c r="AO12" s="5" t="n">
        <f aca="false">SUMIFS('Por foco'!$AT$2:$AT$579,'Por foco'!$A$2:$A$579,$A12)</f>
        <v>0</v>
      </c>
      <c r="AP12" s="5" t="n">
        <f aca="false">SUMIFS('Por foco'!$AU$2:$AU$579,'Por foco'!$A$2:$A$579,$A12)</f>
        <v>0</v>
      </c>
      <c r="AQ12" s="5" t="n">
        <f aca="false">SUMIFS('Por foco'!$AV$2:$AV$579,'Por foco'!$A$2:$A$579,$A12)</f>
        <v>0</v>
      </c>
      <c r="AR12" s="5" t="n">
        <f aca="false">SUMIFS('Por foco'!$AW$2:$AW$579,'Por foco'!$A$2:$A$579,$A12)</f>
        <v>0</v>
      </c>
      <c r="AS12" s="5" t="n">
        <f aca="false">SUMIFS('Por foco'!$AX$2:$AX$579,'Por foco'!$A$2:$A$579,$A12)</f>
        <v>-24</v>
      </c>
      <c r="AT12" s="5" t="n">
        <f aca="false">SUMIFS('Por foco'!$AY$2:$AY$579,'Por foco'!$A$2:$A$579,$A12)</f>
        <v>0</v>
      </c>
      <c r="AU12" s="5" t="n">
        <f aca="false">SUMIFS('Por foco'!$AZ$2:$AZ$579,'Por foco'!$A$2:$A$579,$A12)</f>
        <v>0</v>
      </c>
      <c r="AV12" s="5" t="n">
        <f aca="false">SUMIFS('Por foco'!$BA$2:$BA$579,'Por foco'!$A$2:$A$579,$A12)</f>
        <v>0</v>
      </c>
      <c r="AW12" s="5" t="n">
        <f aca="false">SUMIFS('Por foco'!$BB$2:$BB$579,'Por foco'!$A$2:$A$579,$A12)</f>
        <v>0</v>
      </c>
      <c r="AX12" s="5" t="n">
        <f aca="false">SUMIFS('Por foco'!$BC$2:$BC$579,'Por foco'!$A$2:$A$579,$A12)</f>
        <v>0</v>
      </c>
      <c r="AY12" s="5" t="n">
        <f aca="false">SUMIFS('Por foco'!$BD$2:$BD$579,'Por foco'!$A$2:$A$579,$A12)</f>
        <v>0</v>
      </c>
      <c r="AZ12" s="5" t="n">
        <f aca="false">SUMIFS('Por foco'!$BE$2:$BE$579,'Por foco'!$A$2:$A$579,$A12)</f>
        <v>0</v>
      </c>
      <c r="BA12" s="5" t="n">
        <f aca="false">SUMIFS('Por foco'!$BF$2:$BF$579,'Por foco'!$A$2:$A$579,$A12)</f>
        <v>0</v>
      </c>
      <c r="BB12" s="5" t="n">
        <f aca="false">SUMIFS('Por foco'!$BG$2:$BG$579,'Por foco'!$A$2:$A$579,$A12)</f>
        <v>0</v>
      </c>
      <c r="BC12" s="6" t="n">
        <f aca="false">C12*Pesos!$B$2+D12*Pesos!$B$3+E12*Pesos!$B$4+F12*Pesos!$B$5+G12*Pesos!$B$6+H12*Pesos!$B$7+I12*Pesos!$B$8+J12*Pesos!$B$9+K12*Pesos!$B$10+L12*Pesos!$B$11+M12*Pesos!$B$12+N12*Pesos!$B$13+O12*Pesos!$B$14+P12*Pesos!$B$15+Q12*Pesos!$B$16+R12*Pesos!$B$17+S12*Pesos!$B$18+T12*Pesos!$B$19+U12*Pesos!$B$20</f>
        <v>4643</v>
      </c>
      <c r="BD12" s="6" t="n">
        <f aca="false">V12*Pesos!$B$21+W12*Pesos!$B$22+X12*Pesos!$B$23+Y12*Pesos!$B$24+Z12*Pesos!$B$25+AA12*Pesos!$B$26+AB12*Pesos!$B$27+AC12*Pesos!$B$28+AD12*Pesos!$B$29+AE12*Pesos!$B$30+AF12*Pesos!$B$31+AG12*Pesos!$B$32+AH12*Pesos!$B$33+AI12*Pesos!$B$34+AJ12*Pesos!$B$35+AK12*Pesos!$B$36+AL12*Pesos!$B$37+AM12*Pesos!$B$38+AN12*Pesos!$B$39+AO12*Pesos!$B$40+AP12*Pesos!$B$41+AQ12*Pesos!$B$42+AR12*Pesos!$B$43+AS12*Pesos!$B$44+AT12*Pesos!$B$45+AU12*Pesos!$B$46+AV12*Pesos!$B$47+AW12*Pesos!$B$48+AX12*Pesos!$B$49+AY12*Pesos!$B$50+AZ12*Pesos!$B$51+BA12*Pesos!$B$52+BB12*Pesos!$B$53</f>
        <v>4042.87</v>
      </c>
      <c r="BE12" s="6" t="n">
        <f aca="false">BC12+BD12</f>
        <v>8685.87</v>
      </c>
      <c r="BF12" s="6" t="n">
        <f aca="false">SUMIFS('Por foco'!$G$2:$G$579,'Por foco'!$A$2:$A$579,$A12)</f>
        <v>8685.87</v>
      </c>
      <c r="BG12" s="7" t="n">
        <f aca="false">IF($BF$16=0,0,BF12/$BF$16-1)</f>
        <v>0.0133397304812553</v>
      </c>
      <c r="BH12" s="3" t="n">
        <f aca="false">COUNTIFS('Por foco'!$A$2:$A$579,$A12,'Por foco'!$BM$2:$BM$579,"?*")</f>
        <v>0</v>
      </c>
    </row>
    <row r="13" customFormat="false" ht="15" hidden="false" customHeight="false" outlineLevel="0" collapsed="false">
      <c r="A13" s="3" t="s">
        <v>71</v>
      </c>
      <c r="B13" s="3" t="n">
        <f aca="false">COUNTIF('Por foco'!$A$2:$A$579,$A13)</f>
        <v>7</v>
      </c>
      <c r="C13" s="3" t="n">
        <f aca="false">SUMIFS('Por foco'!$H$2:$H$579,'Por foco'!$A$2:$A$579,$A13)</f>
        <v>245</v>
      </c>
      <c r="D13" s="3" t="n">
        <f aca="false">SUMIFS('Por foco'!$I$2:$I$579,'Por foco'!$A$2:$A$579,$A13)</f>
        <v>0</v>
      </c>
      <c r="E13" s="3" t="n">
        <f aca="false">SUMIFS('Por foco'!$J$2:$J$579,'Por foco'!$A$2:$A$579,$A13)</f>
        <v>0</v>
      </c>
      <c r="F13" s="3" t="n">
        <f aca="false">SUMIFS('Por foco'!$K$2:$K$579,'Por foco'!$A$2:$A$579,$A13)</f>
        <v>0</v>
      </c>
      <c r="G13" s="3" t="n">
        <f aca="false">SUMIFS('Por foco'!$L$2:$L$579,'Por foco'!$A$2:$A$579,$A13)</f>
        <v>1240000</v>
      </c>
      <c r="H13" s="3" t="n">
        <f aca="false">SUMIFS('Por foco'!$M$2:$M$579,'Por foco'!$A$2:$A$579,$A13)</f>
        <v>0</v>
      </c>
      <c r="I13" s="3" t="n">
        <f aca="false">SUMIFS('Por foco'!$N$2:$N$579,'Por foco'!$A$2:$A$579,$A13)</f>
        <v>0</v>
      </c>
      <c r="J13" s="3" t="n">
        <f aca="false">SUMIFS('Por foco'!$O$2:$O$579,'Por foco'!$A$2:$A$579,$A13)</f>
        <v>0</v>
      </c>
      <c r="K13" s="3" t="n">
        <f aca="false">SUMIFS('Por foco'!$P$2:$P$579,'Por foco'!$A$2:$A$579,$A13)</f>
        <v>0</v>
      </c>
      <c r="L13" s="3" t="n">
        <f aca="false">SUMIFS('Por foco'!$Q$2:$Q$579,'Por foco'!$A$2:$A$579,$A13)</f>
        <v>0</v>
      </c>
      <c r="M13" s="3" t="n">
        <f aca="false">SUMIFS('Por foco'!$R$2:$R$579,'Por foco'!$A$2:$A$579,$A13)</f>
        <v>0</v>
      </c>
      <c r="N13" s="3" t="n">
        <f aca="false">SUMIFS('Por foco'!$S$2:$S$579,'Por foco'!$A$2:$A$579,$A13)</f>
        <v>0</v>
      </c>
      <c r="O13" s="3" t="n">
        <f aca="false">SUMIFS('Por foco'!$T$2:$T$579,'Por foco'!$A$2:$A$579,$A13)</f>
        <v>0</v>
      </c>
      <c r="P13" s="3" t="n">
        <f aca="false">SUMIFS('Por foco'!$U$2:$U$579,'Por foco'!$A$2:$A$579,$A13)</f>
        <v>0</v>
      </c>
      <c r="Q13" s="3" t="n">
        <f aca="false">SUMIFS('Por foco'!$V$2:$V$579,'Por foco'!$A$2:$A$579,$A13)</f>
        <v>0</v>
      </c>
      <c r="R13" s="3" t="n">
        <f aca="false">SUMIFS('Por foco'!$W$2:$W$579,'Por foco'!$A$2:$A$579,$A13)</f>
        <v>32150</v>
      </c>
      <c r="S13" s="3" t="n">
        <f aca="false">SUMIFS('Por foco'!$X$2:$X$579,'Por foco'!$A$2:$A$579,$A13)</f>
        <v>8</v>
      </c>
      <c r="T13" s="3" t="n">
        <f aca="false">SUMIFS('Por foco'!$Y$2:$Y$579,'Por foco'!$A$2:$A$579,$A13)</f>
        <v>0</v>
      </c>
      <c r="U13" s="3" t="n">
        <f aca="false">SUMIFS('Por foco'!$Z$2:$Z$579,'Por foco'!$A$2:$A$579,$A13)</f>
        <v>0</v>
      </c>
      <c r="V13" s="4" t="n">
        <f aca="false">SUMIFS('Por foco'!$AA$2:$AA$579,'Por foco'!$A$2:$A$579,$A13)</f>
        <v>0</v>
      </c>
      <c r="W13" s="5" t="n">
        <f aca="false">SUMIFS('Por foco'!$AB$2:$AB$579,'Por foco'!$A$2:$A$579,$A13)</f>
        <v>41</v>
      </c>
      <c r="X13" s="5" t="n">
        <f aca="false">SUMIFS('Por foco'!$AC$2:$AC$579,'Por foco'!$A$2:$A$579,$A13)</f>
        <v>41</v>
      </c>
      <c r="Y13" s="4" t="n">
        <f aca="false">SUMIFS('Por foco'!$AD$2:$AD$579,'Por foco'!$A$2:$A$579,$A13)</f>
        <v>0</v>
      </c>
      <c r="Z13" s="5" t="n">
        <f aca="false">SUMIFS('Por foco'!$AE$2:$AE$579,'Por foco'!$A$2:$A$579,$A13)</f>
        <v>0</v>
      </c>
      <c r="AA13" s="5" t="n">
        <f aca="false">SUMIFS('Por foco'!$AF$2:$AF$579,'Por foco'!$A$2:$A$579,$A13)</f>
        <v>0</v>
      </c>
      <c r="AB13" s="5" t="n">
        <f aca="false">SUMIFS('Por foco'!$AG$2:$AG$579,'Por foco'!$A$2:$A$579,$A13)</f>
        <v>0</v>
      </c>
      <c r="AC13" s="5" t="n">
        <f aca="false">SUMIFS('Por foco'!$AH$2:$AH$579,'Por foco'!$A$2:$A$579,$A13)</f>
        <v>0</v>
      </c>
      <c r="AD13" s="5" t="n">
        <f aca="false">SUMIFS('Por foco'!$AI$2:$AI$579,'Por foco'!$A$2:$A$579,$A13)</f>
        <v>0</v>
      </c>
      <c r="AE13" s="5" t="n">
        <f aca="false">SUMIFS('Por foco'!$AJ$2:$AJ$579,'Por foco'!$A$2:$A$579,$A13)</f>
        <v>0</v>
      </c>
      <c r="AF13" s="5" t="n">
        <f aca="false">SUMIFS('Por foco'!$AK$2:$AK$579,'Por foco'!$A$2:$A$579,$A13)</f>
        <v>0</v>
      </c>
      <c r="AG13" s="5" t="n">
        <f aca="false">SUMIFS('Por foco'!$AL$2:$AL$579,'Por foco'!$A$2:$A$579,$A13)</f>
        <v>0</v>
      </c>
      <c r="AH13" s="5" t="n">
        <f aca="false">SUMIFS('Por foco'!$AM$2:$AM$579,'Por foco'!$A$2:$A$579,$A13)</f>
        <v>0</v>
      </c>
      <c r="AI13" s="5" t="n">
        <f aca="false">SUMIFS('Por foco'!$AN$2:$AN$579,'Por foco'!$A$2:$A$579,$A13)</f>
        <v>0</v>
      </c>
      <c r="AJ13" s="4" t="n">
        <f aca="false">SUMIFS('Por foco'!$AO$2:$AO$579,'Por foco'!$A$2:$A$579,$A13)</f>
        <v>0</v>
      </c>
      <c r="AK13" s="5" t="n">
        <f aca="false">SUMIFS('Por foco'!$AP$2:$AP$579,'Por foco'!$A$2:$A$579,$A13)</f>
        <v>59</v>
      </c>
      <c r="AL13" s="5" t="n">
        <f aca="false">SUMIFS('Por foco'!$AQ$2:$AQ$579,'Por foco'!$A$2:$A$579,$A13)</f>
        <v>26</v>
      </c>
      <c r="AM13" s="5" t="n">
        <f aca="false">SUMIFS('Por foco'!$AR$2:$AR$579,'Por foco'!$A$2:$A$579,$A13)</f>
        <v>43</v>
      </c>
      <c r="AN13" s="5" t="n">
        <f aca="false">SUMIFS('Por foco'!$AS$2:$AS$579,'Por foco'!$A$2:$A$579,$A13)</f>
        <v>25</v>
      </c>
      <c r="AO13" s="5" t="n">
        <f aca="false">SUMIFS('Por foco'!$AT$2:$AT$579,'Por foco'!$A$2:$A$579,$A13)</f>
        <v>0</v>
      </c>
      <c r="AP13" s="5" t="n">
        <f aca="false">SUMIFS('Por foco'!$AU$2:$AU$579,'Por foco'!$A$2:$A$579,$A13)</f>
        <v>0</v>
      </c>
      <c r="AQ13" s="5" t="n">
        <f aca="false">SUMIFS('Por foco'!$AV$2:$AV$579,'Por foco'!$A$2:$A$579,$A13)</f>
        <v>0</v>
      </c>
      <c r="AR13" s="5" t="n">
        <f aca="false">SUMIFS('Por foco'!$AW$2:$AW$579,'Por foco'!$A$2:$A$579,$A13)</f>
        <v>-26</v>
      </c>
      <c r="AS13" s="5" t="n">
        <f aca="false">SUMIFS('Por foco'!$AX$2:$AX$579,'Por foco'!$A$2:$A$579,$A13)</f>
        <v>-24</v>
      </c>
      <c r="AT13" s="5" t="n">
        <f aca="false">SUMIFS('Por foco'!$AY$2:$AY$579,'Por foco'!$A$2:$A$579,$A13)</f>
        <v>0</v>
      </c>
      <c r="AU13" s="5" t="n">
        <f aca="false">SUMIFS('Por foco'!$AZ$2:$AZ$579,'Por foco'!$A$2:$A$579,$A13)</f>
        <v>0</v>
      </c>
      <c r="AV13" s="5" t="n">
        <f aca="false">SUMIFS('Por foco'!$BA$2:$BA$579,'Por foco'!$A$2:$A$579,$A13)</f>
        <v>0</v>
      </c>
      <c r="AW13" s="5" t="n">
        <f aca="false">SUMIFS('Por foco'!$BB$2:$BB$579,'Por foco'!$A$2:$A$579,$A13)</f>
        <v>0</v>
      </c>
      <c r="AX13" s="5" t="n">
        <f aca="false">SUMIFS('Por foco'!$BC$2:$BC$579,'Por foco'!$A$2:$A$579,$A13)</f>
        <v>0</v>
      </c>
      <c r="AY13" s="5" t="n">
        <f aca="false">SUMIFS('Por foco'!$BD$2:$BD$579,'Por foco'!$A$2:$A$579,$A13)</f>
        <v>0</v>
      </c>
      <c r="AZ13" s="5" t="n">
        <f aca="false">SUMIFS('Por foco'!$BE$2:$BE$579,'Por foco'!$A$2:$A$579,$A13)</f>
        <v>0</v>
      </c>
      <c r="BA13" s="5" t="n">
        <f aca="false">SUMIFS('Por foco'!$BF$2:$BF$579,'Por foco'!$A$2:$A$579,$A13)</f>
        <v>0</v>
      </c>
      <c r="BB13" s="5" t="n">
        <f aca="false">SUMIFS('Por foco'!$BG$2:$BG$579,'Por foco'!$A$2:$A$579,$A13)</f>
        <v>0</v>
      </c>
      <c r="BC13" s="6" t="n">
        <f aca="false">C13*Pesos!$B$2+D13*Pesos!$B$3+E13*Pesos!$B$4+F13*Pesos!$B$5+G13*Pesos!$B$6+H13*Pesos!$B$7+I13*Pesos!$B$8+J13*Pesos!$B$9+K13*Pesos!$B$10+L13*Pesos!$B$11+M13*Pesos!$B$12+N13*Pesos!$B$13+O13*Pesos!$B$14+P13*Pesos!$B$15+Q13*Pesos!$B$16+R13*Pesos!$B$17+S13*Pesos!$B$18+T13*Pesos!$B$19+U13*Pesos!$B$20</f>
        <v>3443</v>
      </c>
      <c r="BD13" s="6" t="n">
        <f aca="false">V13*Pesos!$B$21+W13*Pesos!$B$22+X13*Pesos!$B$23+Y13*Pesos!$B$24+Z13*Pesos!$B$25+AA13*Pesos!$B$26+AB13*Pesos!$B$27+AC13*Pesos!$B$28+AD13*Pesos!$B$29+AE13*Pesos!$B$30+AF13*Pesos!$B$31+AG13*Pesos!$B$32+AH13*Pesos!$B$33+AI13*Pesos!$B$34+AJ13*Pesos!$B$35+AK13*Pesos!$B$36+AL13*Pesos!$B$37+AM13*Pesos!$B$38+AN13*Pesos!$B$39+AO13*Pesos!$B$40+AP13*Pesos!$B$41+AQ13*Pesos!$B$42+AR13*Pesos!$B$43+AS13*Pesos!$B$44+AT13*Pesos!$B$45+AU13*Pesos!$B$46+AV13*Pesos!$B$47+AW13*Pesos!$B$48+AX13*Pesos!$B$49+AY13*Pesos!$B$50+AZ13*Pesos!$B$51+BA13*Pesos!$B$52+BB13*Pesos!$B$53</f>
        <v>3938</v>
      </c>
      <c r="BE13" s="6" t="n">
        <f aca="false">BC13+BD13</f>
        <v>7381</v>
      </c>
      <c r="BF13" s="6" t="n">
        <f aca="false">SUMIFS('Por foco'!$G$2:$G$579,'Por foco'!$A$2:$A$579,$A13)</f>
        <v>7381</v>
      </c>
      <c r="BG13" s="7" t="n">
        <f aca="false">IF($BF$16=0,0,BF13/$BF$16-1)</f>
        <v>-0.138893334728456</v>
      </c>
      <c r="BH13" s="3" t="n">
        <f aca="false">COUNTIFS('Por foco'!$A$2:$A$579,$A13,'Por foco'!$BM$2:$BM$579,"?*")</f>
        <v>0</v>
      </c>
    </row>
    <row r="14" customFormat="false" ht="15" hidden="false" customHeight="false" outlineLevel="0" collapsed="false">
      <c r="A14" s="3" t="s">
        <v>72</v>
      </c>
      <c r="B14" s="3" t="n">
        <f aca="false">COUNTIF('Por foco'!$A$2:$A$579,$A14)</f>
        <v>7</v>
      </c>
      <c r="C14" s="3" t="n">
        <f aca="false">SUMIFS('Por foco'!$H$2:$H$579,'Por foco'!$A$2:$A$579,$A14)</f>
        <v>2548</v>
      </c>
      <c r="D14" s="3" t="n">
        <f aca="false">SUMIFS('Por foco'!$I$2:$I$579,'Por foco'!$A$2:$A$579,$A14)</f>
        <v>400</v>
      </c>
      <c r="E14" s="3" t="n">
        <f aca="false">SUMIFS('Por foco'!$J$2:$J$579,'Por foco'!$A$2:$A$579,$A14)</f>
        <v>10</v>
      </c>
      <c r="F14" s="3" t="n">
        <f aca="false">SUMIFS('Por foco'!$K$2:$K$579,'Por foco'!$A$2:$A$579,$A14)</f>
        <v>10</v>
      </c>
      <c r="G14" s="3" t="n">
        <f aca="false">SUMIFS('Por foco'!$L$2:$L$579,'Por foco'!$A$2:$A$579,$A14)</f>
        <v>1950000</v>
      </c>
      <c r="H14" s="3" t="n">
        <f aca="false">SUMIFS('Por foco'!$M$2:$M$579,'Por foco'!$A$2:$A$579,$A14)</f>
        <v>0</v>
      </c>
      <c r="I14" s="3" t="n">
        <f aca="false">SUMIFS('Por foco'!$N$2:$N$579,'Por foco'!$A$2:$A$579,$A14)</f>
        <v>0</v>
      </c>
      <c r="J14" s="3" t="n">
        <f aca="false">SUMIFS('Por foco'!$O$2:$O$579,'Por foco'!$A$2:$A$579,$A14)</f>
        <v>0</v>
      </c>
      <c r="K14" s="3" t="n">
        <f aca="false">SUMIFS('Por foco'!$P$2:$P$579,'Por foco'!$A$2:$A$579,$A14)</f>
        <v>0</v>
      </c>
      <c r="L14" s="3" t="n">
        <f aca="false">SUMIFS('Por foco'!$Q$2:$Q$579,'Por foco'!$A$2:$A$579,$A14)</f>
        <v>0</v>
      </c>
      <c r="M14" s="3" t="n">
        <f aca="false">SUMIFS('Por foco'!$R$2:$R$579,'Por foco'!$A$2:$A$579,$A14)</f>
        <v>15</v>
      </c>
      <c r="N14" s="3" t="n">
        <f aca="false">SUMIFS('Por foco'!$S$2:$S$579,'Por foco'!$A$2:$A$579,$A14)</f>
        <v>0</v>
      </c>
      <c r="O14" s="3" t="n">
        <f aca="false">SUMIFS('Por foco'!$T$2:$T$579,'Por foco'!$A$2:$A$579,$A14)</f>
        <v>0</v>
      </c>
      <c r="P14" s="3" t="n">
        <f aca="false">SUMIFS('Por foco'!$U$2:$U$579,'Por foco'!$A$2:$A$579,$A14)</f>
        <v>1</v>
      </c>
      <c r="Q14" s="3" t="n">
        <f aca="false">SUMIFS('Por foco'!$V$2:$V$579,'Por foco'!$A$2:$A$579,$A14)</f>
        <v>0</v>
      </c>
      <c r="R14" s="3" t="n">
        <f aca="false">SUMIFS('Por foco'!$W$2:$W$579,'Por foco'!$A$2:$A$579,$A14)</f>
        <v>38910</v>
      </c>
      <c r="S14" s="3" t="n">
        <f aca="false">SUMIFS('Por foco'!$X$2:$X$579,'Por foco'!$A$2:$A$579,$A14)</f>
        <v>10</v>
      </c>
      <c r="T14" s="3" t="n">
        <f aca="false">SUMIFS('Por foco'!$Y$2:$Y$579,'Por foco'!$A$2:$A$579,$A14)</f>
        <v>0</v>
      </c>
      <c r="U14" s="3" t="n">
        <f aca="false">SUMIFS('Por foco'!$Z$2:$Z$579,'Por foco'!$A$2:$A$579,$A14)</f>
        <v>9</v>
      </c>
      <c r="V14" s="4" t="n">
        <f aca="false">SUMIFS('Por foco'!$AA$2:$AA$579,'Por foco'!$A$2:$A$579,$A14)</f>
        <v>0</v>
      </c>
      <c r="W14" s="5" t="n">
        <f aca="false">SUMIFS('Por foco'!$AB$2:$AB$579,'Por foco'!$A$2:$A$579,$A14)</f>
        <v>0</v>
      </c>
      <c r="X14" s="5" t="n">
        <f aca="false">SUMIFS('Por foco'!$AC$2:$AC$579,'Por foco'!$A$2:$A$579,$A14)</f>
        <v>0</v>
      </c>
      <c r="Y14" s="4" t="n">
        <f aca="false">SUMIFS('Por foco'!$AD$2:$AD$579,'Por foco'!$A$2:$A$579,$A14)</f>
        <v>0</v>
      </c>
      <c r="Z14" s="5" t="n">
        <f aca="false">SUMIFS('Por foco'!$AE$2:$AE$579,'Por foco'!$A$2:$A$579,$A14)</f>
        <v>0</v>
      </c>
      <c r="AA14" s="5" t="n">
        <f aca="false">SUMIFS('Por foco'!$AF$2:$AF$579,'Por foco'!$A$2:$A$579,$A14)</f>
        <v>0</v>
      </c>
      <c r="AB14" s="5" t="n">
        <f aca="false">SUMIFS('Por foco'!$AG$2:$AG$579,'Por foco'!$A$2:$A$579,$A14)</f>
        <v>0</v>
      </c>
      <c r="AC14" s="5" t="n">
        <f aca="false">SUMIFS('Por foco'!$AH$2:$AH$579,'Por foco'!$A$2:$A$579,$A14)</f>
        <v>0</v>
      </c>
      <c r="AD14" s="5" t="n">
        <f aca="false">SUMIFS('Por foco'!$AI$2:$AI$579,'Por foco'!$A$2:$A$579,$A14)</f>
        <v>25</v>
      </c>
      <c r="AE14" s="5" t="n">
        <f aca="false">SUMIFS('Por foco'!$AJ$2:$AJ$579,'Por foco'!$A$2:$A$579,$A14)</f>
        <v>0</v>
      </c>
      <c r="AF14" s="5" t="n">
        <f aca="false">SUMIFS('Por foco'!$AK$2:$AK$579,'Por foco'!$A$2:$A$579,$A14)</f>
        <v>0</v>
      </c>
      <c r="AG14" s="5" t="n">
        <f aca="false">SUMIFS('Por foco'!$AL$2:$AL$579,'Por foco'!$A$2:$A$579,$A14)</f>
        <v>0</v>
      </c>
      <c r="AH14" s="5" t="n">
        <f aca="false">SUMIFS('Por foco'!$AM$2:$AM$579,'Por foco'!$A$2:$A$579,$A14)</f>
        <v>0</v>
      </c>
      <c r="AI14" s="5" t="n">
        <f aca="false">SUMIFS('Por foco'!$AN$2:$AN$579,'Por foco'!$A$2:$A$579,$A14)</f>
        <v>25</v>
      </c>
      <c r="AJ14" s="4" t="n">
        <f aca="false">SUMIFS('Por foco'!$AO$2:$AO$579,'Por foco'!$A$2:$A$579,$A14)</f>
        <v>0</v>
      </c>
      <c r="AK14" s="5" t="n">
        <f aca="false">SUMIFS('Por foco'!$AP$2:$AP$579,'Por foco'!$A$2:$A$579,$A14)</f>
        <v>0</v>
      </c>
      <c r="AL14" s="5" t="n">
        <f aca="false">SUMIFS('Por foco'!$AQ$2:$AQ$579,'Por foco'!$A$2:$A$579,$A14)</f>
        <v>0</v>
      </c>
      <c r="AM14" s="5" t="n">
        <f aca="false">SUMIFS('Por foco'!$AR$2:$AR$579,'Por foco'!$A$2:$A$579,$A14)</f>
        <v>0</v>
      </c>
      <c r="AN14" s="5" t="n">
        <f aca="false">SUMIFS('Por foco'!$AS$2:$AS$579,'Por foco'!$A$2:$A$579,$A14)</f>
        <v>0</v>
      </c>
      <c r="AO14" s="5" t="n">
        <f aca="false">SUMIFS('Por foco'!$AT$2:$AT$579,'Por foco'!$A$2:$A$579,$A14)</f>
        <v>0</v>
      </c>
      <c r="AP14" s="5" t="n">
        <f aca="false">SUMIFS('Por foco'!$AU$2:$AU$579,'Por foco'!$A$2:$A$579,$A14)</f>
        <v>0</v>
      </c>
      <c r="AQ14" s="5" t="n">
        <f aca="false">SUMIFS('Por foco'!$AV$2:$AV$579,'Por foco'!$A$2:$A$579,$A14)</f>
        <v>0</v>
      </c>
      <c r="AR14" s="5" t="n">
        <f aca="false">SUMIFS('Por foco'!$AW$2:$AW$579,'Por foco'!$A$2:$A$579,$A14)</f>
        <v>0</v>
      </c>
      <c r="AS14" s="5" t="n">
        <f aca="false">SUMIFS('Por foco'!$AX$2:$AX$579,'Por foco'!$A$2:$A$579,$A14)</f>
        <v>0</v>
      </c>
      <c r="AT14" s="5" t="n">
        <f aca="false">SUMIFS('Por foco'!$AY$2:$AY$579,'Por foco'!$A$2:$A$579,$A14)</f>
        <v>0</v>
      </c>
      <c r="AU14" s="5" t="n">
        <f aca="false">SUMIFS('Por foco'!$AZ$2:$AZ$579,'Por foco'!$A$2:$A$579,$A14)</f>
        <v>0</v>
      </c>
      <c r="AV14" s="5" t="n">
        <f aca="false">SUMIFS('Por foco'!$BA$2:$BA$579,'Por foco'!$A$2:$A$579,$A14)</f>
        <v>0</v>
      </c>
      <c r="AW14" s="5" t="n">
        <f aca="false">SUMIFS('Por foco'!$BB$2:$BB$579,'Por foco'!$A$2:$A$579,$A14)</f>
        <v>0</v>
      </c>
      <c r="AX14" s="5" t="n">
        <f aca="false">SUMIFS('Por foco'!$BC$2:$BC$579,'Por foco'!$A$2:$A$579,$A14)</f>
        <v>0</v>
      </c>
      <c r="AY14" s="5" t="n">
        <f aca="false">SUMIFS('Por foco'!$BD$2:$BD$579,'Por foco'!$A$2:$A$579,$A14)</f>
        <v>0</v>
      </c>
      <c r="AZ14" s="5" t="n">
        <f aca="false">SUMIFS('Por foco'!$BE$2:$BE$579,'Por foco'!$A$2:$A$579,$A14)</f>
        <v>0</v>
      </c>
      <c r="BA14" s="5" t="n">
        <f aca="false">SUMIFS('Por foco'!$BF$2:$BF$579,'Por foco'!$A$2:$A$579,$A14)</f>
        <v>0</v>
      </c>
      <c r="BB14" s="5" t="n">
        <f aca="false">SUMIFS('Por foco'!$BG$2:$BG$579,'Por foco'!$A$2:$A$579,$A14)</f>
        <v>0</v>
      </c>
      <c r="BC14" s="6" t="n">
        <f aca="false">C14*Pesos!$B$2+D14*Pesos!$B$3+E14*Pesos!$B$4+F14*Pesos!$B$5+G14*Pesos!$B$6+H14*Pesos!$B$7+I14*Pesos!$B$8+J14*Pesos!$B$9+K14*Pesos!$B$10+L14*Pesos!$B$11+M14*Pesos!$B$12+N14*Pesos!$B$13+O14*Pesos!$B$14+P14*Pesos!$B$15+Q14*Pesos!$B$16+R14*Pesos!$B$17+S14*Pesos!$B$18+T14*Pesos!$B$19+U14*Pesos!$B$20</f>
        <v>7353.2</v>
      </c>
      <c r="BD14" s="6" t="n">
        <f aca="false">V14*Pesos!$B$21+W14*Pesos!$B$22+X14*Pesos!$B$23+Y14*Pesos!$B$24+Z14*Pesos!$B$25+AA14*Pesos!$B$26+AB14*Pesos!$B$27+AC14*Pesos!$B$28+AD14*Pesos!$B$29+AE14*Pesos!$B$30+AF14*Pesos!$B$31+AG14*Pesos!$B$32+AH14*Pesos!$B$33+AI14*Pesos!$B$34+AJ14*Pesos!$B$35+AK14*Pesos!$B$36+AL14*Pesos!$B$37+AM14*Pesos!$B$38+AN14*Pesos!$B$39+AO14*Pesos!$B$40+AP14*Pesos!$B$41+AQ14*Pesos!$B$42+AR14*Pesos!$B$43+AS14*Pesos!$B$44+AT14*Pesos!$B$45+AU14*Pesos!$B$46+AV14*Pesos!$B$47+AW14*Pesos!$B$48+AX14*Pesos!$B$49+AY14*Pesos!$B$50+AZ14*Pesos!$B$51+BA14*Pesos!$B$52+BB14*Pesos!$B$53</f>
        <v>750</v>
      </c>
      <c r="BE14" s="6" t="n">
        <f aca="false">BC14+BD14</f>
        <v>8103.2</v>
      </c>
      <c r="BF14" s="6" t="n">
        <f aca="false">SUMIFS('Por foco'!$G$2:$G$579,'Por foco'!$A$2:$A$579,$A14)</f>
        <v>8103.2</v>
      </c>
      <c r="BG14" s="7" t="n">
        <f aca="false">IF($BF$16=0,0,BF14/$BF$16-1)</f>
        <v>-0.0546376466564998</v>
      </c>
      <c r="BH14" s="3" t="n">
        <f aca="false">COUNTIFS('Por foco'!$A$2:$A$579,$A14,'Por foco'!$BM$2:$BM$579,"?*")</f>
        <v>0</v>
      </c>
    </row>
    <row r="15" customFormat="false" ht="15" hidden="false" customHeight="false" outlineLevel="0" collapsed="false">
      <c r="A15" s="3" t="s">
        <v>73</v>
      </c>
      <c r="B15" s="3" t="n">
        <f aca="false">COUNTIF('Por foco'!$A$2:$A$579,$A15)</f>
        <v>11</v>
      </c>
      <c r="C15" s="3" t="n">
        <f aca="false">SUMIFS('Por foco'!$H$2:$H$579,'Por foco'!$A$2:$A$579,$A15)</f>
        <v>420</v>
      </c>
      <c r="D15" s="3" t="n">
        <f aca="false">SUMIFS('Por foco'!$I$2:$I$579,'Por foco'!$A$2:$A$579,$A15)</f>
        <v>0</v>
      </c>
      <c r="E15" s="3" t="n">
        <f aca="false">SUMIFS('Por foco'!$J$2:$J$579,'Por foco'!$A$2:$A$579,$A15)</f>
        <v>0</v>
      </c>
      <c r="F15" s="3" t="n">
        <f aca="false">SUMIFS('Por foco'!$K$2:$K$579,'Por foco'!$A$2:$A$579,$A15)</f>
        <v>0</v>
      </c>
      <c r="G15" s="3" t="n">
        <f aca="false">SUMIFS('Por foco'!$L$2:$L$579,'Por foco'!$A$2:$A$579,$A15)</f>
        <v>800000</v>
      </c>
      <c r="H15" s="3" t="n">
        <f aca="false">SUMIFS('Por foco'!$M$2:$M$579,'Por foco'!$A$2:$A$579,$A15)</f>
        <v>30</v>
      </c>
      <c r="I15" s="3" t="n">
        <f aca="false">SUMIFS('Por foco'!$N$2:$N$579,'Por foco'!$A$2:$A$579,$A15)</f>
        <v>0</v>
      </c>
      <c r="J15" s="3" t="n">
        <f aca="false">SUMIFS('Por foco'!$O$2:$O$579,'Por foco'!$A$2:$A$579,$A15)</f>
        <v>0</v>
      </c>
      <c r="K15" s="3" t="n">
        <f aca="false">SUMIFS('Por foco'!$P$2:$P$579,'Por foco'!$A$2:$A$579,$A15)</f>
        <v>0</v>
      </c>
      <c r="L15" s="3" t="n">
        <f aca="false">SUMIFS('Por foco'!$Q$2:$Q$579,'Por foco'!$A$2:$A$579,$A15)</f>
        <v>0</v>
      </c>
      <c r="M15" s="3" t="n">
        <f aca="false">SUMIFS('Por foco'!$R$2:$R$579,'Por foco'!$A$2:$A$579,$A15)</f>
        <v>0</v>
      </c>
      <c r="N15" s="3" t="n">
        <f aca="false">SUMIFS('Por foco'!$S$2:$S$579,'Por foco'!$A$2:$A$579,$A15)</f>
        <v>0</v>
      </c>
      <c r="O15" s="3" t="n">
        <f aca="false">SUMIFS('Por foco'!$T$2:$T$579,'Por foco'!$A$2:$A$579,$A15)</f>
        <v>0</v>
      </c>
      <c r="P15" s="3" t="n">
        <f aca="false">SUMIFS('Por foco'!$U$2:$U$579,'Por foco'!$A$2:$A$579,$A15)</f>
        <v>0</v>
      </c>
      <c r="Q15" s="3" t="n">
        <f aca="false">SUMIFS('Por foco'!$V$2:$V$579,'Por foco'!$A$2:$A$579,$A15)</f>
        <v>0</v>
      </c>
      <c r="R15" s="3" t="n">
        <f aca="false">SUMIFS('Por foco'!$W$2:$W$579,'Por foco'!$A$2:$A$579,$A15)</f>
        <v>130000</v>
      </c>
      <c r="S15" s="3" t="n">
        <f aca="false">SUMIFS('Por foco'!$X$2:$X$579,'Por foco'!$A$2:$A$579,$A15)</f>
        <v>49</v>
      </c>
      <c r="T15" s="3" t="n">
        <f aca="false">SUMIFS('Por foco'!$Y$2:$Y$579,'Por foco'!$A$2:$A$579,$A15)</f>
        <v>0</v>
      </c>
      <c r="U15" s="3" t="n">
        <f aca="false">SUMIFS('Por foco'!$Z$2:$Z$579,'Por foco'!$A$2:$A$579,$A15)</f>
        <v>0</v>
      </c>
      <c r="V15" s="4" t="n">
        <f aca="false">SUMIFS('Por foco'!$AA$2:$AA$579,'Por foco'!$A$2:$A$579,$A15)</f>
        <v>0</v>
      </c>
      <c r="W15" s="5" t="n">
        <f aca="false">SUMIFS('Por foco'!$AB$2:$AB$579,'Por foco'!$A$2:$A$579,$A15)</f>
        <v>5</v>
      </c>
      <c r="X15" s="5" t="n">
        <f aca="false">SUMIFS('Por foco'!$AC$2:$AC$579,'Por foco'!$A$2:$A$579,$A15)</f>
        <v>0</v>
      </c>
      <c r="Y15" s="4" t="n">
        <f aca="false">SUMIFS('Por foco'!$AD$2:$AD$579,'Por foco'!$A$2:$A$579,$A15)</f>
        <v>0</v>
      </c>
      <c r="Z15" s="5" t="n">
        <f aca="false">SUMIFS('Por foco'!$AE$2:$AE$579,'Por foco'!$A$2:$A$579,$A15)</f>
        <v>0</v>
      </c>
      <c r="AA15" s="5" t="n">
        <f aca="false">SUMIFS('Por foco'!$AF$2:$AF$579,'Por foco'!$A$2:$A$579,$A15)</f>
        <v>0</v>
      </c>
      <c r="AB15" s="5" t="n">
        <f aca="false">SUMIFS('Por foco'!$AG$2:$AG$579,'Por foco'!$A$2:$A$579,$A15)</f>
        <v>5</v>
      </c>
      <c r="AC15" s="5" t="n">
        <f aca="false">SUMIFS('Por foco'!$AH$2:$AH$579,'Por foco'!$A$2:$A$579,$A15)</f>
        <v>0</v>
      </c>
      <c r="AD15" s="5" t="n">
        <f aca="false">SUMIFS('Por foco'!$AI$2:$AI$579,'Por foco'!$A$2:$A$579,$A15)</f>
        <v>0</v>
      </c>
      <c r="AE15" s="5" t="n">
        <f aca="false">SUMIFS('Por foco'!$AJ$2:$AJ$579,'Por foco'!$A$2:$A$579,$A15)</f>
        <v>0</v>
      </c>
      <c r="AF15" s="5" t="n">
        <f aca="false">SUMIFS('Por foco'!$AK$2:$AK$579,'Por foco'!$A$2:$A$579,$A15)</f>
        <v>0</v>
      </c>
      <c r="AG15" s="5" t="n">
        <f aca="false">SUMIFS('Por foco'!$AL$2:$AL$579,'Por foco'!$A$2:$A$579,$A15)</f>
        <v>0</v>
      </c>
      <c r="AH15" s="5" t="n">
        <f aca="false">SUMIFS('Por foco'!$AM$2:$AM$579,'Por foco'!$A$2:$A$579,$A15)</f>
        <v>0</v>
      </c>
      <c r="AI15" s="5" t="n">
        <f aca="false">SUMIFS('Por foco'!$AN$2:$AN$579,'Por foco'!$A$2:$A$579,$A15)</f>
        <v>0</v>
      </c>
      <c r="AJ15" s="4" t="n">
        <f aca="false">SUMIFS('Por foco'!$AO$2:$AO$579,'Por foco'!$A$2:$A$579,$A15)</f>
        <v>0</v>
      </c>
      <c r="AK15" s="5" t="n">
        <f aca="false">SUMIFS('Por foco'!$AP$2:$AP$579,'Por foco'!$A$2:$A$579,$A15)</f>
        <v>5</v>
      </c>
      <c r="AL15" s="5" t="n">
        <f aca="false">SUMIFS('Por foco'!$AQ$2:$AQ$579,'Por foco'!$A$2:$A$579,$A15)</f>
        <v>10</v>
      </c>
      <c r="AM15" s="5" t="n">
        <f aca="false">SUMIFS('Por foco'!$AR$2:$AR$579,'Por foco'!$A$2:$A$579,$A15)</f>
        <v>55</v>
      </c>
      <c r="AN15" s="5" t="n">
        <f aca="false">SUMIFS('Por foco'!$AS$2:$AS$579,'Por foco'!$A$2:$A$579,$A15)</f>
        <v>10</v>
      </c>
      <c r="AO15" s="5" t="n">
        <f aca="false">SUMIFS('Por foco'!$AT$2:$AT$579,'Por foco'!$A$2:$A$579,$A15)</f>
        <v>15</v>
      </c>
      <c r="AP15" s="5" t="n">
        <f aca="false">SUMIFS('Por foco'!$AU$2:$AU$579,'Por foco'!$A$2:$A$579,$A15)</f>
        <v>0</v>
      </c>
      <c r="AQ15" s="5" t="n">
        <f aca="false">SUMIFS('Por foco'!$AV$2:$AV$579,'Por foco'!$A$2:$A$579,$A15)</f>
        <v>0</v>
      </c>
      <c r="AR15" s="5" t="n">
        <f aca="false">SUMIFS('Por foco'!$AW$2:$AW$579,'Por foco'!$A$2:$A$579,$A15)</f>
        <v>0</v>
      </c>
      <c r="AS15" s="5" t="n">
        <f aca="false">SUMIFS('Por foco'!$AX$2:$AX$579,'Por foco'!$A$2:$A$579,$A15)</f>
        <v>0</v>
      </c>
      <c r="AT15" s="5" t="n">
        <f aca="false">SUMIFS('Por foco'!$AY$2:$AY$579,'Por foco'!$A$2:$A$579,$A15)</f>
        <v>0</v>
      </c>
      <c r="AU15" s="5" t="n">
        <f aca="false">SUMIFS('Por foco'!$AZ$2:$AZ$579,'Por foco'!$A$2:$A$579,$A15)</f>
        <v>0</v>
      </c>
      <c r="AV15" s="5" t="n">
        <f aca="false">SUMIFS('Por foco'!$BA$2:$BA$579,'Por foco'!$A$2:$A$579,$A15)</f>
        <v>0</v>
      </c>
      <c r="AW15" s="5" t="n">
        <f aca="false">SUMIFS('Por foco'!$BB$2:$BB$579,'Por foco'!$A$2:$A$579,$A15)</f>
        <v>0</v>
      </c>
      <c r="AX15" s="5" t="n">
        <f aca="false">SUMIFS('Por foco'!$BC$2:$BC$579,'Por foco'!$A$2:$A$579,$A15)</f>
        <v>0</v>
      </c>
      <c r="AY15" s="5" t="n">
        <f aca="false">SUMIFS('Por foco'!$BD$2:$BD$579,'Por foco'!$A$2:$A$579,$A15)</f>
        <v>0</v>
      </c>
      <c r="AZ15" s="5" t="n">
        <f aca="false">SUMIFS('Por foco'!$BE$2:$BE$579,'Por foco'!$A$2:$A$579,$A15)</f>
        <v>0</v>
      </c>
      <c r="BA15" s="5" t="n">
        <f aca="false">SUMIFS('Por foco'!$BF$2:$BF$579,'Por foco'!$A$2:$A$579,$A15)</f>
        <v>0</v>
      </c>
      <c r="BB15" s="5" t="n">
        <f aca="false">SUMIFS('Por foco'!$BG$2:$BG$579,'Por foco'!$A$2:$A$579,$A15)</f>
        <v>0</v>
      </c>
      <c r="BC15" s="6" t="n">
        <f aca="false">C15*Pesos!$B$2+D15*Pesos!$B$3+E15*Pesos!$B$4+F15*Pesos!$B$5+G15*Pesos!$B$6+H15*Pesos!$B$7+I15*Pesos!$B$8+J15*Pesos!$B$9+K15*Pesos!$B$10+L15*Pesos!$B$11+M15*Pesos!$B$12+N15*Pesos!$B$13+O15*Pesos!$B$14+P15*Pesos!$B$15+Q15*Pesos!$B$16+R15*Pesos!$B$17+S15*Pesos!$B$18+T15*Pesos!$B$19+U15*Pesos!$B$20</f>
        <v>6190</v>
      </c>
      <c r="BD15" s="6" t="n">
        <f aca="false">V15*Pesos!$B$21+W15*Pesos!$B$22+X15*Pesos!$B$23+Y15*Pesos!$B$24+Z15*Pesos!$B$25+AA15*Pesos!$B$26+AB15*Pesos!$B$27+AC15*Pesos!$B$28+AD15*Pesos!$B$29+AE15*Pesos!$B$30+AF15*Pesos!$B$31+AG15*Pesos!$B$32+AH15*Pesos!$B$33+AI15*Pesos!$B$34+AJ15*Pesos!$B$35+AK15*Pesos!$B$36+AL15*Pesos!$B$37+AM15*Pesos!$B$38+AN15*Pesos!$B$39+AO15*Pesos!$B$40+AP15*Pesos!$B$41+AQ15*Pesos!$B$42+AR15*Pesos!$B$43+AS15*Pesos!$B$44+AT15*Pesos!$B$45+AU15*Pesos!$B$46+AV15*Pesos!$B$47+AW15*Pesos!$B$48+AX15*Pesos!$B$49+AY15*Pesos!$B$50+AZ15*Pesos!$B$51+BA15*Pesos!$B$52+BB15*Pesos!$B$53</f>
        <v>1335</v>
      </c>
      <c r="BE15" s="6" t="n">
        <f aca="false">BC15+BD15</f>
        <v>7525</v>
      </c>
      <c r="BF15" s="6" t="n">
        <f aca="false">SUMIFS('Por foco'!$G$2:$G$579,'Por foco'!$A$2:$A$579,$A15)</f>
        <v>7525</v>
      </c>
      <c r="BG15" s="7" t="n">
        <f aca="false">IF($BF$16=0,0,BF15/$BF$16-1)</f>
        <v>-0.12209352985119</v>
      </c>
      <c r="BH15" s="3" t="n">
        <f aca="false">COUNTIFS('Por foco'!$A$2:$A$579,$A15,'Por foco'!$BM$2:$BM$579,"?*")</f>
        <v>0</v>
      </c>
    </row>
    <row r="16" customFormat="false" ht="15" hidden="false" customHeight="false" outlineLevel="0" collapsed="false">
      <c r="A16" s="8" t="s">
        <v>74</v>
      </c>
      <c r="B16" s="3" t="n">
        <f aca="false">AVERAGE(B2:B9)</f>
        <v>66.5</v>
      </c>
      <c r="C16" s="3" t="n">
        <f aca="false">AVERAGE(C2:C9)</f>
        <v>4310.25</v>
      </c>
      <c r="D16" s="3" t="n">
        <f aca="false">AVERAGE(D2:D9)</f>
        <v>1325</v>
      </c>
      <c r="E16" s="3" t="n">
        <f aca="false">AVERAGE(E2:E9)</f>
        <v>14.75</v>
      </c>
      <c r="F16" s="3" t="n">
        <f aca="false">AVERAGE(F2:F9)</f>
        <v>28.125</v>
      </c>
      <c r="G16" s="3" t="n">
        <f aca="false">AVERAGE(G2:G9)</f>
        <v>181875</v>
      </c>
      <c r="H16" s="3" t="n">
        <f aca="false">AVERAGE(H2:H9)</f>
        <v>218.75</v>
      </c>
      <c r="I16" s="3" t="n">
        <f aca="false">AVERAGE(I2:I9)</f>
        <v>50.625</v>
      </c>
      <c r="J16" s="3" t="n">
        <f aca="false">AVERAGE(J2:J9)</f>
        <v>37.5</v>
      </c>
      <c r="K16" s="3" t="n">
        <f aca="false">AVERAGE(K2:K9)</f>
        <v>3.125</v>
      </c>
      <c r="L16" s="3" t="n">
        <f aca="false">AVERAGE(L2:L9)</f>
        <v>14.875</v>
      </c>
      <c r="M16" s="3" t="n">
        <f aca="false">AVERAGE(M2:M9)</f>
        <v>14.75</v>
      </c>
      <c r="N16" s="3" t="n">
        <f aca="false">AVERAGE(N2:N9)</f>
        <v>5.25</v>
      </c>
      <c r="O16" s="3" t="n">
        <f aca="false">AVERAGE(O2:O9)</f>
        <v>7.25</v>
      </c>
      <c r="P16" s="3" t="n">
        <f aca="false">AVERAGE(P2:P9)</f>
        <v>3.625</v>
      </c>
      <c r="Q16" s="3" t="n">
        <f aca="false">AVERAGE(Q2:Q9)</f>
        <v>2.125</v>
      </c>
      <c r="R16" s="3" t="n">
        <f aca="false">AVERAGE(R2:R9)</f>
        <v>0</v>
      </c>
      <c r="S16" s="3" t="n">
        <f aca="false">AVERAGE(S2:S9)</f>
        <v>0</v>
      </c>
      <c r="T16" s="3" t="n">
        <f aca="false">AVERAGE(T2:T9)</f>
        <v>131.25</v>
      </c>
      <c r="U16" s="3" t="n">
        <f aca="false">AVERAGE(U2:U9)</f>
        <v>12.125</v>
      </c>
      <c r="V16" s="4" t="n">
        <f aca="false">AVERAGE(V2:V9)</f>
        <v>0.659375</v>
      </c>
      <c r="W16" s="5" t="n">
        <f aca="false">AVERAGE(W2:W9)</f>
        <v>51.15</v>
      </c>
      <c r="X16" s="5" t="n">
        <f aca="false">AVERAGE(X2:X9)</f>
        <v>21.625</v>
      </c>
      <c r="Y16" s="4" t="n">
        <f aca="false">AVERAGE(Y2:Y9)</f>
        <v>0.00125</v>
      </c>
      <c r="Z16" s="5" t="n">
        <f aca="false">AVERAGE(Z2:Z9)</f>
        <v>17.5</v>
      </c>
      <c r="AA16" s="5" t="n">
        <f aca="false">AVERAGE(AA2:AA9)</f>
        <v>0</v>
      </c>
      <c r="AB16" s="5" t="n">
        <f aca="false">AVERAGE(AB2:AB9)</f>
        <v>39.4375</v>
      </c>
      <c r="AC16" s="5" t="n">
        <f aca="false">AVERAGE(AC2:AC9)</f>
        <v>13.75</v>
      </c>
      <c r="AD16" s="5" t="n">
        <f aca="false">AVERAGE(AD2:AD9)</f>
        <v>31.775</v>
      </c>
      <c r="AE16" s="5" t="n">
        <f aca="false">AVERAGE(AE2:AE9)</f>
        <v>8.125</v>
      </c>
      <c r="AF16" s="5" t="n">
        <f aca="false">AVERAGE(AF2:AF9)</f>
        <v>1.25</v>
      </c>
      <c r="AG16" s="5" t="n">
        <f aca="false">AVERAGE(AG2:AG9)</f>
        <v>-8.75</v>
      </c>
      <c r="AH16" s="5" t="n">
        <f aca="false">AVERAGE(AH2:AH9)</f>
        <v>11.25</v>
      </c>
      <c r="AI16" s="5" t="n">
        <f aca="false">AVERAGE(AI2:AI9)</f>
        <v>12</v>
      </c>
      <c r="AJ16" s="4" t="n">
        <f aca="false">AVERAGE(AJ2:AJ9)</f>
        <v>0.04375</v>
      </c>
      <c r="AK16" s="5" t="n">
        <f aca="false">AVERAGE(AK2:AK9)</f>
        <v>3.325</v>
      </c>
      <c r="AL16" s="5" t="n">
        <f aca="false">AVERAGE(AL2:AL9)</f>
        <v>25.78125</v>
      </c>
      <c r="AM16" s="5" t="n">
        <f aca="false">AVERAGE(AM2:AM9)</f>
        <v>22.4</v>
      </c>
      <c r="AN16" s="5" t="n">
        <f aca="false">AVERAGE(AN2:AN9)</f>
        <v>26.5</v>
      </c>
      <c r="AO16" s="5" t="n">
        <f aca="false">AVERAGE(AO2:AO9)</f>
        <v>3.75</v>
      </c>
      <c r="AP16" s="5" t="n">
        <f aca="false">AVERAGE(AP2:AP9)</f>
        <v>7.25</v>
      </c>
      <c r="AQ16" s="5" t="n">
        <f aca="false">AVERAGE(AQ2:AQ9)</f>
        <v>6.25</v>
      </c>
      <c r="AR16" s="5" t="n">
        <f aca="false">AVERAGE(AR2:AR9)</f>
        <v>0</v>
      </c>
      <c r="AS16" s="5" t="n">
        <f aca="false">AVERAGE(AS2:AS9)</f>
        <v>0</v>
      </c>
      <c r="AT16" s="5" t="n">
        <f aca="false">AVERAGE(AT2:AT9)</f>
        <v>0.625</v>
      </c>
      <c r="AU16" s="5" t="n">
        <f aca="false">AVERAGE(AU2:AU9)</f>
        <v>1.875</v>
      </c>
      <c r="AV16" s="5" t="n">
        <f aca="false">AVERAGE(AV2:AV9)</f>
        <v>0.625</v>
      </c>
      <c r="AW16" s="5" t="n">
        <f aca="false">AVERAGE(AW2:AW9)</f>
        <v>1.25</v>
      </c>
      <c r="AX16" s="5" t="n">
        <f aca="false">AVERAGE(AX2:AX9)</f>
        <v>1.875</v>
      </c>
      <c r="AY16" s="5" t="n">
        <f aca="false">AVERAGE(AY2:AY9)</f>
        <v>6.25</v>
      </c>
      <c r="AZ16" s="5" t="n">
        <f aca="false">AVERAGE(AZ2:AZ9)</f>
        <v>3.125</v>
      </c>
      <c r="BA16" s="5" t="n">
        <f aca="false">AVERAGE(BA2:BA9)</f>
        <v>1.875</v>
      </c>
      <c r="BB16" s="5" t="n">
        <f aca="false">AVERAGE(BB2:BB9)</f>
        <v>1.25</v>
      </c>
      <c r="BC16" s="6" t="n">
        <f aca="false">AVERAGE(BC2:BC9)</f>
        <v>6391.25</v>
      </c>
      <c r="BD16" s="6" t="n">
        <f aca="false">AVERAGE(BD2:BD9)</f>
        <v>4783.49375</v>
      </c>
      <c r="BE16" s="6" t="n">
        <f aca="false">AVERAGE(BE2:BE9)</f>
        <v>11174.74375</v>
      </c>
      <c r="BF16" s="6" t="n">
        <f aca="false">AVERAGE(BF2:BF9)</f>
        <v>8571.528125</v>
      </c>
      <c r="BG16" s="3"/>
      <c r="BH16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E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7" min="1" style="0" width="13"/>
  </cols>
  <sheetData>
    <row r="1" customFormat="false" ht="75" hidden="false" customHeight="true" outlineLevel="0" collapsed="false">
      <c r="A1" s="1" t="s">
        <v>0</v>
      </c>
      <c r="B1" s="1" t="s">
        <v>75</v>
      </c>
      <c r="C1" s="1" t="s">
        <v>1</v>
      </c>
      <c r="D1" s="1" t="s">
        <v>76</v>
      </c>
      <c r="E1" s="1" t="s">
        <v>77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2" t="s">
        <v>21</v>
      </c>
      <c r="Z1" s="2" t="s">
        <v>22</v>
      </c>
      <c r="AA1" s="2" t="s">
        <v>23</v>
      </c>
      <c r="AB1" s="2" t="s">
        <v>24</v>
      </c>
      <c r="AC1" s="2" t="s">
        <v>25</v>
      </c>
      <c r="AD1" s="2" t="s">
        <v>26</v>
      </c>
      <c r="AE1" s="2" t="s">
        <v>27</v>
      </c>
      <c r="AF1" s="2" t="s">
        <v>28</v>
      </c>
      <c r="AG1" s="2" t="s">
        <v>29</v>
      </c>
      <c r="AH1" s="2" t="s">
        <v>30</v>
      </c>
      <c r="AI1" s="2" t="s">
        <v>31</v>
      </c>
      <c r="AJ1" s="2" t="s">
        <v>32</v>
      </c>
      <c r="AK1" s="2" t="s">
        <v>33</v>
      </c>
      <c r="AL1" s="2" t="s">
        <v>34</v>
      </c>
      <c r="AM1" s="2" t="s">
        <v>35</v>
      </c>
      <c r="AN1" s="2" t="s">
        <v>36</v>
      </c>
      <c r="AO1" s="2" t="s">
        <v>37</v>
      </c>
      <c r="AP1" s="2" t="s">
        <v>38</v>
      </c>
      <c r="AQ1" s="2" t="s">
        <v>39</v>
      </c>
      <c r="AR1" s="2" t="s">
        <v>40</v>
      </c>
      <c r="AS1" s="2" t="s">
        <v>41</v>
      </c>
      <c r="AT1" s="2" t="s">
        <v>42</v>
      </c>
      <c r="AU1" s="2" t="s">
        <v>43</v>
      </c>
      <c r="AV1" s="2" t="s">
        <v>44</v>
      </c>
      <c r="AW1" s="2" t="s">
        <v>45</v>
      </c>
      <c r="AX1" s="2" t="s">
        <v>46</v>
      </c>
      <c r="AY1" s="2" t="s">
        <v>47</v>
      </c>
      <c r="AZ1" s="2" t="s">
        <v>48</v>
      </c>
      <c r="BA1" s="2" t="s">
        <v>49</v>
      </c>
      <c r="BB1" s="2" t="s">
        <v>50</v>
      </c>
      <c r="BC1" s="2" t="s">
        <v>51</v>
      </c>
      <c r="BD1" s="2" t="s">
        <v>52</v>
      </c>
      <c r="BE1" s="2" t="s">
        <v>53</v>
      </c>
    </row>
    <row r="2" customFormat="false" ht="15" hidden="false" customHeight="false" outlineLevel="0" collapsed="false">
      <c r="A2" s="3" t="s">
        <v>60</v>
      </c>
      <c r="B2" s="3" t="s">
        <v>78</v>
      </c>
      <c r="C2" s="3" t="n">
        <f aca="false">COUNTIFS('Por foco'!$A$2:$A$579,$A2,'Por foco'!$B$2:$B$579,$B2)</f>
        <v>11</v>
      </c>
      <c r="D2" s="6" t="n">
        <f aca="false">SUMIFS('Por foco'!$F$2:$F$579,'Por foco'!$A$2:$A$579,$A2,'Por foco'!$B$2:$B$579,$B2)</f>
        <v>1688</v>
      </c>
      <c r="E2" s="3" t="n">
        <f aca="false">IF(C2=0,0,SUMIFS('Por foco'!$E$2:$E$579,'Por foco'!$A$2:$A$579,$A2,'Por foco'!$B$2:$B$579,$B2)/C2)</f>
        <v>0.590909090909091</v>
      </c>
      <c r="F2" s="3" t="n">
        <f aca="false">SUMIFS('Por foco'!$H$2:$H$579,'Por foco'!$A$2:$A$579,$A2,'Por foco'!$B$2:$B$579,$B2)</f>
        <v>707</v>
      </c>
      <c r="G2" s="3" t="n">
        <f aca="false">SUMIFS('Por foco'!$I$2:$I$579,'Por foco'!$A$2:$A$579,$A2,'Por foco'!$B$2:$B$579,$B2)</f>
        <v>600</v>
      </c>
      <c r="H2" s="3" t="n">
        <f aca="false">SUMIFS('Por foco'!$J$2:$J$579,'Por foco'!$A$2:$A$579,$A2,'Por foco'!$B$2:$B$579,$B2)</f>
        <v>0</v>
      </c>
      <c r="I2" s="3" t="n">
        <f aca="false">SUMIFS('Por foco'!$K$2:$K$579,'Por foco'!$A$2:$A$579,$A2,'Por foco'!$B$2:$B$579,$B2)</f>
        <v>5</v>
      </c>
      <c r="J2" s="3" t="n">
        <f aca="false">SUMIFS('Por foco'!$L$2:$L$579,'Por foco'!$A$2:$A$579,$A2,'Por foco'!$B$2:$B$579,$B2)</f>
        <v>0</v>
      </c>
      <c r="K2" s="3" t="n">
        <f aca="false">SUMIFS('Por foco'!$M$2:$M$579,'Por foco'!$A$2:$A$579,$A2,'Por foco'!$B$2:$B$579,$B2)</f>
        <v>0</v>
      </c>
      <c r="L2" s="3" t="n">
        <f aca="false">SUMIFS('Por foco'!$N$2:$N$579,'Por foco'!$A$2:$A$579,$A2,'Por foco'!$B$2:$B$579,$B2)</f>
        <v>0</v>
      </c>
      <c r="M2" s="3" t="n">
        <f aca="false">SUMIFS('Por foco'!$O$2:$O$579,'Por foco'!$A$2:$A$579,$A2,'Por foco'!$B$2:$B$579,$B2)</f>
        <v>0</v>
      </c>
      <c r="N2" s="3" t="n">
        <f aca="false">SUMIFS('Por foco'!$P$2:$P$579,'Por foco'!$A$2:$A$579,$A2,'Por foco'!$B$2:$B$579,$B2)</f>
        <v>0</v>
      </c>
      <c r="O2" s="3" t="n">
        <f aca="false">SUMIFS('Por foco'!$Q$2:$Q$579,'Por foco'!$A$2:$A$579,$A2,'Por foco'!$B$2:$B$579,$B2)</f>
        <v>0</v>
      </c>
      <c r="P2" s="3" t="n">
        <f aca="false">SUMIFS('Por foco'!$R$2:$R$579,'Por foco'!$A$2:$A$579,$A2,'Por foco'!$B$2:$B$579,$B2)</f>
        <v>0</v>
      </c>
      <c r="Q2" s="3" t="n">
        <f aca="false">SUMIFS('Por foco'!$S$2:$S$579,'Por foco'!$A$2:$A$579,$A2,'Por foco'!$B$2:$B$579,$B2)</f>
        <v>0</v>
      </c>
      <c r="R2" s="3" t="n">
        <f aca="false">SUMIFS('Por foco'!$T$2:$T$579,'Por foco'!$A$2:$A$579,$A2,'Por foco'!$B$2:$B$579,$B2)</f>
        <v>0</v>
      </c>
      <c r="S2" s="3" t="n">
        <f aca="false">SUMIFS('Por foco'!$U$2:$U$579,'Por foco'!$A$2:$A$579,$A2,'Por foco'!$B$2:$B$579,$B2)</f>
        <v>0</v>
      </c>
      <c r="T2" s="3" t="n">
        <f aca="false">SUMIFS('Por foco'!$V$2:$V$579,'Por foco'!$A$2:$A$579,$A2,'Por foco'!$B$2:$B$579,$B2)</f>
        <v>0</v>
      </c>
      <c r="U2" s="3" t="n">
        <f aca="false">SUMIFS('Por foco'!$W$2:$W$579,'Por foco'!$A$2:$A$579,$A2,'Por foco'!$B$2:$B$579,$B2)</f>
        <v>0</v>
      </c>
      <c r="V2" s="3" t="n">
        <f aca="false">SUMIFS('Por foco'!$X$2:$X$579,'Por foco'!$A$2:$A$579,$A2,'Por foco'!$B$2:$B$579,$B2)</f>
        <v>0</v>
      </c>
      <c r="W2" s="3" t="n">
        <f aca="false">SUMIFS('Por foco'!$Y$2:$Y$579,'Por foco'!$A$2:$A$579,$A2,'Por foco'!$B$2:$B$579,$B2)</f>
        <v>0</v>
      </c>
      <c r="X2" s="3" t="n">
        <f aca="false">SUMIFS('Por foco'!$Z$2:$Z$579,'Por foco'!$A$2:$A$579,$A2,'Por foco'!$B$2:$B$579,$B2)</f>
        <v>2</v>
      </c>
      <c r="Y2" s="3" t="n">
        <f aca="false">SUMIFS('Por foco'!$AA$2:$AA$579,'Por foco'!$A$2:$A$579,$A2,'Por foco'!$B$2:$B$579,$B2)</f>
        <v>0.3</v>
      </c>
      <c r="Z2" s="3" t="n">
        <f aca="false">SUMIFS('Por foco'!$AB$2:$AB$579,'Por foco'!$A$2:$A$579,$A2,'Por foco'!$B$2:$B$579,$B2)</f>
        <v>8.5</v>
      </c>
      <c r="AA2" s="3" t="n">
        <f aca="false">SUMIFS('Por foco'!$AC$2:$AC$579,'Por foco'!$A$2:$A$579,$A2,'Por foco'!$B$2:$B$579,$B2)</f>
        <v>5</v>
      </c>
      <c r="AB2" s="3" t="n">
        <f aca="false">SUMIFS('Por foco'!$AD$2:$AD$579,'Por foco'!$A$2:$A$579,$A2,'Por foco'!$B$2:$B$579,$B2)</f>
        <v>0</v>
      </c>
      <c r="AC2" s="3" t="n">
        <f aca="false">SUMIFS('Por foco'!$AE$2:$AE$579,'Por foco'!$A$2:$A$579,$A2,'Por foco'!$B$2:$B$579,$B2)</f>
        <v>0</v>
      </c>
      <c r="AD2" s="3" t="n">
        <f aca="false">SUMIFS('Por foco'!$AF$2:$AF$579,'Por foco'!$A$2:$A$579,$A2,'Por foco'!$B$2:$B$579,$B2)</f>
        <v>0</v>
      </c>
      <c r="AE2" s="3" t="n">
        <f aca="false">SUMIFS('Por foco'!$AG$2:$AG$579,'Por foco'!$A$2:$A$579,$A2,'Por foco'!$B$2:$B$579,$B2)</f>
        <v>10</v>
      </c>
      <c r="AF2" s="3" t="n">
        <f aca="false">SUMIFS('Por foco'!$AH$2:$AH$579,'Por foco'!$A$2:$A$579,$A2,'Por foco'!$B$2:$B$579,$B2)</f>
        <v>0</v>
      </c>
      <c r="AG2" s="3" t="n">
        <f aca="false">SUMIFS('Por foco'!$AI$2:$AI$579,'Por foco'!$A$2:$A$579,$A2,'Por foco'!$B$2:$B$579,$B2)</f>
        <v>5</v>
      </c>
      <c r="AH2" s="3" t="n">
        <f aca="false">SUMIFS('Por foco'!$AJ$2:$AJ$579,'Por foco'!$A$2:$A$579,$A2,'Por foco'!$B$2:$B$579,$B2)</f>
        <v>0</v>
      </c>
      <c r="AI2" s="3" t="n">
        <f aca="false">SUMIFS('Por foco'!$AK$2:$AK$579,'Por foco'!$A$2:$A$579,$A2,'Por foco'!$B$2:$B$579,$B2)</f>
        <v>0</v>
      </c>
      <c r="AJ2" s="3" t="n">
        <f aca="false">SUMIFS('Por foco'!$AL$2:$AL$579,'Por foco'!$A$2:$A$579,$A2,'Por foco'!$B$2:$B$579,$B2)</f>
        <v>0</v>
      </c>
      <c r="AK2" s="3" t="n">
        <f aca="false">SUMIFS('Por foco'!$AM$2:$AM$579,'Por foco'!$A$2:$A$579,$A2,'Por foco'!$B$2:$B$579,$B2)</f>
        <v>0</v>
      </c>
      <c r="AL2" s="3" t="n">
        <f aca="false">SUMIFS('Por foco'!$AN$2:$AN$579,'Por foco'!$A$2:$A$579,$A2,'Por foco'!$B$2:$B$579,$B2)</f>
        <v>0</v>
      </c>
      <c r="AM2" s="3" t="n">
        <f aca="false">SUMIFS('Por foco'!$AO$2:$AO$579,'Por foco'!$A$2:$A$579,$A2,'Por foco'!$B$2:$B$579,$B2)</f>
        <v>0</v>
      </c>
      <c r="AN2" s="3" t="n">
        <f aca="false">SUMIFS('Por foco'!$AP$2:$AP$579,'Por foco'!$A$2:$A$579,$A2,'Por foco'!$B$2:$B$579,$B2)</f>
        <v>0</v>
      </c>
      <c r="AO2" s="3" t="n">
        <f aca="false">SUMIFS('Por foco'!$AQ$2:$AQ$579,'Por foco'!$A$2:$A$579,$A2,'Por foco'!$B$2:$B$579,$B2)</f>
        <v>0</v>
      </c>
      <c r="AP2" s="3" t="n">
        <f aca="false">SUMIFS('Por foco'!$AR$2:$AR$579,'Por foco'!$A$2:$A$579,$A2,'Por foco'!$B$2:$B$579,$B2)</f>
        <v>22</v>
      </c>
      <c r="AQ2" s="3" t="n">
        <f aca="false">SUMIFS('Por foco'!$AS$2:$AS$579,'Por foco'!$A$2:$A$579,$A2,'Por foco'!$B$2:$B$579,$B2)</f>
        <v>0</v>
      </c>
      <c r="AR2" s="3" t="n">
        <f aca="false">SUMIFS('Por foco'!$AT$2:$AT$579,'Por foco'!$A$2:$A$579,$A2,'Por foco'!$B$2:$B$579,$B2)</f>
        <v>0</v>
      </c>
      <c r="AS2" s="3" t="n">
        <f aca="false">SUMIFS('Por foco'!$AU$2:$AU$579,'Por foco'!$A$2:$A$579,$A2,'Por foco'!$B$2:$B$579,$B2)</f>
        <v>5</v>
      </c>
      <c r="AT2" s="3" t="n">
        <f aca="false">SUMIFS('Por foco'!$AV$2:$AV$579,'Por foco'!$A$2:$A$579,$A2,'Por foco'!$B$2:$B$579,$B2)</f>
        <v>0</v>
      </c>
      <c r="AU2" s="3" t="n">
        <f aca="false">SUMIFS('Por foco'!$AW$2:$AW$579,'Por foco'!$A$2:$A$579,$A2,'Por foco'!$B$2:$B$579,$B2)</f>
        <v>0</v>
      </c>
      <c r="AV2" s="3" t="n">
        <f aca="false">SUMIFS('Por foco'!$AX$2:$AX$579,'Por foco'!$A$2:$A$579,$A2,'Por foco'!$B$2:$B$579,$B2)</f>
        <v>0</v>
      </c>
      <c r="AW2" s="3" t="n">
        <f aca="false">SUMIFS('Por foco'!$AY$2:$AY$579,'Por foco'!$A$2:$A$579,$A2,'Por foco'!$B$2:$B$579,$B2)</f>
        <v>0</v>
      </c>
      <c r="AX2" s="3" t="n">
        <f aca="false">SUMIFS('Por foco'!$AZ$2:$AZ$579,'Por foco'!$A$2:$A$579,$A2,'Por foco'!$B$2:$B$579,$B2)</f>
        <v>0</v>
      </c>
      <c r="AY2" s="3" t="n">
        <f aca="false">SUMIFS('Por foco'!$BA$2:$BA$579,'Por foco'!$A$2:$A$579,$A2,'Por foco'!$B$2:$B$579,$B2)</f>
        <v>0</v>
      </c>
      <c r="AZ2" s="3" t="n">
        <f aca="false">SUMIFS('Por foco'!$BB$2:$BB$579,'Por foco'!$A$2:$A$579,$A2,'Por foco'!$B$2:$B$579,$B2)</f>
        <v>0</v>
      </c>
      <c r="BA2" s="3" t="n">
        <f aca="false">SUMIFS('Por foco'!$BC$2:$BC$579,'Por foco'!$A$2:$A$579,$A2,'Por foco'!$B$2:$B$579,$B2)</f>
        <v>0</v>
      </c>
      <c r="BB2" s="3" t="n">
        <f aca="false">SUMIFS('Por foco'!$BD$2:$BD$579,'Por foco'!$A$2:$A$579,$A2,'Por foco'!$B$2:$B$579,$B2)</f>
        <v>0</v>
      </c>
      <c r="BC2" s="3" t="n">
        <f aca="false">SUMIFS('Por foco'!$BE$2:$BE$579,'Por foco'!$A$2:$A$579,$A2,'Por foco'!$B$2:$B$579,$B2)</f>
        <v>0</v>
      </c>
      <c r="BD2" s="3" t="n">
        <f aca="false">SUMIFS('Por foco'!$BF$2:$BF$579,'Por foco'!$A$2:$A$579,$A2,'Por foco'!$B$2:$B$579,$B2)</f>
        <v>0</v>
      </c>
      <c r="BE2" s="3" t="n">
        <f aca="false">SUMIFS('Por foco'!$BG$2:$BG$579,'Por foco'!$A$2:$A$579,$A2,'Por foco'!$B$2:$B$579,$B2)</f>
        <v>0</v>
      </c>
    </row>
    <row r="3" customFormat="false" ht="15" hidden="false" customHeight="false" outlineLevel="0" collapsed="false">
      <c r="A3" s="3" t="s">
        <v>60</v>
      </c>
      <c r="B3" s="3" t="s">
        <v>79</v>
      </c>
      <c r="C3" s="3" t="n">
        <f aca="false">COUNTIFS('Por foco'!$A$2:$A$579,$A3,'Por foco'!$B$2:$B$579,$B3)</f>
        <v>9</v>
      </c>
      <c r="D3" s="6" t="n">
        <f aca="false">SUMIFS('Por foco'!$F$2:$F$579,'Por foco'!$A$2:$A$579,$A3,'Por foco'!$B$2:$B$579,$B3)</f>
        <v>1480.75</v>
      </c>
      <c r="E3" s="3" t="n">
        <f aca="false">IF(C3=0,0,SUMIFS('Por foco'!$E$2:$E$579,'Por foco'!$A$2:$A$579,$A3,'Por foco'!$B$2:$B$579,$B3)/C3)</f>
        <v>0.5</v>
      </c>
      <c r="F3" s="3" t="n">
        <f aca="false">SUMIFS('Por foco'!$H$2:$H$579,'Por foco'!$A$2:$A$579,$A3,'Por foco'!$B$2:$B$579,$B3)</f>
        <v>539</v>
      </c>
      <c r="G3" s="3" t="n">
        <f aca="false">SUMIFS('Por foco'!$I$2:$I$579,'Por foco'!$A$2:$A$579,$A3,'Por foco'!$B$2:$B$579,$B3)</f>
        <v>0</v>
      </c>
      <c r="H3" s="3" t="n">
        <f aca="false">SUMIFS('Por foco'!$J$2:$J$579,'Por foco'!$A$2:$A$579,$A3,'Por foco'!$B$2:$B$579,$B3)</f>
        <v>0</v>
      </c>
      <c r="I3" s="3" t="n">
        <f aca="false">SUMIFS('Por foco'!$K$2:$K$579,'Por foco'!$A$2:$A$579,$A3,'Por foco'!$B$2:$B$579,$B3)</f>
        <v>10</v>
      </c>
      <c r="J3" s="3" t="n">
        <f aca="false">SUMIFS('Por foco'!$L$2:$L$579,'Por foco'!$A$2:$A$579,$A3,'Por foco'!$B$2:$B$579,$B3)</f>
        <v>30000</v>
      </c>
      <c r="K3" s="3" t="n">
        <f aca="false">SUMIFS('Por foco'!$M$2:$M$579,'Por foco'!$A$2:$A$579,$A3,'Por foco'!$B$2:$B$579,$B3)</f>
        <v>0</v>
      </c>
      <c r="L3" s="3" t="n">
        <f aca="false">SUMIFS('Por foco'!$N$2:$N$579,'Por foco'!$A$2:$A$579,$A3,'Por foco'!$B$2:$B$579,$B3)</f>
        <v>0</v>
      </c>
      <c r="M3" s="3" t="n">
        <f aca="false">SUMIFS('Por foco'!$O$2:$O$579,'Por foco'!$A$2:$A$579,$A3,'Por foco'!$B$2:$B$579,$B3)</f>
        <v>0</v>
      </c>
      <c r="N3" s="3" t="n">
        <f aca="false">SUMIFS('Por foco'!$P$2:$P$579,'Por foco'!$A$2:$A$579,$A3,'Por foco'!$B$2:$B$579,$B3)</f>
        <v>0</v>
      </c>
      <c r="O3" s="3" t="n">
        <f aca="false">SUMIFS('Por foco'!$Q$2:$Q$579,'Por foco'!$A$2:$A$579,$A3,'Por foco'!$B$2:$B$579,$B3)</f>
        <v>2</v>
      </c>
      <c r="P3" s="3" t="n">
        <f aca="false">SUMIFS('Por foco'!$R$2:$R$579,'Por foco'!$A$2:$A$579,$A3,'Por foco'!$B$2:$B$579,$B3)</f>
        <v>0</v>
      </c>
      <c r="Q3" s="3" t="n">
        <f aca="false">SUMIFS('Por foco'!$S$2:$S$579,'Por foco'!$A$2:$A$579,$A3,'Por foco'!$B$2:$B$579,$B3)</f>
        <v>3</v>
      </c>
      <c r="R3" s="3" t="n">
        <f aca="false">SUMIFS('Por foco'!$T$2:$T$579,'Por foco'!$A$2:$A$579,$A3,'Por foco'!$B$2:$B$579,$B3)</f>
        <v>0</v>
      </c>
      <c r="S3" s="3" t="n">
        <f aca="false">SUMIFS('Por foco'!$U$2:$U$579,'Por foco'!$A$2:$A$579,$A3,'Por foco'!$B$2:$B$579,$B3)</f>
        <v>0</v>
      </c>
      <c r="T3" s="3" t="n">
        <f aca="false">SUMIFS('Por foco'!$V$2:$V$579,'Por foco'!$A$2:$A$579,$A3,'Por foco'!$B$2:$B$579,$B3)</f>
        <v>0</v>
      </c>
      <c r="U3" s="3" t="n">
        <f aca="false">SUMIFS('Por foco'!$W$2:$W$579,'Por foco'!$A$2:$A$579,$A3,'Por foco'!$B$2:$B$579,$B3)</f>
        <v>0</v>
      </c>
      <c r="V3" s="3" t="n">
        <f aca="false">SUMIFS('Por foco'!$X$2:$X$579,'Por foco'!$A$2:$A$579,$A3,'Por foco'!$B$2:$B$579,$B3)</f>
        <v>0</v>
      </c>
      <c r="W3" s="3" t="n">
        <f aca="false">SUMIFS('Por foco'!$Y$2:$Y$579,'Por foco'!$A$2:$A$579,$A3,'Por foco'!$B$2:$B$579,$B3)</f>
        <v>0</v>
      </c>
      <c r="X3" s="3" t="n">
        <f aca="false">SUMIFS('Por foco'!$Z$2:$Z$579,'Por foco'!$A$2:$A$579,$A3,'Por foco'!$B$2:$B$579,$B3)</f>
        <v>1</v>
      </c>
      <c r="Y3" s="3" t="n">
        <f aca="false">SUMIFS('Por foco'!$AA$2:$AA$579,'Por foco'!$A$2:$A$579,$A3,'Por foco'!$B$2:$B$579,$B3)</f>
        <v>-0.025</v>
      </c>
      <c r="Z3" s="3" t="n">
        <f aca="false">SUMIFS('Por foco'!$AB$2:$AB$579,'Por foco'!$A$2:$A$579,$A3,'Por foco'!$B$2:$B$579,$B3)</f>
        <v>3.5</v>
      </c>
      <c r="AA3" s="3" t="n">
        <f aca="false">SUMIFS('Por foco'!$AC$2:$AC$579,'Por foco'!$A$2:$A$579,$A3,'Por foco'!$B$2:$B$579,$B3)</f>
        <v>25</v>
      </c>
      <c r="AB3" s="3" t="n">
        <f aca="false">SUMIFS('Por foco'!$AD$2:$AD$579,'Por foco'!$A$2:$A$579,$A3,'Por foco'!$B$2:$B$579,$B3)</f>
        <v>0.01</v>
      </c>
      <c r="AC3" s="3" t="n">
        <f aca="false">SUMIFS('Por foco'!$AE$2:$AE$579,'Por foco'!$A$2:$A$579,$A3,'Por foco'!$B$2:$B$579,$B3)</f>
        <v>0</v>
      </c>
      <c r="AD3" s="3" t="n">
        <f aca="false">SUMIFS('Por foco'!$AF$2:$AF$579,'Por foco'!$A$2:$A$579,$A3,'Por foco'!$B$2:$B$579,$B3)</f>
        <v>0</v>
      </c>
      <c r="AE3" s="3" t="n">
        <f aca="false">SUMIFS('Por foco'!$AG$2:$AG$579,'Por foco'!$A$2:$A$579,$A3,'Por foco'!$B$2:$B$579,$B3)</f>
        <v>-10</v>
      </c>
      <c r="AF3" s="3" t="n">
        <f aca="false">SUMIFS('Por foco'!$AH$2:$AH$579,'Por foco'!$A$2:$A$579,$A3,'Por foco'!$B$2:$B$579,$B3)</f>
        <v>0</v>
      </c>
      <c r="AG3" s="3" t="n">
        <f aca="false">SUMIFS('Por foco'!$AI$2:$AI$579,'Por foco'!$A$2:$A$579,$A3,'Por foco'!$B$2:$B$579,$B3)</f>
        <v>0</v>
      </c>
      <c r="AH3" s="3" t="n">
        <f aca="false">SUMIFS('Por foco'!$AJ$2:$AJ$579,'Por foco'!$A$2:$A$579,$A3,'Por foco'!$B$2:$B$579,$B3)</f>
        <v>5</v>
      </c>
      <c r="AI3" s="3" t="n">
        <f aca="false">SUMIFS('Por foco'!$AK$2:$AK$579,'Por foco'!$A$2:$A$579,$A3,'Por foco'!$B$2:$B$579,$B3)</f>
        <v>0</v>
      </c>
      <c r="AJ3" s="3" t="n">
        <f aca="false">SUMIFS('Por foco'!$AL$2:$AL$579,'Por foco'!$A$2:$A$579,$A3,'Por foco'!$B$2:$B$579,$B3)</f>
        <v>-5</v>
      </c>
      <c r="AK3" s="3" t="n">
        <f aca="false">SUMIFS('Por foco'!$AM$2:$AM$579,'Por foco'!$A$2:$A$579,$A3,'Por foco'!$B$2:$B$579,$B3)</f>
        <v>0</v>
      </c>
      <c r="AL3" s="3" t="n">
        <f aca="false">SUMIFS('Por foco'!$AN$2:$AN$579,'Por foco'!$A$2:$A$579,$A3,'Por foco'!$B$2:$B$579,$B3)</f>
        <v>0</v>
      </c>
      <c r="AM3" s="3" t="n">
        <f aca="false">SUMIFS('Por foco'!$AO$2:$AO$579,'Por foco'!$A$2:$A$579,$A3,'Por foco'!$B$2:$B$579,$B3)</f>
        <v>0</v>
      </c>
      <c r="AN3" s="3" t="n">
        <f aca="false">SUMIFS('Por foco'!$AP$2:$AP$579,'Por foco'!$A$2:$A$579,$A3,'Por foco'!$B$2:$B$579,$B3)</f>
        <v>0</v>
      </c>
      <c r="AO3" s="3" t="n">
        <f aca="false">SUMIFS('Por foco'!$AQ$2:$AQ$579,'Por foco'!$A$2:$A$579,$A3,'Por foco'!$B$2:$B$579,$B3)</f>
        <v>30</v>
      </c>
      <c r="AP3" s="3" t="n">
        <f aca="false">SUMIFS('Por foco'!$AR$2:$AR$579,'Por foco'!$A$2:$A$579,$A3,'Por foco'!$B$2:$B$579,$B3)</f>
        <v>32</v>
      </c>
      <c r="AQ3" s="3" t="n">
        <f aca="false">SUMIFS('Por foco'!$AS$2:$AS$579,'Por foco'!$A$2:$A$579,$A3,'Por foco'!$B$2:$B$579,$B3)</f>
        <v>5</v>
      </c>
      <c r="AR3" s="3" t="n">
        <f aca="false">SUMIFS('Por foco'!$AT$2:$AT$579,'Por foco'!$A$2:$A$579,$A3,'Por foco'!$B$2:$B$579,$B3)</f>
        <v>0</v>
      </c>
      <c r="AS3" s="3" t="n">
        <f aca="false">SUMIFS('Por foco'!$AU$2:$AU$579,'Por foco'!$A$2:$A$579,$A3,'Por foco'!$B$2:$B$579,$B3)</f>
        <v>5</v>
      </c>
      <c r="AT3" s="3" t="n">
        <f aca="false">SUMIFS('Por foco'!$AV$2:$AV$579,'Por foco'!$A$2:$A$579,$A3,'Por foco'!$B$2:$B$579,$B3)</f>
        <v>10</v>
      </c>
      <c r="AU3" s="3" t="n">
        <f aca="false">SUMIFS('Por foco'!$AW$2:$AW$579,'Por foco'!$A$2:$A$579,$A3,'Por foco'!$B$2:$B$579,$B3)</f>
        <v>0</v>
      </c>
      <c r="AV3" s="3" t="n">
        <f aca="false">SUMIFS('Por foco'!$AX$2:$AX$579,'Por foco'!$A$2:$A$579,$A3,'Por foco'!$B$2:$B$579,$B3)</f>
        <v>0</v>
      </c>
      <c r="AW3" s="3" t="n">
        <f aca="false">SUMIFS('Por foco'!$AY$2:$AY$579,'Por foco'!$A$2:$A$579,$A3,'Por foco'!$B$2:$B$579,$B3)</f>
        <v>0</v>
      </c>
      <c r="AX3" s="3" t="n">
        <f aca="false">SUMIFS('Por foco'!$AZ$2:$AZ$579,'Por foco'!$A$2:$A$579,$A3,'Por foco'!$B$2:$B$579,$B3)</f>
        <v>0</v>
      </c>
      <c r="AY3" s="3" t="n">
        <f aca="false">SUMIFS('Por foco'!$BA$2:$BA$579,'Por foco'!$A$2:$A$579,$A3,'Por foco'!$B$2:$B$579,$B3)</f>
        <v>0</v>
      </c>
      <c r="AZ3" s="3" t="n">
        <f aca="false">SUMIFS('Por foco'!$BB$2:$BB$579,'Por foco'!$A$2:$A$579,$A3,'Por foco'!$B$2:$B$579,$B3)</f>
        <v>0</v>
      </c>
      <c r="BA3" s="3" t="n">
        <f aca="false">SUMIFS('Por foco'!$BC$2:$BC$579,'Por foco'!$A$2:$A$579,$A3,'Por foco'!$B$2:$B$579,$B3)</f>
        <v>0</v>
      </c>
      <c r="BB3" s="3" t="n">
        <f aca="false">SUMIFS('Por foco'!$BD$2:$BD$579,'Por foco'!$A$2:$A$579,$A3,'Por foco'!$B$2:$B$579,$B3)</f>
        <v>0</v>
      </c>
      <c r="BC3" s="3" t="n">
        <f aca="false">SUMIFS('Por foco'!$BE$2:$BE$579,'Por foco'!$A$2:$A$579,$A3,'Por foco'!$B$2:$B$579,$B3)</f>
        <v>0</v>
      </c>
      <c r="BD3" s="3" t="n">
        <f aca="false">SUMIFS('Por foco'!$BF$2:$BF$579,'Por foco'!$A$2:$A$579,$A3,'Por foco'!$B$2:$B$579,$B3)</f>
        <v>0</v>
      </c>
      <c r="BE3" s="3" t="n">
        <f aca="false">SUMIFS('Por foco'!$BG$2:$BG$579,'Por foco'!$A$2:$A$579,$A3,'Por foco'!$B$2:$B$579,$B3)</f>
        <v>0</v>
      </c>
    </row>
    <row r="4" customFormat="false" ht="15" hidden="false" customHeight="false" outlineLevel="0" collapsed="false">
      <c r="A4" s="3" t="s">
        <v>60</v>
      </c>
      <c r="B4" s="3" t="s">
        <v>80</v>
      </c>
      <c r="C4" s="3" t="n">
        <f aca="false">COUNTIFS('Por foco'!$A$2:$A$579,$A4,'Por foco'!$B$2:$B$579,$B4)</f>
        <v>4</v>
      </c>
      <c r="D4" s="6" t="n">
        <f aca="false">SUMIFS('Por foco'!$F$2:$F$579,'Por foco'!$A$2:$A$579,$A4,'Por foco'!$B$2:$B$579,$B4)</f>
        <v>644.5</v>
      </c>
      <c r="E4" s="3" t="n">
        <f aca="false">IF(C4=0,0,SUMIFS('Por foco'!$E$2:$E$579,'Por foco'!$A$2:$A$579,$A4,'Por foco'!$B$2:$B$579,$B4)/C4)</f>
        <v>1</v>
      </c>
      <c r="F4" s="3" t="n">
        <f aca="false">SUMIFS('Por foco'!$H$2:$H$579,'Por foco'!$A$2:$A$579,$A4,'Por foco'!$B$2:$B$579,$B4)</f>
        <v>315</v>
      </c>
      <c r="G4" s="3" t="n">
        <f aca="false">SUMIFS('Por foco'!$I$2:$I$579,'Por foco'!$A$2:$A$579,$A4,'Por foco'!$B$2:$B$579,$B4)</f>
        <v>170</v>
      </c>
      <c r="H4" s="3" t="n">
        <f aca="false">SUMIFS('Por foco'!$J$2:$J$579,'Por foco'!$A$2:$A$579,$A4,'Por foco'!$B$2:$B$579,$B4)</f>
        <v>5</v>
      </c>
      <c r="I4" s="3" t="n">
        <f aca="false">SUMIFS('Por foco'!$K$2:$K$579,'Por foco'!$A$2:$A$579,$A4,'Por foco'!$B$2:$B$579,$B4)</f>
        <v>5</v>
      </c>
      <c r="J4" s="3" t="n">
        <f aca="false">SUMIFS('Por foco'!$L$2:$L$579,'Por foco'!$A$2:$A$579,$A4,'Por foco'!$B$2:$B$579,$B4)</f>
        <v>0</v>
      </c>
      <c r="K4" s="3" t="n">
        <f aca="false">SUMIFS('Por foco'!$M$2:$M$579,'Por foco'!$A$2:$A$579,$A4,'Por foco'!$B$2:$B$579,$B4)</f>
        <v>25</v>
      </c>
      <c r="L4" s="3" t="n">
        <f aca="false">SUMIFS('Por foco'!$N$2:$N$579,'Por foco'!$A$2:$A$579,$A4,'Por foco'!$B$2:$B$579,$B4)</f>
        <v>0</v>
      </c>
      <c r="M4" s="3" t="n">
        <f aca="false">SUMIFS('Por foco'!$O$2:$O$579,'Por foco'!$A$2:$A$579,$A4,'Por foco'!$B$2:$B$579,$B4)</f>
        <v>0</v>
      </c>
      <c r="N4" s="3" t="n">
        <f aca="false">SUMIFS('Por foco'!$P$2:$P$579,'Por foco'!$A$2:$A$579,$A4,'Por foco'!$B$2:$B$579,$B4)</f>
        <v>0</v>
      </c>
      <c r="O4" s="3" t="n">
        <f aca="false">SUMIFS('Por foco'!$Q$2:$Q$579,'Por foco'!$A$2:$A$579,$A4,'Por foco'!$B$2:$B$579,$B4)</f>
        <v>0</v>
      </c>
      <c r="P4" s="3" t="n">
        <f aca="false">SUMIFS('Por foco'!$R$2:$R$579,'Por foco'!$A$2:$A$579,$A4,'Por foco'!$B$2:$B$579,$B4)</f>
        <v>0</v>
      </c>
      <c r="Q4" s="3" t="n">
        <f aca="false">SUMIFS('Por foco'!$S$2:$S$579,'Por foco'!$A$2:$A$579,$A4,'Por foco'!$B$2:$B$579,$B4)</f>
        <v>0</v>
      </c>
      <c r="R4" s="3" t="n">
        <f aca="false">SUMIFS('Por foco'!$T$2:$T$579,'Por foco'!$A$2:$A$579,$A4,'Por foco'!$B$2:$B$579,$B4)</f>
        <v>0</v>
      </c>
      <c r="S4" s="3" t="n">
        <f aca="false">SUMIFS('Por foco'!$U$2:$U$579,'Por foco'!$A$2:$A$579,$A4,'Por foco'!$B$2:$B$579,$B4)</f>
        <v>0</v>
      </c>
      <c r="T4" s="3" t="n">
        <f aca="false">SUMIFS('Por foco'!$V$2:$V$579,'Por foco'!$A$2:$A$579,$A4,'Por foco'!$B$2:$B$579,$B4)</f>
        <v>0</v>
      </c>
      <c r="U4" s="3" t="n">
        <f aca="false">SUMIFS('Por foco'!$W$2:$W$579,'Por foco'!$A$2:$A$579,$A4,'Por foco'!$B$2:$B$579,$B4)</f>
        <v>0</v>
      </c>
      <c r="V4" s="3" t="n">
        <f aca="false">SUMIFS('Por foco'!$X$2:$X$579,'Por foco'!$A$2:$A$579,$A4,'Por foco'!$B$2:$B$579,$B4)</f>
        <v>0</v>
      </c>
      <c r="W4" s="3" t="n">
        <f aca="false">SUMIFS('Por foco'!$Y$2:$Y$579,'Por foco'!$A$2:$A$579,$A4,'Por foco'!$B$2:$B$579,$B4)</f>
        <v>0</v>
      </c>
      <c r="X4" s="3" t="n">
        <f aca="false">SUMIFS('Por foco'!$Z$2:$Z$579,'Por foco'!$A$2:$A$579,$A4,'Por foco'!$B$2:$B$579,$B4)</f>
        <v>8</v>
      </c>
      <c r="Y4" s="3" t="n">
        <f aca="false">SUMIFS('Por foco'!$AA$2:$AA$579,'Por foco'!$A$2:$A$579,$A4,'Por foco'!$B$2:$B$579,$B4)</f>
        <v>0.15</v>
      </c>
      <c r="Z4" s="3" t="n">
        <f aca="false">SUMIFS('Por foco'!$AB$2:$AB$579,'Por foco'!$A$2:$A$579,$A4,'Por foco'!$B$2:$B$579,$B4)</f>
        <v>5</v>
      </c>
      <c r="AA4" s="3" t="n">
        <f aca="false">SUMIFS('Por foco'!$AC$2:$AC$579,'Por foco'!$A$2:$A$579,$A4,'Por foco'!$B$2:$B$579,$B4)</f>
        <v>5</v>
      </c>
      <c r="AB4" s="3" t="n">
        <f aca="false">SUMIFS('Por foco'!$AD$2:$AD$579,'Por foco'!$A$2:$A$579,$A4,'Por foco'!$B$2:$B$579,$B4)</f>
        <v>0</v>
      </c>
      <c r="AC4" s="3" t="n">
        <f aca="false">SUMIFS('Por foco'!$AE$2:$AE$579,'Por foco'!$A$2:$A$579,$A4,'Por foco'!$B$2:$B$579,$B4)</f>
        <v>0</v>
      </c>
      <c r="AD4" s="3" t="n">
        <f aca="false">SUMIFS('Por foco'!$AF$2:$AF$579,'Por foco'!$A$2:$A$579,$A4,'Por foco'!$B$2:$B$579,$B4)</f>
        <v>0</v>
      </c>
      <c r="AE4" s="3" t="n">
        <f aca="false">SUMIFS('Por foco'!$AG$2:$AG$579,'Por foco'!$A$2:$A$579,$A4,'Por foco'!$B$2:$B$579,$B4)</f>
        <v>0</v>
      </c>
      <c r="AF4" s="3" t="n">
        <f aca="false">SUMIFS('Por foco'!$AH$2:$AH$579,'Por foco'!$A$2:$A$579,$A4,'Por foco'!$B$2:$B$579,$B4)</f>
        <v>0</v>
      </c>
      <c r="AG4" s="3" t="n">
        <f aca="false">SUMIFS('Por foco'!$AI$2:$AI$579,'Por foco'!$A$2:$A$579,$A4,'Por foco'!$B$2:$B$579,$B4)</f>
        <v>0</v>
      </c>
      <c r="AH4" s="3" t="n">
        <f aca="false">SUMIFS('Por foco'!$AJ$2:$AJ$579,'Por foco'!$A$2:$A$579,$A4,'Por foco'!$B$2:$B$579,$B4)</f>
        <v>0</v>
      </c>
      <c r="AI4" s="3" t="n">
        <f aca="false">SUMIFS('Por foco'!$AK$2:$AK$579,'Por foco'!$A$2:$A$579,$A4,'Por foco'!$B$2:$B$579,$B4)</f>
        <v>0</v>
      </c>
      <c r="AJ4" s="3" t="n">
        <f aca="false">SUMIFS('Por foco'!$AL$2:$AL$579,'Por foco'!$A$2:$A$579,$A4,'Por foco'!$B$2:$B$579,$B4)</f>
        <v>0</v>
      </c>
      <c r="AK4" s="3" t="n">
        <f aca="false">SUMIFS('Por foco'!$AM$2:$AM$579,'Por foco'!$A$2:$A$579,$A4,'Por foco'!$B$2:$B$579,$B4)</f>
        <v>0</v>
      </c>
      <c r="AL4" s="3" t="n">
        <f aca="false">SUMIFS('Por foco'!$AN$2:$AN$579,'Por foco'!$A$2:$A$579,$A4,'Por foco'!$B$2:$B$579,$B4)</f>
        <v>0</v>
      </c>
      <c r="AM4" s="3" t="n">
        <f aca="false">SUMIFS('Por foco'!$AO$2:$AO$579,'Por foco'!$A$2:$A$579,$A4,'Por foco'!$B$2:$B$579,$B4)</f>
        <v>0</v>
      </c>
      <c r="AN4" s="3" t="n">
        <f aca="false">SUMIFS('Por foco'!$AP$2:$AP$579,'Por foco'!$A$2:$A$579,$A4,'Por foco'!$B$2:$B$579,$B4)</f>
        <v>0</v>
      </c>
      <c r="AO4" s="3" t="n">
        <f aca="false">SUMIFS('Por foco'!$AQ$2:$AQ$579,'Por foco'!$A$2:$A$579,$A4,'Por foco'!$B$2:$B$579,$B4)</f>
        <v>0</v>
      </c>
      <c r="AP4" s="3" t="n">
        <f aca="false">SUMIFS('Por foco'!$AR$2:$AR$579,'Por foco'!$A$2:$A$579,$A4,'Por foco'!$B$2:$B$579,$B4)</f>
        <v>0</v>
      </c>
      <c r="AQ4" s="3" t="n">
        <f aca="false">SUMIFS('Por foco'!$AS$2:$AS$579,'Por foco'!$A$2:$A$579,$A4,'Por foco'!$B$2:$B$579,$B4)</f>
        <v>0</v>
      </c>
      <c r="AR4" s="3" t="n">
        <f aca="false">SUMIFS('Por foco'!$AT$2:$AT$579,'Por foco'!$A$2:$A$579,$A4,'Por foco'!$B$2:$B$579,$B4)</f>
        <v>0</v>
      </c>
      <c r="AS4" s="3" t="n">
        <f aca="false">SUMIFS('Por foco'!$AU$2:$AU$579,'Por foco'!$A$2:$A$579,$A4,'Por foco'!$B$2:$B$579,$B4)</f>
        <v>0</v>
      </c>
      <c r="AT4" s="3" t="n">
        <f aca="false">SUMIFS('Por foco'!$AV$2:$AV$579,'Por foco'!$A$2:$A$579,$A4,'Por foco'!$B$2:$B$579,$B4)</f>
        <v>0</v>
      </c>
      <c r="AU4" s="3" t="n">
        <f aca="false">SUMIFS('Por foco'!$AW$2:$AW$579,'Por foco'!$A$2:$A$579,$A4,'Por foco'!$B$2:$B$579,$B4)</f>
        <v>0</v>
      </c>
      <c r="AV4" s="3" t="n">
        <f aca="false">SUMIFS('Por foco'!$AX$2:$AX$579,'Por foco'!$A$2:$A$579,$A4,'Por foco'!$B$2:$B$579,$B4)</f>
        <v>0</v>
      </c>
      <c r="AW4" s="3" t="n">
        <f aca="false">SUMIFS('Por foco'!$AY$2:$AY$579,'Por foco'!$A$2:$A$579,$A4,'Por foco'!$B$2:$B$579,$B4)</f>
        <v>0</v>
      </c>
      <c r="AX4" s="3" t="n">
        <f aca="false">SUMIFS('Por foco'!$AZ$2:$AZ$579,'Por foco'!$A$2:$A$579,$A4,'Por foco'!$B$2:$B$579,$B4)</f>
        <v>0</v>
      </c>
      <c r="AY4" s="3" t="n">
        <f aca="false">SUMIFS('Por foco'!$BA$2:$BA$579,'Por foco'!$A$2:$A$579,$A4,'Por foco'!$B$2:$B$579,$B4)</f>
        <v>0</v>
      </c>
      <c r="AZ4" s="3" t="n">
        <f aca="false">SUMIFS('Por foco'!$BB$2:$BB$579,'Por foco'!$A$2:$A$579,$A4,'Por foco'!$B$2:$B$579,$B4)</f>
        <v>0</v>
      </c>
      <c r="BA4" s="3" t="n">
        <f aca="false">SUMIFS('Por foco'!$BC$2:$BC$579,'Por foco'!$A$2:$A$579,$A4,'Por foco'!$B$2:$B$579,$B4)</f>
        <v>0</v>
      </c>
      <c r="BB4" s="3" t="n">
        <f aca="false">SUMIFS('Por foco'!$BD$2:$BD$579,'Por foco'!$A$2:$A$579,$A4,'Por foco'!$B$2:$B$579,$B4)</f>
        <v>0</v>
      </c>
      <c r="BC4" s="3" t="n">
        <f aca="false">SUMIFS('Por foco'!$BE$2:$BE$579,'Por foco'!$A$2:$A$579,$A4,'Por foco'!$B$2:$B$579,$B4)</f>
        <v>0</v>
      </c>
      <c r="BD4" s="3" t="n">
        <f aca="false">SUMIFS('Por foco'!$BF$2:$BF$579,'Por foco'!$A$2:$A$579,$A4,'Por foco'!$B$2:$B$579,$B4)</f>
        <v>0</v>
      </c>
      <c r="BE4" s="3" t="n">
        <f aca="false">SUMIFS('Por foco'!$BG$2:$BG$579,'Por foco'!$A$2:$A$579,$A4,'Por foco'!$B$2:$B$579,$B4)</f>
        <v>0</v>
      </c>
    </row>
    <row r="5" customFormat="false" ht="15" hidden="false" customHeight="false" outlineLevel="0" collapsed="false">
      <c r="A5" s="3" t="s">
        <v>60</v>
      </c>
      <c r="B5" s="3" t="s">
        <v>81</v>
      </c>
      <c r="C5" s="3" t="n">
        <f aca="false">COUNTIFS('Por foco'!$A$2:$A$579,$A5,'Por foco'!$B$2:$B$579,$B5)</f>
        <v>8</v>
      </c>
      <c r="D5" s="6" t="n">
        <f aca="false">SUMIFS('Por foco'!$F$2:$F$579,'Por foco'!$A$2:$A$579,$A5,'Por foco'!$B$2:$B$579,$B5)</f>
        <v>1832.6</v>
      </c>
      <c r="E5" s="3" t="n">
        <f aca="false">IF(C5=0,0,SUMIFS('Por foco'!$E$2:$E$579,'Por foco'!$A$2:$A$579,$A5,'Por foco'!$B$2:$B$579,$B5)/C5)</f>
        <v>0.5625</v>
      </c>
      <c r="F5" s="3" t="n">
        <f aca="false">SUMIFS('Por foco'!$H$2:$H$579,'Por foco'!$A$2:$A$579,$A5,'Por foco'!$B$2:$B$579,$B5)</f>
        <v>532</v>
      </c>
      <c r="G5" s="3" t="n">
        <f aca="false">SUMIFS('Por foco'!$I$2:$I$579,'Por foco'!$A$2:$A$579,$A5,'Por foco'!$B$2:$B$579,$B5)</f>
        <v>250</v>
      </c>
      <c r="H5" s="3" t="n">
        <f aca="false">SUMIFS('Por foco'!$J$2:$J$579,'Por foco'!$A$2:$A$579,$A5,'Por foco'!$B$2:$B$579,$B5)</f>
        <v>-5</v>
      </c>
      <c r="I5" s="3" t="n">
        <f aca="false">SUMIFS('Por foco'!$K$2:$K$579,'Por foco'!$A$2:$A$579,$A5,'Por foco'!$B$2:$B$579,$B5)</f>
        <v>0</v>
      </c>
      <c r="J5" s="3" t="n">
        <f aca="false">SUMIFS('Por foco'!$L$2:$L$579,'Por foco'!$A$2:$A$579,$A5,'Por foco'!$B$2:$B$579,$B5)</f>
        <v>0</v>
      </c>
      <c r="K5" s="3" t="n">
        <f aca="false">SUMIFS('Por foco'!$M$2:$M$579,'Por foco'!$A$2:$A$579,$A5,'Por foco'!$B$2:$B$579,$B5)</f>
        <v>0</v>
      </c>
      <c r="L5" s="3" t="n">
        <f aca="false">SUMIFS('Por foco'!$N$2:$N$579,'Por foco'!$A$2:$A$579,$A5,'Por foco'!$B$2:$B$579,$B5)</f>
        <v>0</v>
      </c>
      <c r="M5" s="3" t="n">
        <f aca="false">SUMIFS('Por foco'!$O$2:$O$579,'Por foco'!$A$2:$A$579,$A5,'Por foco'!$B$2:$B$579,$B5)</f>
        <v>0</v>
      </c>
      <c r="N5" s="3" t="n">
        <f aca="false">SUMIFS('Por foco'!$P$2:$P$579,'Por foco'!$A$2:$A$579,$A5,'Por foco'!$B$2:$B$579,$B5)</f>
        <v>0</v>
      </c>
      <c r="O5" s="3" t="n">
        <f aca="false">SUMIFS('Por foco'!$Q$2:$Q$579,'Por foco'!$A$2:$A$579,$A5,'Por foco'!$B$2:$B$579,$B5)</f>
        <v>2</v>
      </c>
      <c r="P5" s="3" t="n">
        <f aca="false">SUMIFS('Por foco'!$R$2:$R$579,'Por foco'!$A$2:$A$579,$A5,'Por foco'!$B$2:$B$579,$B5)</f>
        <v>5</v>
      </c>
      <c r="Q5" s="3" t="n">
        <f aca="false">SUMIFS('Por foco'!$S$2:$S$579,'Por foco'!$A$2:$A$579,$A5,'Por foco'!$B$2:$B$579,$B5)</f>
        <v>2</v>
      </c>
      <c r="R5" s="3" t="n">
        <f aca="false">SUMIFS('Por foco'!$T$2:$T$579,'Por foco'!$A$2:$A$579,$A5,'Por foco'!$B$2:$B$579,$B5)</f>
        <v>0</v>
      </c>
      <c r="S5" s="3" t="n">
        <f aca="false">SUMIFS('Por foco'!$U$2:$U$579,'Por foco'!$A$2:$A$579,$A5,'Por foco'!$B$2:$B$579,$B5)</f>
        <v>0</v>
      </c>
      <c r="T5" s="3" t="n">
        <f aca="false">SUMIFS('Por foco'!$V$2:$V$579,'Por foco'!$A$2:$A$579,$A5,'Por foco'!$B$2:$B$579,$B5)</f>
        <v>0</v>
      </c>
      <c r="U5" s="3" t="n">
        <f aca="false">SUMIFS('Por foco'!$W$2:$W$579,'Por foco'!$A$2:$A$579,$A5,'Por foco'!$B$2:$B$579,$B5)</f>
        <v>0</v>
      </c>
      <c r="V5" s="3" t="n">
        <f aca="false">SUMIFS('Por foco'!$X$2:$X$579,'Por foco'!$A$2:$A$579,$A5,'Por foco'!$B$2:$B$579,$B5)</f>
        <v>0</v>
      </c>
      <c r="W5" s="3" t="n">
        <f aca="false">SUMIFS('Por foco'!$Y$2:$Y$579,'Por foco'!$A$2:$A$579,$A5,'Por foco'!$B$2:$B$579,$B5)</f>
        <v>0</v>
      </c>
      <c r="X5" s="3" t="n">
        <f aca="false">SUMIFS('Por foco'!$Z$2:$Z$579,'Por foco'!$A$2:$A$579,$A5,'Por foco'!$B$2:$B$579,$B5)</f>
        <v>0</v>
      </c>
      <c r="Y5" s="3" t="n">
        <f aca="false">SUMIFS('Por foco'!$AA$2:$AA$579,'Por foco'!$A$2:$A$579,$A5,'Por foco'!$B$2:$B$579,$B5)</f>
        <v>0</v>
      </c>
      <c r="Z5" s="3" t="n">
        <f aca="false">SUMIFS('Por foco'!$AB$2:$AB$579,'Por foco'!$A$2:$A$579,$A5,'Por foco'!$B$2:$B$579,$B5)</f>
        <v>2.9</v>
      </c>
      <c r="AA5" s="3" t="n">
        <f aca="false">SUMIFS('Por foco'!$AC$2:$AC$579,'Por foco'!$A$2:$A$579,$A5,'Por foco'!$B$2:$B$579,$B5)</f>
        <v>0</v>
      </c>
      <c r="AB5" s="3" t="n">
        <f aca="false">SUMIFS('Por foco'!$AD$2:$AD$579,'Por foco'!$A$2:$A$579,$A5,'Por foco'!$B$2:$B$579,$B5)</f>
        <v>0</v>
      </c>
      <c r="AC5" s="3" t="n">
        <f aca="false">SUMIFS('Por foco'!$AE$2:$AE$579,'Por foco'!$A$2:$A$579,$A5,'Por foco'!$B$2:$B$579,$B5)</f>
        <v>-50</v>
      </c>
      <c r="AD5" s="3" t="n">
        <f aca="false">SUMIFS('Por foco'!$AF$2:$AF$579,'Por foco'!$A$2:$A$579,$A5,'Por foco'!$B$2:$B$579,$B5)</f>
        <v>0</v>
      </c>
      <c r="AE5" s="3" t="n">
        <f aca="false">SUMIFS('Por foco'!$AG$2:$AG$579,'Por foco'!$A$2:$A$579,$A5,'Por foco'!$B$2:$B$579,$B5)</f>
        <v>15</v>
      </c>
      <c r="AF5" s="3" t="n">
        <f aca="false">SUMIFS('Por foco'!$AH$2:$AH$579,'Por foco'!$A$2:$A$579,$A5,'Por foco'!$B$2:$B$579,$B5)</f>
        <v>0</v>
      </c>
      <c r="AG5" s="3" t="n">
        <f aca="false">SUMIFS('Por foco'!$AI$2:$AI$579,'Por foco'!$A$2:$A$579,$A5,'Por foco'!$B$2:$B$579,$B5)</f>
        <v>10</v>
      </c>
      <c r="AH5" s="3" t="n">
        <f aca="false">SUMIFS('Por foco'!$AJ$2:$AJ$579,'Por foco'!$A$2:$A$579,$A5,'Por foco'!$B$2:$B$579,$B5)</f>
        <v>0</v>
      </c>
      <c r="AI5" s="3" t="n">
        <f aca="false">SUMIFS('Por foco'!$AK$2:$AK$579,'Por foco'!$A$2:$A$579,$A5,'Por foco'!$B$2:$B$579,$B5)</f>
        <v>0</v>
      </c>
      <c r="AJ5" s="3" t="n">
        <f aca="false">SUMIFS('Por foco'!$AL$2:$AL$579,'Por foco'!$A$2:$A$579,$A5,'Por foco'!$B$2:$B$579,$B5)</f>
        <v>-5</v>
      </c>
      <c r="AK5" s="3" t="n">
        <f aca="false">SUMIFS('Por foco'!$AM$2:$AM$579,'Por foco'!$A$2:$A$579,$A5,'Por foco'!$B$2:$B$579,$B5)</f>
        <v>20</v>
      </c>
      <c r="AL5" s="3" t="n">
        <f aca="false">SUMIFS('Por foco'!$AN$2:$AN$579,'Por foco'!$A$2:$A$579,$A5,'Por foco'!$B$2:$B$579,$B5)</f>
        <v>-5</v>
      </c>
      <c r="AM5" s="3" t="n">
        <f aca="false">SUMIFS('Por foco'!$AO$2:$AO$579,'Por foco'!$A$2:$A$579,$A5,'Por foco'!$B$2:$B$579,$B5)</f>
        <v>0</v>
      </c>
      <c r="AN5" s="3" t="n">
        <f aca="false">SUMIFS('Por foco'!$AP$2:$AP$579,'Por foco'!$A$2:$A$579,$A5,'Por foco'!$B$2:$B$579,$B5)</f>
        <v>0</v>
      </c>
      <c r="AO5" s="3" t="n">
        <f aca="false">SUMIFS('Por foco'!$AQ$2:$AQ$579,'Por foco'!$A$2:$A$579,$A5,'Por foco'!$B$2:$B$579,$B5)</f>
        <v>0</v>
      </c>
      <c r="AP5" s="3" t="n">
        <f aca="false">SUMIFS('Por foco'!$AR$2:$AR$579,'Por foco'!$A$2:$A$579,$A5,'Por foco'!$B$2:$B$579,$B5)</f>
        <v>2.8</v>
      </c>
      <c r="AQ5" s="3" t="n">
        <f aca="false">SUMIFS('Por foco'!$AS$2:$AS$579,'Por foco'!$A$2:$A$579,$A5,'Por foco'!$B$2:$B$579,$B5)</f>
        <v>0</v>
      </c>
      <c r="AR5" s="3" t="n">
        <f aca="false">SUMIFS('Por foco'!$AT$2:$AT$579,'Por foco'!$A$2:$A$579,$A5,'Por foco'!$B$2:$B$579,$B5)</f>
        <v>0</v>
      </c>
      <c r="AS5" s="3" t="n">
        <f aca="false">SUMIFS('Por foco'!$AU$2:$AU$579,'Por foco'!$A$2:$A$579,$A5,'Por foco'!$B$2:$B$579,$B5)</f>
        <v>7</v>
      </c>
      <c r="AT5" s="3" t="n">
        <f aca="false">SUMIFS('Por foco'!$AV$2:$AV$579,'Por foco'!$A$2:$A$579,$A5,'Por foco'!$B$2:$B$579,$B5)</f>
        <v>0</v>
      </c>
      <c r="AU5" s="3" t="n">
        <f aca="false">SUMIFS('Por foco'!$AW$2:$AW$579,'Por foco'!$A$2:$A$579,$A5,'Por foco'!$B$2:$B$579,$B5)</f>
        <v>0</v>
      </c>
      <c r="AV5" s="3" t="n">
        <f aca="false">SUMIFS('Por foco'!$AX$2:$AX$579,'Por foco'!$A$2:$A$579,$A5,'Por foco'!$B$2:$B$579,$B5)</f>
        <v>0</v>
      </c>
      <c r="AW5" s="3" t="n">
        <f aca="false">SUMIFS('Por foco'!$AY$2:$AY$579,'Por foco'!$A$2:$A$579,$A5,'Por foco'!$B$2:$B$579,$B5)</f>
        <v>0</v>
      </c>
      <c r="AX5" s="3" t="n">
        <f aca="false">SUMIFS('Por foco'!$AZ$2:$AZ$579,'Por foco'!$A$2:$A$579,$A5,'Por foco'!$B$2:$B$579,$B5)</f>
        <v>0</v>
      </c>
      <c r="AY5" s="3" t="n">
        <f aca="false">SUMIFS('Por foco'!$BA$2:$BA$579,'Por foco'!$A$2:$A$579,$A5,'Por foco'!$B$2:$B$579,$B5)</f>
        <v>0</v>
      </c>
      <c r="AZ5" s="3" t="n">
        <f aca="false">SUMIFS('Por foco'!$BB$2:$BB$579,'Por foco'!$A$2:$A$579,$A5,'Por foco'!$B$2:$B$579,$B5)</f>
        <v>0</v>
      </c>
      <c r="BA5" s="3" t="n">
        <f aca="false">SUMIFS('Por foco'!$BC$2:$BC$579,'Por foco'!$A$2:$A$579,$A5,'Por foco'!$B$2:$B$579,$B5)</f>
        <v>0</v>
      </c>
      <c r="BB5" s="3" t="n">
        <f aca="false">SUMIFS('Por foco'!$BD$2:$BD$579,'Por foco'!$A$2:$A$579,$A5,'Por foco'!$B$2:$B$579,$B5)</f>
        <v>0</v>
      </c>
      <c r="BC5" s="3" t="n">
        <f aca="false">SUMIFS('Por foco'!$BE$2:$BE$579,'Por foco'!$A$2:$A$579,$A5,'Por foco'!$B$2:$B$579,$B5)</f>
        <v>0</v>
      </c>
      <c r="BD5" s="3" t="n">
        <f aca="false">SUMIFS('Por foco'!$BF$2:$BF$579,'Por foco'!$A$2:$A$579,$A5,'Por foco'!$B$2:$B$579,$B5)</f>
        <v>0</v>
      </c>
      <c r="BE5" s="3" t="n">
        <f aca="false">SUMIFS('Por foco'!$BG$2:$BG$579,'Por foco'!$A$2:$A$579,$A5,'Por foco'!$B$2:$B$579,$B5)</f>
        <v>0</v>
      </c>
    </row>
    <row r="6" customFormat="false" ht="15" hidden="false" customHeight="false" outlineLevel="0" collapsed="false">
      <c r="A6" s="3" t="s">
        <v>60</v>
      </c>
      <c r="B6" s="3" t="s">
        <v>82</v>
      </c>
      <c r="C6" s="3" t="n">
        <f aca="false">COUNTIFS('Por foco'!$A$2:$A$579,$A6,'Por foco'!$B$2:$B$579,$B6)</f>
        <v>7</v>
      </c>
      <c r="D6" s="6" t="n">
        <f aca="false">SUMIFS('Por foco'!$F$2:$F$579,'Por foco'!$A$2:$A$579,$A6,'Por foco'!$B$2:$B$579,$B6)</f>
        <v>1074.95</v>
      </c>
      <c r="E6" s="3" t="n">
        <f aca="false">IF(C6=0,0,SUMIFS('Por foco'!$E$2:$E$579,'Por foco'!$A$2:$A$579,$A6,'Por foco'!$B$2:$B$579,$B6)/C6)</f>
        <v>0.5</v>
      </c>
      <c r="F6" s="3" t="n">
        <f aca="false">SUMIFS('Por foco'!$H$2:$H$579,'Por foco'!$A$2:$A$579,$A6,'Por foco'!$B$2:$B$579,$B6)</f>
        <v>483</v>
      </c>
      <c r="G6" s="3" t="n">
        <f aca="false">SUMIFS('Por foco'!$I$2:$I$579,'Por foco'!$A$2:$A$579,$A6,'Por foco'!$B$2:$B$579,$B6)</f>
        <v>200</v>
      </c>
      <c r="H6" s="3" t="n">
        <f aca="false">SUMIFS('Por foco'!$J$2:$J$579,'Por foco'!$A$2:$A$579,$A6,'Por foco'!$B$2:$B$579,$B6)</f>
        <v>0</v>
      </c>
      <c r="I6" s="3" t="n">
        <f aca="false">SUMIFS('Por foco'!$K$2:$K$579,'Por foco'!$A$2:$A$579,$A6,'Por foco'!$B$2:$B$579,$B6)</f>
        <v>0</v>
      </c>
      <c r="J6" s="3" t="n">
        <f aca="false">SUMIFS('Por foco'!$L$2:$L$579,'Por foco'!$A$2:$A$579,$A6,'Por foco'!$B$2:$B$579,$B6)</f>
        <v>0</v>
      </c>
      <c r="K6" s="3" t="n">
        <f aca="false">SUMIFS('Por foco'!$M$2:$M$579,'Por foco'!$A$2:$A$579,$A6,'Por foco'!$B$2:$B$579,$B6)</f>
        <v>0</v>
      </c>
      <c r="L6" s="3" t="n">
        <f aca="false">SUMIFS('Por foco'!$N$2:$N$579,'Por foco'!$A$2:$A$579,$A6,'Por foco'!$B$2:$B$579,$B6)</f>
        <v>0</v>
      </c>
      <c r="M6" s="3" t="n">
        <f aca="false">SUMIFS('Por foco'!$O$2:$O$579,'Por foco'!$A$2:$A$579,$A6,'Por foco'!$B$2:$B$579,$B6)</f>
        <v>0</v>
      </c>
      <c r="N6" s="3" t="n">
        <f aca="false">SUMIFS('Por foco'!$P$2:$P$579,'Por foco'!$A$2:$A$579,$A6,'Por foco'!$B$2:$B$579,$B6)</f>
        <v>0</v>
      </c>
      <c r="O6" s="3" t="n">
        <f aca="false">SUMIFS('Por foco'!$Q$2:$Q$579,'Por foco'!$A$2:$A$579,$A6,'Por foco'!$B$2:$B$579,$B6)</f>
        <v>0</v>
      </c>
      <c r="P6" s="3" t="n">
        <f aca="false">SUMIFS('Por foco'!$R$2:$R$579,'Por foco'!$A$2:$A$579,$A6,'Por foco'!$B$2:$B$579,$B6)</f>
        <v>6</v>
      </c>
      <c r="Q6" s="3" t="n">
        <f aca="false">SUMIFS('Por foco'!$S$2:$S$579,'Por foco'!$A$2:$A$579,$A6,'Por foco'!$B$2:$B$579,$B6)</f>
        <v>0</v>
      </c>
      <c r="R6" s="3" t="n">
        <f aca="false">SUMIFS('Por foco'!$T$2:$T$579,'Por foco'!$A$2:$A$579,$A6,'Por foco'!$B$2:$B$579,$B6)</f>
        <v>0</v>
      </c>
      <c r="S6" s="3" t="n">
        <f aca="false">SUMIFS('Por foco'!$U$2:$U$579,'Por foco'!$A$2:$A$579,$A6,'Por foco'!$B$2:$B$579,$B6)</f>
        <v>0</v>
      </c>
      <c r="T6" s="3" t="n">
        <f aca="false">SUMIFS('Por foco'!$V$2:$V$579,'Por foco'!$A$2:$A$579,$A6,'Por foco'!$B$2:$B$579,$B6)</f>
        <v>0</v>
      </c>
      <c r="U6" s="3" t="n">
        <f aca="false">SUMIFS('Por foco'!$W$2:$W$579,'Por foco'!$A$2:$A$579,$A6,'Por foco'!$B$2:$B$579,$B6)</f>
        <v>0</v>
      </c>
      <c r="V6" s="3" t="n">
        <f aca="false">SUMIFS('Por foco'!$X$2:$X$579,'Por foco'!$A$2:$A$579,$A6,'Por foco'!$B$2:$B$579,$B6)</f>
        <v>0</v>
      </c>
      <c r="W6" s="3" t="n">
        <f aca="false">SUMIFS('Por foco'!$Y$2:$Y$579,'Por foco'!$A$2:$A$579,$A6,'Por foco'!$B$2:$B$579,$B6)</f>
        <v>0</v>
      </c>
      <c r="X6" s="3" t="n">
        <f aca="false">SUMIFS('Por foco'!$Z$2:$Z$579,'Por foco'!$A$2:$A$579,$A6,'Por foco'!$B$2:$B$579,$B6)</f>
        <v>0</v>
      </c>
      <c r="Y6" s="3" t="n">
        <f aca="false">SUMIFS('Por foco'!$AA$2:$AA$579,'Por foco'!$A$2:$A$579,$A6,'Por foco'!$B$2:$B$579,$B6)</f>
        <v>0.15</v>
      </c>
      <c r="Z6" s="3" t="n">
        <f aca="false">SUMIFS('Por foco'!$AB$2:$AB$579,'Por foco'!$A$2:$A$579,$A6,'Por foco'!$B$2:$B$579,$B6)</f>
        <v>11</v>
      </c>
      <c r="AA6" s="3" t="n">
        <f aca="false">SUMIFS('Por foco'!$AC$2:$AC$579,'Por foco'!$A$2:$A$579,$A6,'Por foco'!$B$2:$B$579,$B6)</f>
        <v>-10</v>
      </c>
      <c r="AB6" s="3" t="n">
        <f aca="false">SUMIFS('Por foco'!$AD$2:$AD$579,'Por foco'!$A$2:$A$579,$A6,'Por foco'!$B$2:$B$579,$B6)</f>
        <v>0</v>
      </c>
      <c r="AC6" s="3" t="n">
        <f aca="false">SUMIFS('Por foco'!$AE$2:$AE$579,'Por foco'!$A$2:$A$579,$A6,'Por foco'!$B$2:$B$579,$B6)</f>
        <v>35</v>
      </c>
      <c r="AD6" s="3" t="n">
        <f aca="false">SUMIFS('Por foco'!$AF$2:$AF$579,'Por foco'!$A$2:$A$579,$A6,'Por foco'!$B$2:$B$579,$B6)</f>
        <v>0</v>
      </c>
      <c r="AE6" s="3" t="n">
        <f aca="false">SUMIFS('Por foco'!$AG$2:$AG$579,'Por foco'!$A$2:$A$579,$A6,'Por foco'!$B$2:$B$579,$B6)</f>
        <v>0</v>
      </c>
      <c r="AF6" s="3" t="n">
        <f aca="false">SUMIFS('Por foco'!$AH$2:$AH$579,'Por foco'!$A$2:$A$579,$A6,'Por foco'!$B$2:$B$579,$B6)</f>
        <v>0</v>
      </c>
      <c r="AG6" s="3" t="n">
        <f aca="false">SUMIFS('Por foco'!$AI$2:$AI$579,'Por foco'!$A$2:$A$579,$A6,'Por foco'!$B$2:$B$579,$B6)</f>
        <v>0</v>
      </c>
      <c r="AH6" s="3" t="n">
        <f aca="false">SUMIFS('Por foco'!$AJ$2:$AJ$579,'Por foco'!$A$2:$A$579,$A6,'Por foco'!$B$2:$B$579,$B6)</f>
        <v>0</v>
      </c>
      <c r="AI6" s="3" t="n">
        <f aca="false">SUMIFS('Por foco'!$AK$2:$AK$579,'Por foco'!$A$2:$A$579,$A6,'Por foco'!$B$2:$B$579,$B6)</f>
        <v>0</v>
      </c>
      <c r="AJ6" s="3" t="n">
        <f aca="false">SUMIFS('Por foco'!$AL$2:$AL$579,'Por foco'!$A$2:$A$579,$A6,'Por foco'!$B$2:$B$579,$B6)</f>
        <v>-5</v>
      </c>
      <c r="AK6" s="3" t="n">
        <f aca="false">SUMIFS('Por foco'!$AM$2:$AM$579,'Por foco'!$A$2:$A$579,$A6,'Por foco'!$B$2:$B$579,$B6)</f>
        <v>-5</v>
      </c>
      <c r="AL6" s="3" t="n">
        <f aca="false">SUMIFS('Por foco'!$AN$2:$AN$579,'Por foco'!$A$2:$A$579,$A6,'Por foco'!$B$2:$B$579,$B6)</f>
        <v>0</v>
      </c>
      <c r="AM6" s="3" t="n">
        <f aca="false">SUMIFS('Por foco'!$AO$2:$AO$579,'Por foco'!$A$2:$A$579,$A6,'Por foco'!$B$2:$B$579,$B6)</f>
        <v>0.15</v>
      </c>
      <c r="AN6" s="3" t="n">
        <f aca="false">SUMIFS('Por foco'!$AP$2:$AP$579,'Por foco'!$A$2:$A$579,$A6,'Por foco'!$B$2:$B$579,$B6)</f>
        <v>0</v>
      </c>
      <c r="AO6" s="3" t="n">
        <f aca="false">SUMIFS('Por foco'!$AQ$2:$AQ$579,'Por foco'!$A$2:$A$579,$A6,'Por foco'!$B$2:$B$579,$B6)</f>
        <v>0</v>
      </c>
      <c r="AP6" s="3" t="n">
        <f aca="false">SUMIFS('Por foco'!$AR$2:$AR$579,'Por foco'!$A$2:$A$579,$A6,'Por foco'!$B$2:$B$579,$B6)</f>
        <v>0</v>
      </c>
      <c r="AQ6" s="3" t="n">
        <f aca="false">SUMIFS('Por foco'!$AS$2:$AS$579,'Por foco'!$A$2:$A$579,$A6,'Por foco'!$B$2:$B$579,$B6)</f>
        <v>0</v>
      </c>
      <c r="AR6" s="3" t="n">
        <f aca="false">SUMIFS('Por foco'!$AT$2:$AT$579,'Por foco'!$A$2:$A$579,$A6,'Por foco'!$B$2:$B$579,$B6)</f>
        <v>0</v>
      </c>
      <c r="AS6" s="3" t="n">
        <f aca="false">SUMIFS('Por foco'!$AU$2:$AU$579,'Por foco'!$A$2:$A$579,$A6,'Por foco'!$B$2:$B$579,$B6)</f>
        <v>0</v>
      </c>
      <c r="AT6" s="3" t="n">
        <f aca="false">SUMIFS('Por foco'!$AV$2:$AV$579,'Por foco'!$A$2:$A$579,$A6,'Por foco'!$B$2:$B$579,$B6)</f>
        <v>0</v>
      </c>
      <c r="AU6" s="3" t="n">
        <f aca="false">SUMIFS('Por foco'!$AW$2:$AW$579,'Por foco'!$A$2:$A$579,$A6,'Por foco'!$B$2:$B$579,$B6)</f>
        <v>0</v>
      </c>
      <c r="AV6" s="3" t="n">
        <f aca="false">SUMIFS('Por foco'!$AX$2:$AX$579,'Por foco'!$A$2:$A$579,$A6,'Por foco'!$B$2:$B$579,$B6)</f>
        <v>0</v>
      </c>
      <c r="AW6" s="3" t="n">
        <f aca="false">SUMIFS('Por foco'!$AY$2:$AY$579,'Por foco'!$A$2:$A$579,$A6,'Por foco'!$B$2:$B$579,$B6)</f>
        <v>0</v>
      </c>
      <c r="AX6" s="3" t="n">
        <f aca="false">SUMIFS('Por foco'!$AZ$2:$AZ$579,'Por foco'!$A$2:$A$579,$A6,'Por foco'!$B$2:$B$579,$B6)</f>
        <v>0</v>
      </c>
      <c r="AY6" s="3" t="n">
        <f aca="false">SUMIFS('Por foco'!$BA$2:$BA$579,'Por foco'!$A$2:$A$579,$A6,'Por foco'!$B$2:$B$579,$B6)</f>
        <v>0</v>
      </c>
      <c r="AZ6" s="3" t="n">
        <f aca="false">SUMIFS('Por foco'!$BB$2:$BB$579,'Por foco'!$A$2:$A$579,$A6,'Por foco'!$B$2:$B$579,$B6)</f>
        <v>0</v>
      </c>
      <c r="BA6" s="3" t="n">
        <f aca="false">SUMIFS('Por foco'!$BC$2:$BC$579,'Por foco'!$A$2:$A$579,$A6,'Por foco'!$B$2:$B$579,$B6)</f>
        <v>0</v>
      </c>
      <c r="BB6" s="3" t="n">
        <f aca="false">SUMIFS('Por foco'!$BD$2:$BD$579,'Por foco'!$A$2:$A$579,$A6,'Por foco'!$B$2:$B$579,$B6)</f>
        <v>0</v>
      </c>
      <c r="BC6" s="3" t="n">
        <f aca="false">SUMIFS('Por foco'!$BE$2:$BE$579,'Por foco'!$A$2:$A$579,$A6,'Por foco'!$B$2:$B$579,$B6)</f>
        <v>0</v>
      </c>
      <c r="BD6" s="3" t="n">
        <f aca="false">SUMIFS('Por foco'!$BF$2:$BF$579,'Por foco'!$A$2:$A$579,$A6,'Por foco'!$B$2:$B$579,$B6)</f>
        <v>0</v>
      </c>
      <c r="BE6" s="3" t="n">
        <f aca="false">SUMIFS('Por foco'!$BG$2:$BG$579,'Por foco'!$A$2:$A$579,$A6,'Por foco'!$B$2:$B$579,$B6)</f>
        <v>0</v>
      </c>
    </row>
    <row r="7" customFormat="false" ht="15" hidden="false" customHeight="false" outlineLevel="0" collapsed="false">
      <c r="A7" s="3" t="s">
        <v>60</v>
      </c>
      <c r="B7" s="3" t="s">
        <v>83</v>
      </c>
      <c r="C7" s="3" t="n">
        <f aca="false">COUNTIFS('Por foco'!$A$2:$A$579,$A7,'Por foco'!$B$2:$B$579,$B7)</f>
        <v>6</v>
      </c>
      <c r="D7" s="6" t="n">
        <f aca="false">SUMIFS('Por foco'!$F$2:$F$579,'Por foco'!$A$2:$A$579,$A7,'Por foco'!$B$2:$B$579,$B7)</f>
        <v>1318.6</v>
      </c>
      <c r="E7" s="3" t="n">
        <f aca="false">IF(C7=0,0,SUMIFS('Por foco'!$E$2:$E$579,'Por foco'!$A$2:$A$579,$A7,'Por foco'!$B$2:$B$579,$B7)/C7)</f>
        <v>1</v>
      </c>
      <c r="F7" s="3" t="n">
        <f aca="false">SUMIFS('Por foco'!$H$2:$H$579,'Por foco'!$A$2:$A$579,$A7,'Por foco'!$B$2:$B$579,$B7)</f>
        <v>364</v>
      </c>
      <c r="G7" s="3" t="n">
        <f aca="false">SUMIFS('Por foco'!$I$2:$I$579,'Por foco'!$A$2:$A$579,$A7,'Por foco'!$B$2:$B$579,$B7)</f>
        <v>0</v>
      </c>
      <c r="H7" s="3" t="n">
        <f aca="false">SUMIFS('Por foco'!$J$2:$J$579,'Por foco'!$A$2:$A$579,$A7,'Por foco'!$B$2:$B$579,$B7)</f>
        <v>0</v>
      </c>
      <c r="I7" s="3" t="n">
        <f aca="false">SUMIFS('Por foco'!$K$2:$K$579,'Por foco'!$A$2:$A$579,$A7,'Por foco'!$B$2:$B$579,$B7)</f>
        <v>0</v>
      </c>
      <c r="J7" s="3" t="n">
        <f aca="false">SUMIFS('Por foco'!$L$2:$L$579,'Por foco'!$A$2:$A$579,$A7,'Por foco'!$B$2:$B$579,$B7)</f>
        <v>0</v>
      </c>
      <c r="K7" s="3" t="n">
        <f aca="false">SUMIFS('Por foco'!$M$2:$M$579,'Por foco'!$A$2:$A$579,$A7,'Por foco'!$B$2:$B$579,$B7)</f>
        <v>0</v>
      </c>
      <c r="L7" s="3" t="n">
        <f aca="false">SUMIFS('Por foco'!$N$2:$N$579,'Por foco'!$A$2:$A$579,$A7,'Por foco'!$B$2:$B$579,$B7)</f>
        <v>0</v>
      </c>
      <c r="M7" s="3" t="n">
        <f aca="false">SUMIFS('Por foco'!$O$2:$O$579,'Por foco'!$A$2:$A$579,$A7,'Por foco'!$B$2:$B$579,$B7)</f>
        <v>0</v>
      </c>
      <c r="N7" s="3" t="n">
        <f aca="false">SUMIFS('Por foco'!$P$2:$P$579,'Por foco'!$A$2:$A$579,$A7,'Por foco'!$B$2:$B$579,$B7)</f>
        <v>1</v>
      </c>
      <c r="O7" s="3" t="n">
        <f aca="false">SUMIFS('Por foco'!$Q$2:$Q$579,'Por foco'!$A$2:$A$579,$A7,'Por foco'!$B$2:$B$579,$B7)</f>
        <v>1</v>
      </c>
      <c r="P7" s="3" t="n">
        <f aca="false">SUMIFS('Por foco'!$R$2:$R$579,'Por foco'!$A$2:$A$579,$A7,'Por foco'!$B$2:$B$579,$B7)</f>
        <v>4</v>
      </c>
      <c r="Q7" s="3" t="n">
        <f aca="false">SUMIFS('Por foco'!$S$2:$S$579,'Por foco'!$A$2:$A$579,$A7,'Por foco'!$B$2:$B$579,$B7)</f>
        <v>2</v>
      </c>
      <c r="R7" s="3" t="n">
        <f aca="false">SUMIFS('Por foco'!$T$2:$T$579,'Por foco'!$A$2:$A$579,$A7,'Por foco'!$B$2:$B$579,$B7)</f>
        <v>2</v>
      </c>
      <c r="S7" s="3" t="n">
        <f aca="false">SUMIFS('Por foco'!$U$2:$U$579,'Por foco'!$A$2:$A$579,$A7,'Por foco'!$B$2:$B$579,$B7)</f>
        <v>0</v>
      </c>
      <c r="T7" s="3" t="n">
        <f aca="false">SUMIFS('Por foco'!$V$2:$V$579,'Por foco'!$A$2:$A$579,$A7,'Por foco'!$B$2:$B$579,$B7)</f>
        <v>0</v>
      </c>
      <c r="U7" s="3" t="n">
        <f aca="false">SUMIFS('Por foco'!$W$2:$W$579,'Por foco'!$A$2:$A$579,$A7,'Por foco'!$B$2:$B$579,$B7)</f>
        <v>0</v>
      </c>
      <c r="V7" s="3" t="n">
        <f aca="false">SUMIFS('Por foco'!$X$2:$X$579,'Por foco'!$A$2:$A$579,$A7,'Por foco'!$B$2:$B$579,$B7)</f>
        <v>0</v>
      </c>
      <c r="W7" s="3" t="n">
        <f aca="false">SUMIFS('Por foco'!$Y$2:$Y$579,'Por foco'!$A$2:$A$579,$A7,'Por foco'!$B$2:$B$579,$B7)</f>
        <v>0</v>
      </c>
      <c r="X7" s="3" t="n">
        <f aca="false">SUMIFS('Por foco'!$Z$2:$Z$579,'Por foco'!$A$2:$A$579,$A7,'Por foco'!$B$2:$B$579,$B7)</f>
        <v>0</v>
      </c>
      <c r="Y7" s="3" t="n">
        <f aca="false">SUMIFS('Por foco'!$AA$2:$AA$579,'Por foco'!$A$2:$A$579,$A7,'Por foco'!$B$2:$B$579,$B7)</f>
        <v>0</v>
      </c>
      <c r="Z7" s="3" t="n">
        <f aca="false">SUMIFS('Por foco'!$AB$2:$AB$579,'Por foco'!$A$2:$A$579,$A7,'Por foco'!$B$2:$B$579,$B7)</f>
        <v>-0.6</v>
      </c>
      <c r="AA7" s="3" t="n">
        <f aca="false">SUMIFS('Por foco'!$AC$2:$AC$579,'Por foco'!$A$2:$A$579,$A7,'Por foco'!$B$2:$B$579,$B7)</f>
        <v>0</v>
      </c>
      <c r="AB7" s="3" t="n">
        <f aca="false">SUMIFS('Por foco'!$AD$2:$AD$579,'Por foco'!$A$2:$A$579,$A7,'Por foco'!$B$2:$B$579,$B7)</f>
        <v>0</v>
      </c>
      <c r="AC7" s="3" t="n">
        <f aca="false">SUMIFS('Por foco'!$AE$2:$AE$579,'Por foco'!$A$2:$A$579,$A7,'Por foco'!$B$2:$B$579,$B7)</f>
        <v>0</v>
      </c>
      <c r="AD7" s="3" t="n">
        <f aca="false">SUMIFS('Por foco'!$AF$2:$AF$579,'Por foco'!$A$2:$A$579,$A7,'Por foco'!$B$2:$B$579,$B7)</f>
        <v>0</v>
      </c>
      <c r="AE7" s="3" t="n">
        <f aca="false">SUMIFS('Por foco'!$AG$2:$AG$579,'Por foco'!$A$2:$A$579,$A7,'Por foco'!$B$2:$B$579,$B7)</f>
        <v>5</v>
      </c>
      <c r="AF7" s="3" t="n">
        <f aca="false">SUMIFS('Por foco'!$AH$2:$AH$579,'Por foco'!$A$2:$A$579,$A7,'Por foco'!$B$2:$B$579,$B7)</f>
        <v>0</v>
      </c>
      <c r="AG7" s="3" t="n">
        <f aca="false">SUMIFS('Por foco'!$AI$2:$AI$579,'Por foco'!$A$2:$A$579,$A7,'Por foco'!$B$2:$B$579,$B7)</f>
        <v>10</v>
      </c>
      <c r="AH7" s="3" t="n">
        <f aca="false">SUMIFS('Por foco'!$AJ$2:$AJ$579,'Por foco'!$A$2:$A$579,$A7,'Por foco'!$B$2:$B$579,$B7)</f>
        <v>0</v>
      </c>
      <c r="AI7" s="3" t="n">
        <f aca="false">SUMIFS('Por foco'!$AK$2:$AK$579,'Por foco'!$A$2:$A$579,$A7,'Por foco'!$B$2:$B$579,$B7)</f>
        <v>0</v>
      </c>
      <c r="AJ7" s="3" t="n">
        <f aca="false">SUMIFS('Por foco'!$AL$2:$AL$579,'Por foco'!$A$2:$A$579,$A7,'Por foco'!$B$2:$B$579,$B7)</f>
        <v>0</v>
      </c>
      <c r="AK7" s="3" t="n">
        <f aca="false">SUMIFS('Por foco'!$AM$2:$AM$579,'Por foco'!$A$2:$A$579,$A7,'Por foco'!$B$2:$B$579,$B7)</f>
        <v>0</v>
      </c>
      <c r="AL7" s="3" t="n">
        <f aca="false">SUMIFS('Por foco'!$AN$2:$AN$579,'Por foco'!$A$2:$A$579,$A7,'Por foco'!$B$2:$B$579,$B7)</f>
        <v>0</v>
      </c>
      <c r="AM7" s="3" t="n">
        <f aca="false">SUMIFS('Por foco'!$AO$2:$AO$579,'Por foco'!$A$2:$A$579,$A7,'Por foco'!$B$2:$B$579,$B7)</f>
        <v>0</v>
      </c>
      <c r="AN7" s="3" t="n">
        <f aca="false">SUMIFS('Por foco'!$AP$2:$AP$579,'Por foco'!$A$2:$A$579,$A7,'Por foco'!$B$2:$B$579,$B7)</f>
        <v>0</v>
      </c>
      <c r="AO7" s="3" t="n">
        <f aca="false">SUMIFS('Por foco'!$AQ$2:$AQ$579,'Por foco'!$A$2:$A$579,$A7,'Por foco'!$B$2:$B$579,$B7)</f>
        <v>0</v>
      </c>
      <c r="AP7" s="3" t="n">
        <f aca="false">SUMIFS('Por foco'!$AR$2:$AR$579,'Por foco'!$A$2:$A$579,$A7,'Por foco'!$B$2:$B$579,$B7)</f>
        <v>0.8</v>
      </c>
      <c r="AQ7" s="3" t="n">
        <f aca="false">SUMIFS('Por foco'!$AS$2:$AS$579,'Por foco'!$A$2:$A$579,$A7,'Por foco'!$B$2:$B$579,$B7)</f>
        <v>0</v>
      </c>
      <c r="AR7" s="3" t="n">
        <f aca="false">SUMIFS('Por foco'!$AT$2:$AT$579,'Por foco'!$A$2:$A$579,$A7,'Por foco'!$B$2:$B$579,$B7)</f>
        <v>0</v>
      </c>
      <c r="AS7" s="3" t="n">
        <f aca="false">SUMIFS('Por foco'!$AU$2:$AU$579,'Por foco'!$A$2:$A$579,$A7,'Por foco'!$B$2:$B$579,$B7)</f>
        <v>2</v>
      </c>
      <c r="AT7" s="3" t="n">
        <f aca="false">SUMIFS('Por foco'!$AV$2:$AV$579,'Por foco'!$A$2:$A$579,$A7,'Por foco'!$B$2:$B$579,$B7)</f>
        <v>0</v>
      </c>
      <c r="AU7" s="3" t="n">
        <f aca="false">SUMIFS('Por foco'!$AW$2:$AW$579,'Por foco'!$A$2:$A$579,$A7,'Por foco'!$B$2:$B$579,$B7)</f>
        <v>0</v>
      </c>
      <c r="AV7" s="3" t="n">
        <f aca="false">SUMIFS('Por foco'!$AX$2:$AX$579,'Por foco'!$A$2:$A$579,$A7,'Por foco'!$B$2:$B$579,$B7)</f>
        <v>0</v>
      </c>
      <c r="AW7" s="3" t="n">
        <f aca="false">SUMIFS('Por foco'!$AY$2:$AY$579,'Por foco'!$A$2:$A$579,$A7,'Por foco'!$B$2:$B$579,$B7)</f>
        <v>0</v>
      </c>
      <c r="AX7" s="3" t="n">
        <f aca="false">SUMIFS('Por foco'!$AZ$2:$AZ$579,'Por foco'!$A$2:$A$579,$A7,'Por foco'!$B$2:$B$579,$B7)</f>
        <v>0</v>
      </c>
      <c r="AY7" s="3" t="n">
        <f aca="false">SUMIFS('Por foco'!$BA$2:$BA$579,'Por foco'!$A$2:$A$579,$A7,'Por foco'!$B$2:$B$579,$B7)</f>
        <v>0</v>
      </c>
      <c r="AZ7" s="3" t="n">
        <f aca="false">SUMIFS('Por foco'!$BB$2:$BB$579,'Por foco'!$A$2:$A$579,$A7,'Por foco'!$B$2:$B$579,$B7)</f>
        <v>0</v>
      </c>
      <c r="BA7" s="3" t="n">
        <f aca="false">SUMIFS('Por foco'!$BC$2:$BC$579,'Por foco'!$A$2:$A$579,$A7,'Por foco'!$B$2:$B$579,$B7)</f>
        <v>0</v>
      </c>
      <c r="BB7" s="3" t="n">
        <f aca="false">SUMIFS('Por foco'!$BD$2:$BD$579,'Por foco'!$A$2:$A$579,$A7,'Por foco'!$B$2:$B$579,$B7)</f>
        <v>0</v>
      </c>
      <c r="BC7" s="3" t="n">
        <f aca="false">SUMIFS('Por foco'!$BE$2:$BE$579,'Por foco'!$A$2:$A$579,$A7,'Por foco'!$B$2:$B$579,$B7)</f>
        <v>0</v>
      </c>
      <c r="BD7" s="3" t="n">
        <f aca="false">SUMIFS('Por foco'!$BF$2:$BF$579,'Por foco'!$A$2:$A$579,$A7,'Por foco'!$B$2:$B$579,$B7)</f>
        <v>0</v>
      </c>
      <c r="BE7" s="3" t="n">
        <f aca="false">SUMIFS('Por foco'!$BG$2:$BG$579,'Por foco'!$A$2:$A$579,$A7,'Por foco'!$B$2:$B$579,$B7)</f>
        <v>0</v>
      </c>
    </row>
    <row r="8" customFormat="false" ht="15" hidden="false" customHeight="false" outlineLevel="0" collapsed="false">
      <c r="A8" s="3" t="s">
        <v>60</v>
      </c>
      <c r="B8" s="3" t="s">
        <v>84</v>
      </c>
      <c r="C8" s="3" t="n">
        <f aca="false">COUNTIFS('Por foco'!$A$2:$A$579,$A8,'Por foco'!$B$2:$B$579,$B8)</f>
        <v>6</v>
      </c>
      <c r="D8" s="6" t="n">
        <f aca="false">SUMIFS('Por foco'!$F$2:$F$579,'Por foco'!$A$2:$A$579,$A8,'Por foco'!$B$2:$B$579,$B8)</f>
        <v>810.6</v>
      </c>
      <c r="E8" s="3" t="n">
        <f aca="false">IF(C8=0,0,SUMIFS('Por foco'!$E$2:$E$579,'Por foco'!$A$2:$A$579,$A8,'Por foco'!$B$2:$B$579,$B8)/C8)</f>
        <v>1</v>
      </c>
      <c r="F8" s="3" t="n">
        <f aca="false">SUMIFS('Por foco'!$H$2:$H$579,'Por foco'!$A$2:$A$579,$A8,'Por foco'!$B$2:$B$579,$B8)</f>
        <v>343</v>
      </c>
      <c r="G8" s="3" t="n">
        <f aca="false">SUMIFS('Por foco'!$I$2:$I$579,'Por foco'!$A$2:$A$579,$A8,'Por foco'!$B$2:$B$579,$B8)</f>
        <v>0</v>
      </c>
      <c r="H8" s="3" t="n">
        <f aca="false">SUMIFS('Por foco'!$J$2:$J$579,'Por foco'!$A$2:$A$579,$A8,'Por foco'!$B$2:$B$579,$B8)</f>
        <v>0</v>
      </c>
      <c r="I8" s="3" t="n">
        <f aca="false">SUMIFS('Por foco'!$K$2:$K$579,'Por foco'!$A$2:$A$579,$A8,'Por foco'!$B$2:$B$579,$B8)</f>
        <v>0</v>
      </c>
      <c r="J8" s="3" t="n">
        <f aca="false">SUMIFS('Por foco'!$L$2:$L$579,'Por foco'!$A$2:$A$579,$A8,'Por foco'!$B$2:$B$579,$B8)</f>
        <v>50000</v>
      </c>
      <c r="K8" s="3" t="n">
        <f aca="false">SUMIFS('Por foco'!$M$2:$M$579,'Por foco'!$A$2:$A$579,$A8,'Por foco'!$B$2:$B$579,$B8)</f>
        <v>75</v>
      </c>
      <c r="L8" s="3" t="n">
        <f aca="false">SUMIFS('Por foco'!$N$2:$N$579,'Por foco'!$A$2:$A$579,$A8,'Por foco'!$B$2:$B$579,$B8)</f>
        <v>0</v>
      </c>
      <c r="M8" s="3" t="n">
        <f aca="false">SUMIFS('Por foco'!$O$2:$O$579,'Por foco'!$A$2:$A$579,$A8,'Por foco'!$B$2:$B$579,$B8)</f>
        <v>0</v>
      </c>
      <c r="N8" s="3" t="n">
        <f aca="false">SUMIFS('Por foco'!$P$2:$P$579,'Por foco'!$A$2:$A$579,$A8,'Por foco'!$B$2:$B$579,$B8)</f>
        <v>0</v>
      </c>
      <c r="O8" s="3" t="n">
        <f aca="false">SUMIFS('Por foco'!$Q$2:$Q$579,'Por foco'!$A$2:$A$579,$A8,'Por foco'!$B$2:$B$579,$B8)</f>
        <v>4</v>
      </c>
      <c r="P8" s="3" t="n">
        <f aca="false">SUMIFS('Por foco'!$R$2:$R$579,'Por foco'!$A$2:$A$579,$A8,'Por foco'!$B$2:$B$579,$B8)</f>
        <v>0</v>
      </c>
      <c r="Q8" s="3" t="n">
        <f aca="false">SUMIFS('Por foco'!$S$2:$S$579,'Por foco'!$A$2:$A$579,$A8,'Por foco'!$B$2:$B$579,$B8)</f>
        <v>0</v>
      </c>
      <c r="R8" s="3" t="n">
        <f aca="false">SUMIFS('Por foco'!$T$2:$T$579,'Por foco'!$A$2:$A$579,$A8,'Por foco'!$B$2:$B$579,$B8)</f>
        <v>0</v>
      </c>
      <c r="S8" s="3" t="n">
        <f aca="false">SUMIFS('Por foco'!$U$2:$U$579,'Por foco'!$A$2:$A$579,$A8,'Por foco'!$B$2:$B$579,$B8)</f>
        <v>0</v>
      </c>
      <c r="T8" s="3" t="n">
        <f aca="false">SUMIFS('Por foco'!$V$2:$V$579,'Por foco'!$A$2:$A$579,$A8,'Por foco'!$B$2:$B$579,$B8)</f>
        <v>0</v>
      </c>
      <c r="U8" s="3" t="n">
        <f aca="false">SUMIFS('Por foco'!$W$2:$W$579,'Por foco'!$A$2:$A$579,$A8,'Por foco'!$B$2:$B$579,$B8)</f>
        <v>0</v>
      </c>
      <c r="V8" s="3" t="n">
        <f aca="false">SUMIFS('Por foco'!$X$2:$X$579,'Por foco'!$A$2:$A$579,$A8,'Por foco'!$B$2:$B$579,$B8)</f>
        <v>0</v>
      </c>
      <c r="W8" s="3" t="n">
        <f aca="false">SUMIFS('Por foco'!$Y$2:$Y$579,'Por foco'!$A$2:$A$579,$A8,'Por foco'!$B$2:$B$579,$B8)</f>
        <v>0</v>
      </c>
      <c r="X8" s="3" t="n">
        <f aca="false">SUMIFS('Por foco'!$Z$2:$Z$579,'Por foco'!$A$2:$A$579,$A8,'Por foco'!$B$2:$B$579,$B8)</f>
        <v>0</v>
      </c>
      <c r="Y8" s="3" t="n">
        <f aca="false">SUMIFS('Por foco'!$AA$2:$AA$579,'Por foco'!$A$2:$A$579,$A8,'Por foco'!$B$2:$B$579,$B8)</f>
        <v>0</v>
      </c>
      <c r="Z8" s="3" t="n">
        <f aca="false">SUMIFS('Por foco'!$AB$2:$AB$579,'Por foco'!$A$2:$A$579,$A8,'Por foco'!$B$2:$B$579,$B8)</f>
        <v>0</v>
      </c>
      <c r="AA8" s="3" t="n">
        <f aca="false">SUMIFS('Por foco'!$AC$2:$AC$579,'Por foco'!$A$2:$A$579,$A8,'Por foco'!$B$2:$B$579,$B8)</f>
        <v>5</v>
      </c>
      <c r="AB8" s="3" t="n">
        <f aca="false">SUMIFS('Por foco'!$AD$2:$AD$579,'Por foco'!$A$2:$A$579,$A8,'Por foco'!$B$2:$B$579,$B8)</f>
        <v>0</v>
      </c>
      <c r="AC8" s="3" t="n">
        <f aca="false">SUMIFS('Por foco'!$AE$2:$AE$579,'Por foco'!$A$2:$A$579,$A8,'Por foco'!$B$2:$B$579,$B8)</f>
        <v>0</v>
      </c>
      <c r="AD8" s="3" t="n">
        <f aca="false">SUMIFS('Por foco'!$AF$2:$AF$579,'Por foco'!$A$2:$A$579,$A8,'Por foco'!$B$2:$B$579,$B8)</f>
        <v>0</v>
      </c>
      <c r="AE8" s="3" t="n">
        <f aca="false">SUMIFS('Por foco'!$AG$2:$AG$579,'Por foco'!$A$2:$A$579,$A8,'Por foco'!$B$2:$B$579,$B8)</f>
        <v>0</v>
      </c>
      <c r="AF8" s="3" t="n">
        <f aca="false">SUMIFS('Por foco'!$AH$2:$AH$579,'Por foco'!$A$2:$A$579,$A8,'Por foco'!$B$2:$B$579,$B8)</f>
        <v>0</v>
      </c>
      <c r="AG8" s="3" t="n">
        <f aca="false">SUMIFS('Por foco'!$AI$2:$AI$579,'Por foco'!$A$2:$A$579,$A8,'Por foco'!$B$2:$B$579,$B8)</f>
        <v>0</v>
      </c>
      <c r="AH8" s="3" t="n">
        <f aca="false">SUMIFS('Por foco'!$AJ$2:$AJ$579,'Por foco'!$A$2:$A$579,$A8,'Por foco'!$B$2:$B$579,$B8)</f>
        <v>0</v>
      </c>
      <c r="AI8" s="3" t="n">
        <f aca="false">SUMIFS('Por foco'!$AK$2:$AK$579,'Por foco'!$A$2:$A$579,$A8,'Por foco'!$B$2:$B$579,$B8)</f>
        <v>0</v>
      </c>
      <c r="AJ8" s="3" t="n">
        <f aca="false">SUMIFS('Por foco'!$AL$2:$AL$579,'Por foco'!$A$2:$A$579,$A8,'Por foco'!$B$2:$B$579,$B8)</f>
        <v>0</v>
      </c>
      <c r="AK8" s="3" t="n">
        <f aca="false">SUMIFS('Por foco'!$AM$2:$AM$579,'Por foco'!$A$2:$A$579,$A8,'Por foco'!$B$2:$B$579,$B8)</f>
        <v>0</v>
      </c>
      <c r="AL8" s="3" t="n">
        <f aca="false">SUMIFS('Por foco'!$AN$2:$AN$579,'Por foco'!$A$2:$A$579,$A8,'Por foco'!$B$2:$B$579,$B8)</f>
        <v>0</v>
      </c>
      <c r="AM8" s="3" t="n">
        <f aca="false">SUMIFS('Por foco'!$AO$2:$AO$579,'Por foco'!$A$2:$A$579,$A8,'Por foco'!$B$2:$B$579,$B8)</f>
        <v>0</v>
      </c>
      <c r="AN8" s="3" t="n">
        <f aca="false">SUMIFS('Por foco'!$AP$2:$AP$579,'Por foco'!$A$2:$A$579,$A8,'Por foco'!$B$2:$B$579,$B8)</f>
        <v>0</v>
      </c>
      <c r="AO8" s="3" t="n">
        <f aca="false">SUMIFS('Por foco'!$AQ$2:$AQ$579,'Por foco'!$A$2:$A$579,$A8,'Por foco'!$B$2:$B$579,$B8)</f>
        <v>5</v>
      </c>
      <c r="AP8" s="3" t="n">
        <f aca="false">SUMIFS('Por foco'!$AR$2:$AR$579,'Por foco'!$A$2:$A$579,$A8,'Por foco'!$B$2:$B$579,$B8)</f>
        <v>8.8</v>
      </c>
      <c r="AQ8" s="3" t="n">
        <f aca="false">SUMIFS('Por foco'!$AS$2:$AS$579,'Por foco'!$A$2:$A$579,$A8,'Por foco'!$B$2:$B$579,$B8)</f>
        <v>23</v>
      </c>
      <c r="AR8" s="3" t="n">
        <f aca="false">SUMIFS('Por foco'!$AT$2:$AT$579,'Por foco'!$A$2:$A$579,$A8,'Por foco'!$B$2:$B$579,$B8)</f>
        <v>10</v>
      </c>
      <c r="AS8" s="3" t="n">
        <f aca="false">SUMIFS('Por foco'!$AU$2:$AU$579,'Por foco'!$A$2:$A$579,$A8,'Por foco'!$B$2:$B$579,$B8)</f>
        <v>7</v>
      </c>
      <c r="AT8" s="3" t="n">
        <f aca="false">SUMIFS('Por foco'!$AV$2:$AV$579,'Por foco'!$A$2:$A$579,$A8,'Por foco'!$B$2:$B$579,$B8)</f>
        <v>0</v>
      </c>
      <c r="AU8" s="3" t="n">
        <f aca="false">SUMIFS('Por foco'!$AW$2:$AW$579,'Por foco'!$A$2:$A$579,$A8,'Por foco'!$B$2:$B$579,$B8)</f>
        <v>0</v>
      </c>
      <c r="AV8" s="3" t="n">
        <f aca="false">SUMIFS('Por foco'!$AX$2:$AX$579,'Por foco'!$A$2:$A$579,$A8,'Por foco'!$B$2:$B$579,$B8)</f>
        <v>0</v>
      </c>
      <c r="AW8" s="3" t="n">
        <f aca="false">SUMIFS('Por foco'!$AY$2:$AY$579,'Por foco'!$A$2:$A$579,$A8,'Por foco'!$B$2:$B$579,$B8)</f>
        <v>0</v>
      </c>
      <c r="AX8" s="3" t="n">
        <f aca="false">SUMIFS('Por foco'!$AZ$2:$AZ$579,'Por foco'!$A$2:$A$579,$A8,'Por foco'!$B$2:$B$579,$B8)</f>
        <v>0</v>
      </c>
      <c r="AY8" s="3" t="n">
        <f aca="false">SUMIFS('Por foco'!$BA$2:$BA$579,'Por foco'!$A$2:$A$579,$A8,'Por foco'!$B$2:$B$579,$B8)</f>
        <v>0</v>
      </c>
      <c r="AZ8" s="3" t="n">
        <f aca="false">SUMIFS('Por foco'!$BB$2:$BB$579,'Por foco'!$A$2:$A$579,$A8,'Por foco'!$B$2:$B$579,$B8)</f>
        <v>0</v>
      </c>
      <c r="BA8" s="3" t="n">
        <f aca="false">SUMIFS('Por foco'!$BC$2:$BC$579,'Por foco'!$A$2:$A$579,$A8,'Por foco'!$B$2:$B$579,$B8)</f>
        <v>0</v>
      </c>
      <c r="BB8" s="3" t="n">
        <f aca="false">SUMIFS('Por foco'!$BD$2:$BD$579,'Por foco'!$A$2:$A$579,$A8,'Por foco'!$B$2:$B$579,$B8)</f>
        <v>0</v>
      </c>
      <c r="BC8" s="3" t="n">
        <f aca="false">SUMIFS('Por foco'!$BE$2:$BE$579,'Por foco'!$A$2:$A$579,$A8,'Por foco'!$B$2:$B$579,$B8)</f>
        <v>0</v>
      </c>
      <c r="BD8" s="3" t="n">
        <f aca="false">SUMIFS('Por foco'!$BF$2:$BF$579,'Por foco'!$A$2:$A$579,$A8,'Por foco'!$B$2:$B$579,$B8)</f>
        <v>0</v>
      </c>
      <c r="BE8" s="3" t="n">
        <f aca="false">SUMIFS('Por foco'!$BG$2:$BG$579,'Por foco'!$A$2:$A$579,$A8,'Por foco'!$B$2:$B$579,$B8)</f>
        <v>0</v>
      </c>
    </row>
    <row r="9" customFormat="false" ht="15" hidden="false" customHeight="false" outlineLevel="0" collapsed="false">
      <c r="A9" s="3" t="s">
        <v>60</v>
      </c>
      <c r="B9" s="3" t="s">
        <v>85</v>
      </c>
      <c r="C9" s="3" t="n">
        <f aca="false">COUNTIFS('Por foco'!$A$2:$A$579,$A9,'Por foco'!$B$2:$B$579,$B9)</f>
        <v>6</v>
      </c>
      <c r="D9" s="6" t="n">
        <f aca="false">SUMIFS('Por foco'!$F$2:$F$579,'Por foco'!$A$2:$A$579,$A9,'Por foco'!$B$2:$B$579,$B9)</f>
        <v>445.2</v>
      </c>
      <c r="E9" s="3" t="n">
        <f aca="false">IF(C9=0,0,SUMIFS('Por foco'!$E$2:$E$579,'Por foco'!$A$2:$A$579,$A9,'Por foco'!$B$2:$B$579,$B9)/C9)</f>
        <v>1</v>
      </c>
      <c r="F9" s="3" t="n">
        <f aca="false">SUMIFS('Por foco'!$H$2:$H$579,'Por foco'!$A$2:$A$579,$A9,'Por foco'!$B$2:$B$579,$B9)</f>
        <v>343</v>
      </c>
      <c r="G9" s="3" t="n">
        <f aca="false">SUMIFS('Por foco'!$I$2:$I$579,'Por foco'!$A$2:$A$579,$A9,'Por foco'!$B$2:$B$579,$B9)</f>
        <v>0</v>
      </c>
      <c r="H9" s="3" t="n">
        <f aca="false">SUMIFS('Por foco'!$J$2:$J$579,'Por foco'!$A$2:$A$579,$A9,'Por foco'!$B$2:$B$579,$B9)</f>
        <v>0</v>
      </c>
      <c r="I9" s="3" t="n">
        <f aca="false">SUMIFS('Por foco'!$K$2:$K$579,'Por foco'!$A$2:$A$579,$A9,'Por foco'!$B$2:$B$579,$B9)</f>
        <v>5</v>
      </c>
      <c r="J9" s="3" t="n">
        <f aca="false">SUMIFS('Por foco'!$L$2:$L$579,'Por foco'!$A$2:$A$579,$A9,'Por foco'!$B$2:$B$579,$B9)</f>
        <v>0</v>
      </c>
      <c r="K9" s="3" t="n">
        <f aca="false">SUMIFS('Por foco'!$M$2:$M$579,'Por foco'!$A$2:$A$579,$A9,'Por foco'!$B$2:$B$579,$B9)</f>
        <v>0</v>
      </c>
      <c r="L9" s="3" t="n">
        <f aca="false">SUMIFS('Por foco'!$N$2:$N$579,'Por foco'!$A$2:$A$579,$A9,'Por foco'!$B$2:$B$579,$B9)</f>
        <v>0</v>
      </c>
      <c r="M9" s="3" t="n">
        <f aca="false">SUMIFS('Por foco'!$O$2:$O$579,'Por foco'!$A$2:$A$579,$A9,'Por foco'!$B$2:$B$579,$B9)</f>
        <v>75</v>
      </c>
      <c r="N9" s="3" t="n">
        <f aca="false">SUMIFS('Por foco'!$P$2:$P$579,'Por foco'!$A$2:$A$579,$A9,'Por foco'!$B$2:$B$579,$B9)</f>
        <v>0</v>
      </c>
      <c r="O9" s="3" t="n">
        <f aca="false">SUMIFS('Por foco'!$Q$2:$Q$579,'Por foco'!$A$2:$A$579,$A9,'Por foco'!$B$2:$B$579,$B9)</f>
        <v>5</v>
      </c>
      <c r="P9" s="3" t="n">
        <f aca="false">SUMIFS('Por foco'!$R$2:$R$579,'Por foco'!$A$2:$A$579,$A9,'Por foco'!$B$2:$B$579,$B9)</f>
        <v>0</v>
      </c>
      <c r="Q9" s="3" t="n">
        <f aca="false">SUMIFS('Por foco'!$S$2:$S$579,'Por foco'!$A$2:$A$579,$A9,'Por foco'!$B$2:$B$579,$B9)</f>
        <v>0</v>
      </c>
      <c r="R9" s="3" t="n">
        <f aca="false">SUMIFS('Por foco'!$T$2:$T$579,'Por foco'!$A$2:$A$579,$A9,'Por foco'!$B$2:$B$579,$B9)</f>
        <v>2</v>
      </c>
      <c r="S9" s="3" t="n">
        <f aca="false">SUMIFS('Por foco'!$U$2:$U$579,'Por foco'!$A$2:$A$579,$A9,'Por foco'!$B$2:$B$579,$B9)</f>
        <v>0</v>
      </c>
      <c r="T9" s="3" t="n">
        <f aca="false">SUMIFS('Por foco'!$V$2:$V$579,'Por foco'!$A$2:$A$579,$A9,'Por foco'!$B$2:$B$579,$B9)</f>
        <v>2</v>
      </c>
      <c r="U9" s="3" t="n">
        <f aca="false">SUMIFS('Por foco'!$W$2:$W$579,'Por foco'!$A$2:$A$579,$A9,'Por foco'!$B$2:$B$579,$B9)</f>
        <v>0</v>
      </c>
      <c r="V9" s="3" t="n">
        <f aca="false">SUMIFS('Por foco'!$X$2:$X$579,'Por foco'!$A$2:$A$579,$A9,'Por foco'!$B$2:$B$579,$B9)</f>
        <v>0</v>
      </c>
      <c r="W9" s="3" t="n">
        <f aca="false">SUMIFS('Por foco'!$Y$2:$Y$579,'Por foco'!$A$2:$A$579,$A9,'Por foco'!$B$2:$B$579,$B9)</f>
        <v>150</v>
      </c>
      <c r="X9" s="3" t="n">
        <f aca="false">SUMIFS('Por foco'!$Z$2:$Z$579,'Por foco'!$A$2:$A$579,$A9,'Por foco'!$B$2:$B$579,$B9)</f>
        <v>0</v>
      </c>
      <c r="Y9" s="3" t="n">
        <f aca="false">SUMIFS('Por foco'!$AA$2:$AA$579,'Por foco'!$A$2:$A$579,$A9,'Por foco'!$B$2:$B$579,$B9)</f>
        <v>0</v>
      </c>
      <c r="Z9" s="3" t="n">
        <f aca="false">SUMIFS('Por foco'!$AB$2:$AB$579,'Por foco'!$A$2:$A$579,$A9,'Por foco'!$B$2:$B$579,$B9)</f>
        <v>0</v>
      </c>
      <c r="AA9" s="3" t="n">
        <f aca="false">SUMIFS('Por foco'!$AC$2:$AC$579,'Por foco'!$A$2:$A$579,$A9,'Por foco'!$B$2:$B$579,$B9)</f>
        <v>0</v>
      </c>
      <c r="AB9" s="3" t="n">
        <f aca="false">SUMIFS('Por foco'!$AD$2:$AD$579,'Por foco'!$A$2:$A$579,$A9,'Por foco'!$B$2:$B$579,$B9)</f>
        <v>0</v>
      </c>
      <c r="AC9" s="3" t="n">
        <f aca="false">SUMIFS('Por foco'!$AE$2:$AE$579,'Por foco'!$A$2:$A$579,$A9,'Por foco'!$B$2:$B$579,$B9)</f>
        <v>0</v>
      </c>
      <c r="AD9" s="3" t="n">
        <f aca="false">SUMIFS('Por foco'!$AF$2:$AF$579,'Por foco'!$A$2:$A$579,$A9,'Por foco'!$B$2:$B$579,$B9)</f>
        <v>0</v>
      </c>
      <c r="AE9" s="3" t="n">
        <f aca="false">SUMIFS('Por foco'!$AG$2:$AG$579,'Por foco'!$A$2:$A$579,$A9,'Por foco'!$B$2:$B$579,$B9)</f>
        <v>0</v>
      </c>
      <c r="AF9" s="3" t="n">
        <f aca="false">SUMIFS('Por foco'!$AH$2:$AH$579,'Por foco'!$A$2:$A$579,$A9,'Por foco'!$B$2:$B$579,$B9)</f>
        <v>0</v>
      </c>
      <c r="AG9" s="3" t="n">
        <f aca="false">SUMIFS('Por foco'!$AI$2:$AI$579,'Por foco'!$A$2:$A$579,$A9,'Por foco'!$B$2:$B$579,$B9)</f>
        <v>0</v>
      </c>
      <c r="AH9" s="3" t="n">
        <f aca="false">SUMIFS('Por foco'!$AJ$2:$AJ$579,'Por foco'!$A$2:$A$579,$A9,'Por foco'!$B$2:$B$579,$B9)</f>
        <v>0</v>
      </c>
      <c r="AI9" s="3" t="n">
        <f aca="false">SUMIFS('Por foco'!$AK$2:$AK$579,'Por foco'!$A$2:$A$579,$A9,'Por foco'!$B$2:$B$579,$B9)</f>
        <v>0</v>
      </c>
      <c r="AJ9" s="3" t="n">
        <f aca="false">SUMIFS('Por foco'!$AL$2:$AL$579,'Por foco'!$A$2:$A$579,$A9,'Por foco'!$B$2:$B$579,$B9)</f>
        <v>0</v>
      </c>
      <c r="AK9" s="3" t="n">
        <f aca="false">SUMIFS('Por foco'!$AM$2:$AM$579,'Por foco'!$A$2:$A$579,$A9,'Por foco'!$B$2:$B$579,$B9)</f>
        <v>0</v>
      </c>
      <c r="AL9" s="3" t="n">
        <f aca="false">SUMIFS('Por foco'!$AN$2:$AN$579,'Por foco'!$A$2:$A$579,$A9,'Por foco'!$B$2:$B$579,$B9)</f>
        <v>0</v>
      </c>
      <c r="AM9" s="3" t="n">
        <f aca="false">SUMIFS('Por foco'!$AO$2:$AO$579,'Por foco'!$A$2:$A$579,$A9,'Por foco'!$B$2:$B$579,$B9)</f>
        <v>0</v>
      </c>
      <c r="AN9" s="3" t="n">
        <f aca="false">SUMIFS('Por foco'!$AP$2:$AP$579,'Por foco'!$A$2:$A$579,$A9,'Por foco'!$B$2:$B$579,$B9)</f>
        <v>0</v>
      </c>
      <c r="AO9" s="3" t="n">
        <f aca="false">SUMIFS('Por foco'!$AQ$2:$AQ$579,'Por foco'!$A$2:$A$579,$A9,'Por foco'!$B$2:$B$579,$B9)</f>
        <v>0</v>
      </c>
      <c r="AP9" s="3" t="n">
        <f aca="false">SUMIFS('Por foco'!$AR$2:$AR$579,'Por foco'!$A$2:$A$579,$A9,'Por foco'!$B$2:$B$579,$B9)</f>
        <v>-0.4</v>
      </c>
      <c r="AQ9" s="3" t="n">
        <f aca="false">SUMIFS('Por foco'!$AS$2:$AS$579,'Por foco'!$A$2:$A$579,$A9,'Por foco'!$B$2:$B$579,$B9)</f>
        <v>0</v>
      </c>
      <c r="AR9" s="3" t="n">
        <f aca="false">SUMIFS('Por foco'!$AT$2:$AT$579,'Por foco'!$A$2:$A$579,$A9,'Por foco'!$B$2:$B$579,$B9)</f>
        <v>0</v>
      </c>
      <c r="AS9" s="3" t="n">
        <f aca="false">SUMIFS('Por foco'!$AU$2:$AU$579,'Por foco'!$A$2:$A$579,$A9,'Por foco'!$B$2:$B$579,$B9)</f>
        <v>-1</v>
      </c>
      <c r="AT9" s="3" t="n">
        <f aca="false">SUMIFS('Por foco'!$AV$2:$AV$579,'Por foco'!$A$2:$A$579,$A9,'Por foco'!$B$2:$B$579,$B9)</f>
        <v>0</v>
      </c>
      <c r="AU9" s="3" t="n">
        <f aca="false">SUMIFS('Por foco'!$AW$2:$AW$579,'Por foco'!$A$2:$A$579,$A9,'Por foco'!$B$2:$B$579,$B9)</f>
        <v>0</v>
      </c>
      <c r="AV9" s="3" t="n">
        <f aca="false">SUMIFS('Por foco'!$AX$2:$AX$579,'Por foco'!$A$2:$A$579,$A9,'Por foco'!$B$2:$B$579,$B9)</f>
        <v>0</v>
      </c>
      <c r="AW9" s="3" t="n">
        <f aca="false">SUMIFS('Por foco'!$AY$2:$AY$579,'Por foco'!$A$2:$A$579,$A9,'Por foco'!$B$2:$B$579,$B9)</f>
        <v>0</v>
      </c>
      <c r="AX9" s="3" t="n">
        <f aca="false">SUMIFS('Por foco'!$AZ$2:$AZ$579,'Por foco'!$A$2:$A$579,$A9,'Por foco'!$B$2:$B$579,$B9)</f>
        <v>0</v>
      </c>
      <c r="AY9" s="3" t="n">
        <f aca="false">SUMIFS('Por foco'!$BA$2:$BA$579,'Por foco'!$A$2:$A$579,$A9,'Por foco'!$B$2:$B$579,$B9)</f>
        <v>0</v>
      </c>
      <c r="AZ9" s="3" t="n">
        <f aca="false">SUMIFS('Por foco'!$BB$2:$BB$579,'Por foco'!$A$2:$A$579,$A9,'Por foco'!$B$2:$B$579,$B9)</f>
        <v>0</v>
      </c>
      <c r="BA9" s="3" t="n">
        <f aca="false">SUMIFS('Por foco'!$BC$2:$BC$579,'Por foco'!$A$2:$A$579,$A9,'Por foco'!$B$2:$B$579,$B9)</f>
        <v>0</v>
      </c>
      <c r="BB9" s="3" t="n">
        <f aca="false">SUMIFS('Por foco'!$BD$2:$BD$579,'Por foco'!$A$2:$A$579,$A9,'Por foco'!$B$2:$B$579,$B9)</f>
        <v>0</v>
      </c>
      <c r="BC9" s="3" t="n">
        <f aca="false">SUMIFS('Por foco'!$BE$2:$BE$579,'Por foco'!$A$2:$A$579,$A9,'Por foco'!$B$2:$B$579,$B9)</f>
        <v>0</v>
      </c>
      <c r="BD9" s="3" t="n">
        <f aca="false">SUMIFS('Por foco'!$BF$2:$BF$579,'Por foco'!$A$2:$A$579,$A9,'Por foco'!$B$2:$B$579,$B9)</f>
        <v>0</v>
      </c>
      <c r="BE9" s="3" t="n">
        <f aca="false">SUMIFS('Por foco'!$BG$2:$BG$579,'Por foco'!$A$2:$A$579,$A9,'Por foco'!$B$2:$B$579,$B9)</f>
        <v>0</v>
      </c>
    </row>
    <row r="10" customFormat="false" ht="15" hidden="false" customHeight="false" outlineLevel="0" collapsed="false">
      <c r="A10" s="3" t="s">
        <v>60</v>
      </c>
      <c r="B10" s="3" t="s">
        <v>86</v>
      </c>
      <c r="C10" s="3" t="n">
        <f aca="false">COUNTIFS('Por foco'!$A$2:$A$579,$A10,'Por foco'!$B$2:$B$579,$B10)</f>
        <v>7</v>
      </c>
      <c r="D10" s="6" t="n">
        <f aca="false">SUMIFS('Por foco'!$F$2:$F$579,'Por foco'!$A$2:$A$579,$A10,'Por foco'!$B$2:$B$579,$B10)</f>
        <v>304.4</v>
      </c>
      <c r="E10" s="3" t="n">
        <f aca="false">IF(C10=0,0,SUMIFS('Por foco'!$E$2:$E$579,'Por foco'!$A$2:$A$579,$A10,'Por foco'!$B$2:$B$579,$B10)/C10)</f>
        <v>1</v>
      </c>
      <c r="F10" s="3" t="n">
        <f aca="false">SUMIFS('Por foco'!$H$2:$H$579,'Por foco'!$A$2:$A$579,$A10,'Por foco'!$B$2:$B$579,$B10)</f>
        <v>448</v>
      </c>
      <c r="G10" s="3" t="n">
        <f aca="false">SUMIFS('Por foco'!$I$2:$I$579,'Por foco'!$A$2:$A$579,$A10,'Por foco'!$B$2:$B$579,$B10)</f>
        <v>150</v>
      </c>
      <c r="H10" s="3" t="n">
        <f aca="false">SUMIFS('Por foco'!$J$2:$J$579,'Por foco'!$A$2:$A$579,$A10,'Por foco'!$B$2:$B$579,$B10)</f>
        <v>0</v>
      </c>
      <c r="I10" s="3" t="n">
        <f aca="false">SUMIFS('Por foco'!$K$2:$K$579,'Por foco'!$A$2:$A$579,$A10,'Por foco'!$B$2:$B$579,$B10)</f>
        <v>0</v>
      </c>
      <c r="J10" s="3" t="n">
        <f aca="false">SUMIFS('Por foco'!$L$2:$L$579,'Por foco'!$A$2:$A$579,$A10,'Por foco'!$B$2:$B$579,$B10)</f>
        <v>0</v>
      </c>
      <c r="K10" s="3" t="n">
        <f aca="false">SUMIFS('Por foco'!$M$2:$M$579,'Por foco'!$A$2:$A$579,$A10,'Por foco'!$B$2:$B$579,$B10)</f>
        <v>0</v>
      </c>
      <c r="L10" s="3" t="n">
        <f aca="false">SUMIFS('Por foco'!$N$2:$N$579,'Por foco'!$A$2:$A$579,$A10,'Por foco'!$B$2:$B$579,$B10)</f>
        <v>0</v>
      </c>
      <c r="M10" s="3" t="n">
        <f aca="false">SUMIFS('Por foco'!$O$2:$O$579,'Por foco'!$A$2:$A$579,$A10,'Por foco'!$B$2:$B$579,$B10)</f>
        <v>0</v>
      </c>
      <c r="N10" s="3" t="n">
        <f aca="false">SUMIFS('Por foco'!$P$2:$P$579,'Por foco'!$A$2:$A$579,$A10,'Por foco'!$B$2:$B$579,$B10)</f>
        <v>1</v>
      </c>
      <c r="O10" s="3" t="n">
        <f aca="false">SUMIFS('Por foco'!$Q$2:$Q$579,'Por foco'!$A$2:$A$579,$A10,'Por foco'!$B$2:$B$579,$B10)</f>
        <v>0</v>
      </c>
      <c r="P10" s="3" t="n">
        <f aca="false">SUMIFS('Por foco'!$R$2:$R$579,'Por foco'!$A$2:$A$579,$A10,'Por foco'!$B$2:$B$579,$B10)</f>
        <v>0</v>
      </c>
      <c r="Q10" s="3" t="n">
        <f aca="false">SUMIFS('Por foco'!$S$2:$S$579,'Por foco'!$A$2:$A$579,$A10,'Por foco'!$B$2:$B$579,$B10)</f>
        <v>0</v>
      </c>
      <c r="R10" s="3" t="n">
        <f aca="false">SUMIFS('Por foco'!$T$2:$T$579,'Por foco'!$A$2:$A$579,$A10,'Por foco'!$B$2:$B$579,$B10)</f>
        <v>0</v>
      </c>
      <c r="S10" s="3" t="n">
        <f aca="false">SUMIFS('Por foco'!$U$2:$U$579,'Por foco'!$A$2:$A$579,$A10,'Por foco'!$B$2:$B$579,$B10)</f>
        <v>0</v>
      </c>
      <c r="T10" s="3" t="n">
        <f aca="false">SUMIFS('Por foco'!$V$2:$V$579,'Por foco'!$A$2:$A$579,$A10,'Por foco'!$B$2:$B$579,$B10)</f>
        <v>0</v>
      </c>
      <c r="U10" s="3" t="n">
        <f aca="false">SUMIFS('Por foco'!$W$2:$W$579,'Por foco'!$A$2:$A$579,$A10,'Por foco'!$B$2:$B$579,$B10)</f>
        <v>0</v>
      </c>
      <c r="V10" s="3" t="n">
        <f aca="false">SUMIFS('Por foco'!$X$2:$X$579,'Por foco'!$A$2:$A$579,$A10,'Por foco'!$B$2:$B$579,$B10)</f>
        <v>0</v>
      </c>
      <c r="W10" s="3" t="n">
        <f aca="false">SUMIFS('Por foco'!$Y$2:$Y$579,'Por foco'!$A$2:$A$579,$A10,'Por foco'!$B$2:$B$579,$B10)</f>
        <v>0</v>
      </c>
      <c r="X10" s="3" t="n">
        <f aca="false">SUMIFS('Por foco'!$Z$2:$Z$579,'Por foco'!$A$2:$A$579,$A10,'Por foco'!$B$2:$B$579,$B10)</f>
        <v>0</v>
      </c>
      <c r="Y10" s="3" t="n">
        <f aca="false">SUMIFS('Por foco'!$AA$2:$AA$579,'Por foco'!$A$2:$A$579,$A10,'Por foco'!$B$2:$B$579,$B10)</f>
        <v>0</v>
      </c>
      <c r="Z10" s="3" t="n">
        <f aca="false">SUMIFS('Por foco'!$AB$2:$AB$579,'Por foco'!$A$2:$A$579,$A10,'Por foco'!$B$2:$B$579,$B10)</f>
        <v>-7.4</v>
      </c>
      <c r="AA10" s="3" t="n">
        <f aca="false">SUMIFS('Por foco'!$AC$2:$AC$579,'Por foco'!$A$2:$A$579,$A10,'Por foco'!$B$2:$B$579,$B10)</f>
        <v>0</v>
      </c>
      <c r="AB10" s="3" t="n">
        <f aca="false">SUMIFS('Por foco'!$AD$2:$AD$579,'Por foco'!$A$2:$A$579,$A10,'Por foco'!$B$2:$B$579,$B10)</f>
        <v>0</v>
      </c>
      <c r="AC10" s="3" t="n">
        <f aca="false">SUMIFS('Por foco'!$AE$2:$AE$579,'Por foco'!$A$2:$A$579,$A10,'Por foco'!$B$2:$B$579,$B10)</f>
        <v>0</v>
      </c>
      <c r="AD10" s="3" t="n">
        <f aca="false">SUMIFS('Por foco'!$AF$2:$AF$579,'Por foco'!$A$2:$A$579,$A10,'Por foco'!$B$2:$B$579,$B10)</f>
        <v>0</v>
      </c>
      <c r="AE10" s="3" t="n">
        <f aca="false">SUMIFS('Por foco'!$AG$2:$AG$579,'Por foco'!$A$2:$A$579,$A10,'Por foco'!$B$2:$B$579,$B10)</f>
        <v>-10</v>
      </c>
      <c r="AF10" s="3" t="n">
        <f aca="false">SUMIFS('Por foco'!$AH$2:$AH$579,'Por foco'!$A$2:$A$579,$A10,'Por foco'!$B$2:$B$579,$B10)</f>
        <v>0</v>
      </c>
      <c r="AG10" s="3" t="n">
        <f aca="false">SUMIFS('Por foco'!$AI$2:$AI$579,'Por foco'!$A$2:$A$579,$A10,'Por foco'!$B$2:$B$579,$B10)</f>
        <v>0</v>
      </c>
      <c r="AH10" s="3" t="n">
        <f aca="false">SUMIFS('Por foco'!$AJ$2:$AJ$579,'Por foco'!$A$2:$A$579,$A10,'Por foco'!$B$2:$B$579,$B10)</f>
        <v>10</v>
      </c>
      <c r="AI10" s="3" t="n">
        <f aca="false">SUMIFS('Por foco'!$AK$2:$AK$579,'Por foco'!$A$2:$A$579,$A10,'Por foco'!$B$2:$B$579,$B10)</f>
        <v>0</v>
      </c>
      <c r="AJ10" s="3" t="n">
        <f aca="false">SUMIFS('Por foco'!$AL$2:$AL$579,'Por foco'!$A$2:$A$579,$A10,'Por foco'!$B$2:$B$579,$B10)</f>
        <v>0</v>
      </c>
      <c r="AK10" s="3" t="n">
        <f aca="false">SUMIFS('Por foco'!$AM$2:$AM$579,'Por foco'!$A$2:$A$579,$A10,'Por foco'!$B$2:$B$579,$B10)</f>
        <v>0</v>
      </c>
      <c r="AL10" s="3" t="n">
        <f aca="false">SUMIFS('Por foco'!$AN$2:$AN$579,'Por foco'!$A$2:$A$579,$A10,'Por foco'!$B$2:$B$579,$B10)</f>
        <v>0</v>
      </c>
      <c r="AM10" s="3" t="n">
        <f aca="false">SUMIFS('Por foco'!$AO$2:$AO$579,'Por foco'!$A$2:$A$579,$A10,'Por foco'!$B$2:$B$579,$B10)</f>
        <v>0</v>
      </c>
      <c r="AN10" s="3" t="n">
        <f aca="false">SUMIFS('Por foco'!$AP$2:$AP$579,'Por foco'!$A$2:$A$579,$A10,'Por foco'!$B$2:$B$579,$B10)</f>
        <v>0</v>
      </c>
      <c r="AO10" s="3" t="n">
        <f aca="false">SUMIFS('Por foco'!$AQ$2:$AQ$579,'Por foco'!$A$2:$A$579,$A10,'Por foco'!$B$2:$B$579,$B10)</f>
        <v>0</v>
      </c>
      <c r="AP10" s="3" t="n">
        <f aca="false">SUMIFS('Por foco'!$AR$2:$AR$579,'Por foco'!$A$2:$A$579,$A10,'Por foco'!$B$2:$B$579,$B10)</f>
        <v>3.2</v>
      </c>
      <c r="AQ10" s="3" t="n">
        <f aca="false">SUMIFS('Por foco'!$AS$2:$AS$579,'Por foco'!$A$2:$A$579,$A10,'Por foco'!$B$2:$B$579,$B10)</f>
        <v>0</v>
      </c>
      <c r="AR10" s="3" t="n">
        <f aca="false">SUMIFS('Por foco'!$AT$2:$AT$579,'Por foco'!$A$2:$A$579,$A10,'Por foco'!$B$2:$B$579,$B10)</f>
        <v>10</v>
      </c>
      <c r="AS10" s="3" t="n">
        <f aca="false">SUMIFS('Por foco'!$AU$2:$AU$579,'Por foco'!$A$2:$A$579,$A10,'Por foco'!$B$2:$B$579,$B10)</f>
        <v>18</v>
      </c>
      <c r="AT10" s="3" t="n">
        <f aca="false">SUMIFS('Por foco'!$AV$2:$AV$579,'Por foco'!$A$2:$A$579,$A10,'Por foco'!$B$2:$B$579,$B10)</f>
        <v>0</v>
      </c>
      <c r="AU10" s="3" t="n">
        <f aca="false">SUMIFS('Por foco'!$AW$2:$AW$579,'Por foco'!$A$2:$A$579,$A10,'Por foco'!$B$2:$B$579,$B10)</f>
        <v>0</v>
      </c>
      <c r="AV10" s="3" t="n">
        <f aca="false">SUMIFS('Por foco'!$AX$2:$AX$579,'Por foco'!$A$2:$A$579,$A10,'Por foco'!$B$2:$B$579,$B10)</f>
        <v>0</v>
      </c>
      <c r="AW10" s="3" t="n">
        <f aca="false">SUMIFS('Por foco'!$AY$2:$AY$579,'Por foco'!$A$2:$A$579,$A10,'Por foco'!$B$2:$B$579,$B10)</f>
        <v>0</v>
      </c>
      <c r="AX10" s="3" t="n">
        <f aca="false">SUMIFS('Por foco'!$AZ$2:$AZ$579,'Por foco'!$A$2:$A$579,$A10,'Por foco'!$B$2:$B$579,$B10)</f>
        <v>0</v>
      </c>
      <c r="AY10" s="3" t="n">
        <f aca="false">SUMIFS('Por foco'!$BA$2:$BA$579,'Por foco'!$A$2:$A$579,$A10,'Por foco'!$B$2:$B$579,$B10)</f>
        <v>0</v>
      </c>
      <c r="AZ10" s="3" t="n">
        <f aca="false">SUMIFS('Por foco'!$BB$2:$BB$579,'Por foco'!$A$2:$A$579,$A10,'Por foco'!$B$2:$B$579,$B10)</f>
        <v>0</v>
      </c>
      <c r="BA10" s="3" t="n">
        <f aca="false">SUMIFS('Por foco'!$BC$2:$BC$579,'Por foco'!$A$2:$A$579,$A10,'Por foco'!$B$2:$B$579,$B10)</f>
        <v>0</v>
      </c>
      <c r="BB10" s="3" t="n">
        <f aca="false">SUMIFS('Por foco'!$BD$2:$BD$579,'Por foco'!$A$2:$A$579,$A10,'Por foco'!$B$2:$B$579,$B10)</f>
        <v>0</v>
      </c>
      <c r="BC10" s="3" t="n">
        <f aca="false">SUMIFS('Por foco'!$BE$2:$BE$579,'Por foco'!$A$2:$A$579,$A10,'Por foco'!$B$2:$B$579,$B10)</f>
        <v>0</v>
      </c>
      <c r="BD10" s="3" t="n">
        <f aca="false">SUMIFS('Por foco'!$BF$2:$BF$579,'Por foco'!$A$2:$A$579,$A10,'Por foco'!$B$2:$B$579,$B10)</f>
        <v>0</v>
      </c>
      <c r="BE10" s="3" t="n">
        <f aca="false">SUMIFS('Por foco'!$BG$2:$BG$579,'Por foco'!$A$2:$A$579,$A10,'Por foco'!$B$2:$B$579,$B10)</f>
        <v>0</v>
      </c>
    </row>
    <row r="11" customFormat="false" ht="15" hidden="false" customHeight="false" outlineLevel="0" collapsed="false">
      <c r="A11" s="3" t="s">
        <v>60</v>
      </c>
      <c r="B11" s="3" t="s">
        <v>87</v>
      </c>
      <c r="C11" s="3" t="n">
        <f aca="false">COUNTIFS('Por foco'!$A$2:$A$579,$A11,'Por foco'!$B$2:$B$579,$B11)</f>
        <v>6</v>
      </c>
      <c r="D11" s="6" t="n">
        <f aca="false">SUMIFS('Por foco'!$F$2:$F$579,'Por foco'!$A$2:$A$579,$A11,'Por foco'!$B$2:$B$579,$B11)</f>
        <v>1085</v>
      </c>
      <c r="E11" s="3" t="n">
        <f aca="false">IF(C11=0,0,SUMIFS('Por foco'!$E$2:$E$579,'Por foco'!$A$2:$A$579,$A11,'Por foco'!$B$2:$B$579,$B11)/C11)</f>
        <v>1</v>
      </c>
      <c r="F11" s="3" t="n">
        <f aca="false">SUMIFS('Por foco'!$H$2:$H$579,'Por foco'!$A$2:$A$579,$A11,'Por foco'!$B$2:$B$579,$B11)</f>
        <v>413</v>
      </c>
      <c r="G11" s="3" t="n">
        <f aca="false">SUMIFS('Por foco'!$I$2:$I$579,'Por foco'!$A$2:$A$579,$A11,'Por foco'!$B$2:$B$579,$B11)</f>
        <v>100</v>
      </c>
      <c r="H11" s="3" t="n">
        <f aca="false">SUMIFS('Por foco'!$J$2:$J$579,'Por foco'!$A$2:$A$579,$A11,'Por foco'!$B$2:$B$579,$B11)</f>
        <v>0</v>
      </c>
      <c r="I11" s="3" t="n">
        <f aca="false">SUMIFS('Por foco'!$K$2:$K$579,'Por foco'!$A$2:$A$579,$A11,'Por foco'!$B$2:$B$579,$B11)</f>
        <v>0</v>
      </c>
      <c r="J11" s="3" t="n">
        <f aca="false">SUMIFS('Por foco'!$L$2:$L$579,'Por foco'!$A$2:$A$579,$A11,'Por foco'!$B$2:$B$579,$B11)</f>
        <v>0</v>
      </c>
      <c r="K11" s="3" t="n">
        <f aca="false">SUMIFS('Por foco'!$M$2:$M$579,'Por foco'!$A$2:$A$579,$A11,'Por foco'!$B$2:$B$579,$B11)</f>
        <v>0</v>
      </c>
      <c r="L11" s="3" t="n">
        <f aca="false">SUMIFS('Por foco'!$N$2:$N$579,'Por foco'!$A$2:$A$579,$A11,'Por foco'!$B$2:$B$579,$B11)</f>
        <v>0</v>
      </c>
      <c r="M11" s="3" t="n">
        <f aca="false">SUMIFS('Por foco'!$O$2:$O$579,'Por foco'!$A$2:$A$579,$A11,'Por foco'!$B$2:$B$579,$B11)</f>
        <v>0</v>
      </c>
      <c r="N11" s="3" t="n">
        <f aca="false">SUMIFS('Por foco'!$P$2:$P$579,'Por foco'!$A$2:$A$579,$A11,'Por foco'!$B$2:$B$579,$B11)</f>
        <v>0</v>
      </c>
      <c r="O11" s="3" t="n">
        <f aca="false">SUMIFS('Por foco'!$Q$2:$Q$579,'Por foco'!$A$2:$A$579,$A11,'Por foco'!$B$2:$B$579,$B11)</f>
        <v>2</v>
      </c>
      <c r="P11" s="3" t="n">
        <f aca="false">SUMIFS('Por foco'!$R$2:$R$579,'Por foco'!$A$2:$A$579,$A11,'Por foco'!$B$2:$B$579,$B11)</f>
        <v>2</v>
      </c>
      <c r="Q11" s="3" t="n">
        <f aca="false">SUMIFS('Por foco'!$S$2:$S$579,'Por foco'!$A$2:$A$579,$A11,'Por foco'!$B$2:$B$579,$B11)</f>
        <v>0</v>
      </c>
      <c r="R11" s="3" t="n">
        <f aca="false">SUMIFS('Por foco'!$T$2:$T$579,'Por foco'!$A$2:$A$579,$A11,'Por foco'!$B$2:$B$579,$B11)</f>
        <v>0</v>
      </c>
      <c r="S11" s="3" t="n">
        <f aca="false">SUMIFS('Por foco'!$U$2:$U$579,'Por foco'!$A$2:$A$579,$A11,'Por foco'!$B$2:$B$579,$B11)</f>
        <v>0</v>
      </c>
      <c r="T11" s="3" t="n">
        <f aca="false">SUMIFS('Por foco'!$V$2:$V$579,'Por foco'!$A$2:$A$579,$A11,'Por foco'!$B$2:$B$579,$B11)</f>
        <v>0</v>
      </c>
      <c r="U11" s="3" t="n">
        <f aca="false">SUMIFS('Por foco'!$W$2:$W$579,'Por foco'!$A$2:$A$579,$A11,'Por foco'!$B$2:$B$579,$B11)</f>
        <v>0</v>
      </c>
      <c r="V11" s="3" t="n">
        <f aca="false">SUMIFS('Por foco'!$X$2:$X$579,'Por foco'!$A$2:$A$579,$A11,'Por foco'!$B$2:$B$579,$B11)</f>
        <v>0</v>
      </c>
      <c r="W11" s="3" t="n">
        <f aca="false">SUMIFS('Por foco'!$Y$2:$Y$579,'Por foco'!$A$2:$A$579,$A11,'Por foco'!$B$2:$B$579,$B11)</f>
        <v>0</v>
      </c>
      <c r="X11" s="3" t="n">
        <f aca="false">SUMIFS('Por foco'!$Z$2:$Z$579,'Por foco'!$A$2:$A$579,$A11,'Por foco'!$B$2:$B$579,$B11)</f>
        <v>0</v>
      </c>
      <c r="Y11" s="3" t="n">
        <f aca="false">SUMIFS('Por foco'!$AA$2:$AA$579,'Por foco'!$A$2:$A$579,$A11,'Por foco'!$B$2:$B$579,$B11)</f>
        <v>0</v>
      </c>
      <c r="Z11" s="3" t="n">
        <f aca="false">SUMIFS('Por foco'!$AB$2:$AB$579,'Por foco'!$A$2:$A$579,$A11,'Por foco'!$B$2:$B$579,$B11)</f>
        <v>13.5</v>
      </c>
      <c r="AA11" s="3" t="n">
        <f aca="false">SUMIFS('Por foco'!$AC$2:$AC$579,'Por foco'!$A$2:$A$579,$A11,'Por foco'!$B$2:$B$579,$B11)</f>
        <v>0</v>
      </c>
      <c r="AB11" s="3" t="n">
        <f aca="false">SUMIFS('Por foco'!$AD$2:$AD$579,'Por foco'!$A$2:$A$579,$A11,'Por foco'!$B$2:$B$579,$B11)</f>
        <v>0</v>
      </c>
      <c r="AC11" s="3" t="n">
        <f aca="false">SUMIFS('Por foco'!$AE$2:$AE$579,'Por foco'!$A$2:$A$579,$A11,'Por foco'!$B$2:$B$579,$B11)</f>
        <v>0</v>
      </c>
      <c r="AD11" s="3" t="n">
        <f aca="false">SUMIFS('Por foco'!$AF$2:$AF$579,'Por foco'!$A$2:$A$579,$A11,'Por foco'!$B$2:$B$579,$B11)</f>
        <v>0</v>
      </c>
      <c r="AE11" s="3" t="n">
        <f aca="false">SUMIFS('Por foco'!$AG$2:$AG$579,'Por foco'!$A$2:$A$579,$A11,'Por foco'!$B$2:$B$579,$B11)</f>
        <v>10</v>
      </c>
      <c r="AF11" s="3" t="n">
        <f aca="false">SUMIFS('Por foco'!$AH$2:$AH$579,'Por foco'!$A$2:$A$579,$A11,'Por foco'!$B$2:$B$579,$B11)</f>
        <v>0</v>
      </c>
      <c r="AG11" s="3" t="n">
        <f aca="false">SUMIFS('Por foco'!$AI$2:$AI$579,'Por foco'!$A$2:$A$579,$A11,'Por foco'!$B$2:$B$579,$B11)</f>
        <v>5</v>
      </c>
      <c r="AH11" s="3" t="n">
        <f aca="false">SUMIFS('Por foco'!$AJ$2:$AJ$579,'Por foco'!$A$2:$A$579,$A11,'Por foco'!$B$2:$B$579,$B11)</f>
        <v>20</v>
      </c>
      <c r="AI11" s="3" t="n">
        <f aca="false">SUMIFS('Por foco'!$AK$2:$AK$579,'Por foco'!$A$2:$A$579,$A11,'Por foco'!$B$2:$B$579,$B11)</f>
        <v>0</v>
      </c>
      <c r="AJ11" s="3" t="n">
        <f aca="false">SUMIFS('Por foco'!$AL$2:$AL$579,'Por foco'!$A$2:$A$579,$A11,'Por foco'!$B$2:$B$579,$B11)</f>
        <v>0</v>
      </c>
      <c r="AK11" s="3" t="n">
        <f aca="false">SUMIFS('Por foco'!$AM$2:$AM$579,'Por foco'!$A$2:$A$579,$A11,'Por foco'!$B$2:$B$579,$B11)</f>
        <v>0</v>
      </c>
      <c r="AL11" s="3" t="n">
        <f aca="false">SUMIFS('Por foco'!$AN$2:$AN$579,'Por foco'!$A$2:$A$579,$A11,'Por foco'!$B$2:$B$579,$B11)</f>
        <v>0</v>
      </c>
      <c r="AM11" s="3" t="n">
        <f aca="false">SUMIFS('Por foco'!$AO$2:$AO$579,'Por foco'!$A$2:$A$579,$A11,'Por foco'!$B$2:$B$579,$B11)</f>
        <v>0</v>
      </c>
      <c r="AN11" s="3" t="n">
        <f aca="false">SUMIFS('Por foco'!$AP$2:$AP$579,'Por foco'!$A$2:$A$579,$A11,'Por foco'!$B$2:$B$579,$B11)</f>
        <v>0</v>
      </c>
      <c r="AO11" s="3" t="n">
        <f aca="false">SUMIFS('Por foco'!$AQ$2:$AQ$579,'Por foco'!$A$2:$A$579,$A11,'Por foco'!$B$2:$B$579,$B11)</f>
        <v>0</v>
      </c>
      <c r="AP11" s="3" t="n">
        <f aca="false">SUMIFS('Por foco'!$AR$2:$AR$579,'Por foco'!$A$2:$A$579,$A11,'Por foco'!$B$2:$B$579,$B11)</f>
        <v>0</v>
      </c>
      <c r="AQ11" s="3" t="n">
        <f aca="false">SUMIFS('Por foco'!$AS$2:$AS$579,'Por foco'!$A$2:$A$579,$A11,'Por foco'!$B$2:$B$579,$B11)</f>
        <v>0</v>
      </c>
      <c r="AR11" s="3" t="n">
        <f aca="false">SUMIFS('Por foco'!$AT$2:$AT$579,'Por foco'!$A$2:$A$579,$A11,'Por foco'!$B$2:$B$579,$B11)</f>
        <v>10</v>
      </c>
      <c r="AS11" s="3" t="n">
        <f aca="false">SUMIFS('Por foco'!$AU$2:$AU$579,'Por foco'!$A$2:$A$579,$A11,'Por foco'!$B$2:$B$579,$B11)</f>
        <v>15</v>
      </c>
      <c r="AT11" s="3" t="n">
        <f aca="false">SUMIFS('Por foco'!$AV$2:$AV$579,'Por foco'!$A$2:$A$579,$A11,'Por foco'!$B$2:$B$579,$B11)</f>
        <v>0</v>
      </c>
      <c r="AU11" s="3" t="n">
        <f aca="false">SUMIFS('Por foco'!$AW$2:$AW$579,'Por foco'!$A$2:$A$579,$A11,'Por foco'!$B$2:$B$579,$B11)</f>
        <v>0</v>
      </c>
      <c r="AV11" s="3" t="n">
        <f aca="false">SUMIFS('Por foco'!$AX$2:$AX$579,'Por foco'!$A$2:$A$579,$A11,'Por foco'!$B$2:$B$579,$B11)</f>
        <v>0</v>
      </c>
      <c r="AW11" s="3" t="n">
        <f aca="false">SUMIFS('Por foco'!$AY$2:$AY$579,'Por foco'!$A$2:$A$579,$A11,'Por foco'!$B$2:$B$579,$B11)</f>
        <v>0</v>
      </c>
      <c r="AX11" s="3" t="n">
        <f aca="false">SUMIFS('Por foco'!$AZ$2:$AZ$579,'Por foco'!$A$2:$A$579,$A11,'Por foco'!$B$2:$B$579,$B11)</f>
        <v>0</v>
      </c>
      <c r="AY11" s="3" t="n">
        <f aca="false">SUMIFS('Por foco'!$BA$2:$BA$579,'Por foco'!$A$2:$A$579,$A11,'Por foco'!$B$2:$B$579,$B11)</f>
        <v>0</v>
      </c>
      <c r="AZ11" s="3" t="n">
        <f aca="false">SUMIFS('Por foco'!$BB$2:$BB$579,'Por foco'!$A$2:$A$579,$A11,'Por foco'!$B$2:$B$579,$B11)</f>
        <v>0</v>
      </c>
      <c r="BA11" s="3" t="n">
        <f aca="false">SUMIFS('Por foco'!$BC$2:$BC$579,'Por foco'!$A$2:$A$579,$A11,'Por foco'!$B$2:$B$579,$B11)</f>
        <v>0</v>
      </c>
      <c r="BB11" s="3" t="n">
        <f aca="false">SUMIFS('Por foco'!$BD$2:$BD$579,'Por foco'!$A$2:$A$579,$A11,'Por foco'!$B$2:$B$579,$B11)</f>
        <v>0</v>
      </c>
      <c r="BC11" s="3" t="n">
        <f aca="false">SUMIFS('Por foco'!$BE$2:$BE$579,'Por foco'!$A$2:$A$579,$A11,'Por foco'!$B$2:$B$579,$B11)</f>
        <v>0</v>
      </c>
      <c r="BD11" s="3" t="n">
        <f aca="false">SUMIFS('Por foco'!$BF$2:$BF$579,'Por foco'!$A$2:$A$579,$A11,'Por foco'!$B$2:$B$579,$B11)</f>
        <v>0</v>
      </c>
      <c r="BE11" s="3" t="n">
        <f aca="false">SUMIFS('Por foco'!$BG$2:$BG$579,'Por foco'!$A$2:$A$579,$A11,'Por foco'!$B$2:$B$579,$B11)</f>
        <v>0</v>
      </c>
    </row>
    <row r="12" customFormat="false" ht="15" hidden="false" customHeight="false" outlineLevel="0" collapsed="false">
      <c r="A12" s="3" t="s">
        <v>61</v>
      </c>
      <c r="B12" s="3" t="s">
        <v>88</v>
      </c>
      <c r="C12" s="3" t="n">
        <f aca="false">COUNTIFS('Por foco'!$A$2:$A$579,$A12,'Por foco'!$B$2:$B$579,$B12)</f>
        <v>9</v>
      </c>
      <c r="D12" s="6" t="n">
        <f aca="false">SUMIFS('Por foco'!$F$2:$F$579,'Por foco'!$A$2:$A$579,$A12,'Por foco'!$B$2:$B$579,$B12)</f>
        <v>1241</v>
      </c>
      <c r="E12" s="3" t="n">
        <f aca="false">IF(C12=0,0,SUMIFS('Por foco'!$E$2:$E$579,'Por foco'!$A$2:$A$579,$A12,'Por foco'!$B$2:$B$579,$B12)/C12)</f>
        <v>0.611111111111111</v>
      </c>
      <c r="F12" s="3" t="n">
        <f aca="false">SUMIFS('Por foco'!$H$2:$H$579,'Por foco'!$A$2:$A$579,$A12,'Por foco'!$B$2:$B$579,$B12)</f>
        <v>560</v>
      </c>
      <c r="G12" s="3" t="n">
        <f aca="false">SUMIFS('Por foco'!$I$2:$I$579,'Por foco'!$A$2:$A$579,$A12,'Por foco'!$B$2:$B$579,$B12)</f>
        <v>300</v>
      </c>
      <c r="H12" s="3" t="n">
        <f aca="false">SUMIFS('Por foco'!$J$2:$J$579,'Por foco'!$A$2:$A$579,$A12,'Por foco'!$B$2:$B$579,$B12)</f>
        <v>0</v>
      </c>
      <c r="I12" s="3" t="n">
        <f aca="false">SUMIFS('Por foco'!$K$2:$K$579,'Por foco'!$A$2:$A$579,$A12,'Por foco'!$B$2:$B$579,$B12)</f>
        <v>5</v>
      </c>
      <c r="J12" s="3" t="n">
        <f aca="false">SUMIFS('Por foco'!$L$2:$L$579,'Por foco'!$A$2:$A$579,$A12,'Por foco'!$B$2:$B$579,$B12)</f>
        <v>0</v>
      </c>
      <c r="K12" s="3" t="n">
        <f aca="false">SUMIFS('Por foco'!$M$2:$M$579,'Por foco'!$A$2:$A$579,$A12,'Por foco'!$B$2:$B$579,$B12)</f>
        <v>50</v>
      </c>
      <c r="L12" s="3" t="n">
        <f aca="false">SUMIFS('Por foco'!$N$2:$N$579,'Por foco'!$A$2:$A$579,$A12,'Por foco'!$B$2:$B$579,$B12)</f>
        <v>0</v>
      </c>
      <c r="M12" s="3" t="n">
        <f aca="false">SUMIFS('Por foco'!$O$2:$O$579,'Por foco'!$A$2:$A$579,$A12,'Por foco'!$B$2:$B$579,$B12)</f>
        <v>0</v>
      </c>
      <c r="N12" s="3" t="n">
        <f aca="false">SUMIFS('Por foco'!$P$2:$P$579,'Por foco'!$A$2:$A$579,$A12,'Por foco'!$B$2:$B$579,$B12)</f>
        <v>1</v>
      </c>
      <c r="O12" s="3" t="n">
        <f aca="false">SUMIFS('Por foco'!$Q$2:$Q$579,'Por foco'!$A$2:$A$579,$A12,'Por foco'!$B$2:$B$579,$B12)</f>
        <v>0</v>
      </c>
      <c r="P12" s="3" t="n">
        <f aca="false">SUMIFS('Por foco'!$R$2:$R$579,'Por foco'!$A$2:$A$579,$A12,'Por foco'!$B$2:$B$579,$B12)</f>
        <v>0</v>
      </c>
      <c r="Q12" s="3" t="n">
        <f aca="false">SUMIFS('Por foco'!$S$2:$S$579,'Por foco'!$A$2:$A$579,$A12,'Por foco'!$B$2:$B$579,$B12)</f>
        <v>0</v>
      </c>
      <c r="R12" s="3" t="n">
        <f aca="false">SUMIFS('Por foco'!$T$2:$T$579,'Por foco'!$A$2:$A$579,$A12,'Por foco'!$B$2:$B$579,$B12)</f>
        <v>0</v>
      </c>
      <c r="S12" s="3" t="n">
        <f aca="false">SUMIFS('Por foco'!$U$2:$U$579,'Por foco'!$A$2:$A$579,$A12,'Por foco'!$B$2:$B$579,$B12)</f>
        <v>0</v>
      </c>
      <c r="T12" s="3" t="n">
        <f aca="false">SUMIFS('Por foco'!$V$2:$V$579,'Por foco'!$A$2:$A$579,$A12,'Por foco'!$B$2:$B$579,$B12)</f>
        <v>0</v>
      </c>
      <c r="U12" s="3" t="n">
        <f aca="false">SUMIFS('Por foco'!$W$2:$W$579,'Por foco'!$A$2:$A$579,$A12,'Por foco'!$B$2:$B$579,$B12)</f>
        <v>0</v>
      </c>
      <c r="V12" s="3" t="n">
        <f aca="false">SUMIFS('Por foco'!$X$2:$X$579,'Por foco'!$A$2:$A$579,$A12,'Por foco'!$B$2:$B$579,$B12)</f>
        <v>0</v>
      </c>
      <c r="W12" s="3" t="n">
        <f aca="false">SUMIFS('Por foco'!$Y$2:$Y$579,'Por foco'!$A$2:$A$579,$A12,'Por foco'!$B$2:$B$579,$B12)</f>
        <v>0</v>
      </c>
      <c r="X12" s="3" t="n">
        <f aca="false">SUMIFS('Por foco'!$Z$2:$Z$579,'Por foco'!$A$2:$A$579,$A12,'Por foco'!$B$2:$B$579,$B12)</f>
        <v>1</v>
      </c>
      <c r="Y12" s="3" t="n">
        <f aca="false">SUMIFS('Por foco'!$AA$2:$AA$579,'Por foco'!$A$2:$A$579,$A12,'Por foco'!$B$2:$B$579,$B12)</f>
        <v>0.2</v>
      </c>
      <c r="Z12" s="3" t="n">
        <f aca="false">SUMIFS('Por foco'!$AB$2:$AB$579,'Por foco'!$A$2:$A$579,$A12,'Por foco'!$B$2:$B$579,$B12)</f>
        <v>30</v>
      </c>
      <c r="AA12" s="3" t="n">
        <f aca="false">SUMIFS('Por foco'!$AC$2:$AC$579,'Por foco'!$A$2:$A$579,$A12,'Por foco'!$B$2:$B$579,$B12)</f>
        <v>-5</v>
      </c>
      <c r="AB12" s="3" t="n">
        <f aca="false">SUMIFS('Por foco'!$AD$2:$AD$579,'Por foco'!$A$2:$A$579,$A12,'Por foco'!$B$2:$B$579,$B12)</f>
        <v>0</v>
      </c>
      <c r="AC12" s="3" t="n">
        <f aca="false">SUMIFS('Por foco'!$AE$2:$AE$579,'Por foco'!$A$2:$A$579,$A12,'Por foco'!$B$2:$B$579,$B12)</f>
        <v>20</v>
      </c>
      <c r="AD12" s="3" t="n">
        <f aca="false">SUMIFS('Por foco'!$AF$2:$AF$579,'Por foco'!$A$2:$A$579,$A12,'Por foco'!$B$2:$B$579,$B12)</f>
        <v>0</v>
      </c>
      <c r="AE12" s="3" t="n">
        <f aca="false">SUMIFS('Por foco'!$AG$2:$AG$579,'Por foco'!$A$2:$A$579,$A12,'Por foco'!$B$2:$B$579,$B12)</f>
        <v>0.75</v>
      </c>
      <c r="AF12" s="3" t="n">
        <f aca="false">SUMIFS('Por foco'!$AH$2:$AH$579,'Por foco'!$A$2:$A$579,$A12,'Por foco'!$B$2:$B$579,$B12)</f>
        <v>0</v>
      </c>
      <c r="AG12" s="3" t="n">
        <f aca="false">SUMIFS('Por foco'!$AI$2:$AI$579,'Por foco'!$A$2:$A$579,$A12,'Por foco'!$B$2:$B$579,$B12)</f>
        <v>0.5</v>
      </c>
      <c r="AH12" s="3" t="n">
        <f aca="false">SUMIFS('Por foco'!$AJ$2:$AJ$579,'Por foco'!$A$2:$A$579,$A12,'Por foco'!$B$2:$B$579,$B12)</f>
        <v>0</v>
      </c>
      <c r="AI12" s="3" t="n">
        <f aca="false">SUMIFS('Por foco'!$AK$2:$AK$579,'Por foco'!$A$2:$A$579,$A12,'Por foco'!$B$2:$B$579,$B12)</f>
        <v>0</v>
      </c>
      <c r="AJ12" s="3" t="n">
        <f aca="false">SUMIFS('Por foco'!$AL$2:$AL$579,'Por foco'!$A$2:$A$579,$A12,'Por foco'!$B$2:$B$579,$B12)</f>
        <v>0</v>
      </c>
      <c r="AK12" s="3" t="n">
        <f aca="false">SUMIFS('Por foco'!$AM$2:$AM$579,'Por foco'!$A$2:$A$579,$A12,'Por foco'!$B$2:$B$579,$B12)</f>
        <v>0</v>
      </c>
      <c r="AL12" s="3" t="n">
        <f aca="false">SUMIFS('Por foco'!$AN$2:$AN$579,'Por foco'!$A$2:$A$579,$A12,'Por foco'!$B$2:$B$579,$B12)</f>
        <v>5</v>
      </c>
      <c r="AM12" s="3" t="n">
        <f aca="false">SUMIFS('Por foco'!$AO$2:$AO$579,'Por foco'!$A$2:$A$579,$A12,'Por foco'!$B$2:$B$579,$B12)</f>
        <v>0</v>
      </c>
      <c r="AN12" s="3" t="n">
        <f aca="false">SUMIFS('Por foco'!$AP$2:$AP$579,'Por foco'!$A$2:$A$579,$A12,'Por foco'!$B$2:$B$579,$B12)</f>
        <v>0</v>
      </c>
      <c r="AO12" s="3" t="n">
        <f aca="false">SUMIFS('Por foco'!$AQ$2:$AQ$579,'Por foco'!$A$2:$A$579,$A12,'Por foco'!$B$2:$B$579,$B12)</f>
        <v>0</v>
      </c>
      <c r="AP12" s="3" t="n">
        <f aca="false">SUMIFS('Por foco'!$AR$2:$AR$579,'Por foco'!$A$2:$A$579,$A12,'Por foco'!$B$2:$B$579,$B12)</f>
        <v>0</v>
      </c>
      <c r="AQ12" s="3" t="n">
        <f aca="false">SUMIFS('Por foco'!$AS$2:$AS$579,'Por foco'!$A$2:$A$579,$A12,'Por foco'!$B$2:$B$579,$B12)</f>
        <v>0</v>
      </c>
      <c r="AR12" s="3" t="n">
        <f aca="false">SUMIFS('Por foco'!$AT$2:$AT$579,'Por foco'!$A$2:$A$579,$A12,'Por foco'!$B$2:$B$579,$B12)</f>
        <v>0</v>
      </c>
      <c r="AS12" s="3" t="n">
        <f aca="false">SUMIFS('Por foco'!$AU$2:$AU$579,'Por foco'!$A$2:$A$579,$A12,'Por foco'!$B$2:$B$579,$B12)</f>
        <v>0</v>
      </c>
      <c r="AT12" s="3" t="n">
        <f aca="false">SUMIFS('Por foco'!$AV$2:$AV$579,'Por foco'!$A$2:$A$579,$A12,'Por foco'!$B$2:$B$579,$B12)</f>
        <v>0</v>
      </c>
      <c r="AU12" s="3" t="n">
        <f aca="false">SUMIFS('Por foco'!$AW$2:$AW$579,'Por foco'!$A$2:$A$579,$A12,'Por foco'!$B$2:$B$579,$B12)</f>
        <v>0</v>
      </c>
      <c r="AV12" s="3" t="n">
        <f aca="false">SUMIFS('Por foco'!$AX$2:$AX$579,'Por foco'!$A$2:$A$579,$A12,'Por foco'!$B$2:$B$579,$B12)</f>
        <v>0</v>
      </c>
      <c r="AW12" s="3" t="n">
        <f aca="false">SUMIFS('Por foco'!$AY$2:$AY$579,'Por foco'!$A$2:$A$579,$A12,'Por foco'!$B$2:$B$579,$B12)</f>
        <v>0</v>
      </c>
      <c r="AX12" s="3" t="n">
        <f aca="false">SUMIFS('Por foco'!$AZ$2:$AZ$579,'Por foco'!$A$2:$A$579,$A12,'Por foco'!$B$2:$B$579,$B12)</f>
        <v>0</v>
      </c>
      <c r="AY12" s="3" t="n">
        <f aca="false">SUMIFS('Por foco'!$BA$2:$BA$579,'Por foco'!$A$2:$A$579,$A12,'Por foco'!$B$2:$B$579,$B12)</f>
        <v>0</v>
      </c>
      <c r="AZ12" s="3" t="n">
        <f aca="false">SUMIFS('Por foco'!$BB$2:$BB$579,'Por foco'!$A$2:$A$579,$A12,'Por foco'!$B$2:$B$579,$B12)</f>
        <v>0</v>
      </c>
      <c r="BA12" s="3" t="n">
        <f aca="false">SUMIFS('Por foco'!$BC$2:$BC$579,'Por foco'!$A$2:$A$579,$A12,'Por foco'!$B$2:$B$579,$B12)</f>
        <v>0</v>
      </c>
      <c r="BB12" s="3" t="n">
        <f aca="false">SUMIFS('Por foco'!$BD$2:$BD$579,'Por foco'!$A$2:$A$579,$A12,'Por foco'!$B$2:$B$579,$B12)</f>
        <v>0</v>
      </c>
      <c r="BC12" s="3" t="n">
        <f aca="false">SUMIFS('Por foco'!$BE$2:$BE$579,'Por foco'!$A$2:$A$579,$A12,'Por foco'!$B$2:$B$579,$B12)</f>
        <v>0</v>
      </c>
      <c r="BD12" s="3" t="n">
        <f aca="false">SUMIFS('Por foco'!$BF$2:$BF$579,'Por foco'!$A$2:$A$579,$A12,'Por foco'!$B$2:$B$579,$B12)</f>
        <v>0</v>
      </c>
      <c r="BE12" s="3" t="n">
        <f aca="false">SUMIFS('Por foco'!$BG$2:$BG$579,'Por foco'!$A$2:$A$579,$A12,'Por foco'!$B$2:$B$579,$B12)</f>
        <v>0</v>
      </c>
    </row>
    <row r="13" customFormat="false" ht="15" hidden="false" customHeight="false" outlineLevel="0" collapsed="false">
      <c r="A13" s="3" t="s">
        <v>61</v>
      </c>
      <c r="B13" s="3" t="s">
        <v>89</v>
      </c>
      <c r="C13" s="3" t="n">
        <f aca="false">COUNTIFS('Por foco'!$A$2:$A$579,$A13,'Por foco'!$B$2:$B$579,$B13)</f>
        <v>9</v>
      </c>
      <c r="D13" s="6" t="n">
        <f aca="false">SUMIFS('Por foco'!$F$2:$F$579,'Por foco'!$A$2:$A$579,$A13,'Por foco'!$B$2:$B$579,$B13)</f>
        <v>1913</v>
      </c>
      <c r="E13" s="3" t="n">
        <f aca="false">IF(C13=0,0,SUMIFS('Por foco'!$E$2:$E$579,'Por foco'!$A$2:$A$579,$A13,'Por foco'!$B$2:$B$579,$B13)/C13)</f>
        <v>0.5</v>
      </c>
      <c r="F13" s="3" t="n">
        <f aca="false">SUMIFS('Por foco'!$H$2:$H$579,'Por foco'!$A$2:$A$579,$A13,'Por foco'!$B$2:$B$579,$B13)</f>
        <v>595</v>
      </c>
      <c r="G13" s="3" t="n">
        <f aca="false">SUMIFS('Por foco'!$I$2:$I$579,'Por foco'!$A$2:$A$579,$A13,'Por foco'!$B$2:$B$579,$B13)</f>
        <v>100</v>
      </c>
      <c r="H13" s="3" t="n">
        <f aca="false">SUMIFS('Por foco'!$J$2:$J$579,'Por foco'!$A$2:$A$579,$A13,'Por foco'!$B$2:$B$579,$B13)</f>
        <v>0</v>
      </c>
      <c r="I13" s="3" t="n">
        <f aca="false">SUMIFS('Por foco'!$K$2:$K$579,'Por foco'!$A$2:$A$579,$A13,'Por foco'!$B$2:$B$579,$B13)</f>
        <v>5</v>
      </c>
      <c r="J13" s="3" t="n">
        <f aca="false">SUMIFS('Por foco'!$L$2:$L$579,'Por foco'!$A$2:$A$579,$A13,'Por foco'!$B$2:$B$579,$B13)</f>
        <v>100000</v>
      </c>
      <c r="K13" s="3" t="n">
        <f aca="false">SUMIFS('Por foco'!$M$2:$M$579,'Por foco'!$A$2:$A$579,$A13,'Por foco'!$B$2:$B$579,$B13)</f>
        <v>0</v>
      </c>
      <c r="L13" s="3" t="n">
        <f aca="false">SUMIFS('Por foco'!$N$2:$N$579,'Por foco'!$A$2:$A$579,$A13,'Por foco'!$B$2:$B$579,$B13)</f>
        <v>0</v>
      </c>
      <c r="M13" s="3" t="n">
        <f aca="false">SUMIFS('Por foco'!$O$2:$O$579,'Por foco'!$A$2:$A$579,$A13,'Por foco'!$B$2:$B$579,$B13)</f>
        <v>0</v>
      </c>
      <c r="N13" s="3" t="n">
        <f aca="false">SUMIFS('Por foco'!$P$2:$P$579,'Por foco'!$A$2:$A$579,$A13,'Por foco'!$B$2:$B$579,$B13)</f>
        <v>1</v>
      </c>
      <c r="O13" s="3" t="n">
        <f aca="false">SUMIFS('Por foco'!$Q$2:$Q$579,'Por foco'!$A$2:$A$579,$A13,'Por foco'!$B$2:$B$579,$B13)</f>
        <v>2</v>
      </c>
      <c r="P13" s="3" t="n">
        <f aca="false">SUMIFS('Por foco'!$R$2:$R$579,'Por foco'!$A$2:$A$579,$A13,'Por foco'!$B$2:$B$579,$B13)</f>
        <v>0</v>
      </c>
      <c r="Q13" s="3" t="n">
        <f aca="false">SUMIFS('Por foco'!$S$2:$S$579,'Por foco'!$A$2:$A$579,$A13,'Por foco'!$B$2:$B$579,$B13)</f>
        <v>0</v>
      </c>
      <c r="R13" s="3" t="n">
        <f aca="false">SUMIFS('Por foco'!$T$2:$T$579,'Por foco'!$A$2:$A$579,$A13,'Por foco'!$B$2:$B$579,$B13)</f>
        <v>0</v>
      </c>
      <c r="S13" s="3" t="n">
        <f aca="false">SUMIFS('Por foco'!$U$2:$U$579,'Por foco'!$A$2:$A$579,$A13,'Por foco'!$B$2:$B$579,$B13)</f>
        <v>0</v>
      </c>
      <c r="T13" s="3" t="n">
        <f aca="false">SUMIFS('Por foco'!$V$2:$V$579,'Por foco'!$A$2:$A$579,$A13,'Por foco'!$B$2:$B$579,$B13)</f>
        <v>0</v>
      </c>
      <c r="U13" s="3" t="n">
        <f aca="false">SUMIFS('Por foco'!$W$2:$W$579,'Por foco'!$A$2:$A$579,$A13,'Por foco'!$B$2:$B$579,$B13)</f>
        <v>0</v>
      </c>
      <c r="V13" s="3" t="n">
        <f aca="false">SUMIFS('Por foco'!$X$2:$X$579,'Por foco'!$A$2:$A$579,$A13,'Por foco'!$B$2:$B$579,$B13)</f>
        <v>0</v>
      </c>
      <c r="W13" s="3" t="n">
        <f aca="false">SUMIFS('Por foco'!$Y$2:$Y$579,'Por foco'!$A$2:$A$579,$A13,'Por foco'!$B$2:$B$579,$B13)</f>
        <v>0</v>
      </c>
      <c r="X13" s="3" t="n">
        <f aca="false">SUMIFS('Por foco'!$Z$2:$Z$579,'Por foco'!$A$2:$A$579,$A13,'Por foco'!$B$2:$B$579,$B13)</f>
        <v>0</v>
      </c>
      <c r="Y13" s="3" t="n">
        <f aca="false">SUMIFS('Por foco'!$AA$2:$AA$579,'Por foco'!$A$2:$A$579,$A13,'Por foco'!$B$2:$B$579,$B13)</f>
        <v>-0.4</v>
      </c>
      <c r="Z13" s="3" t="n">
        <f aca="false">SUMIFS('Por foco'!$AB$2:$AB$579,'Por foco'!$A$2:$A$579,$A13,'Por foco'!$B$2:$B$579,$B13)</f>
        <v>15</v>
      </c>
      <c r="AA13" s="3" t="n">
        <f aca="false">SUMIFS('Por foco'!$AC$2:$AC$579,'Por foco'!$A$2:$A$579,$A13,'Por foco'!$B$2:$B$579,$B13)</f>
        <v>0</v>
      </c>
      <c r="AB13" s="3" t="n">
        <f aca="false">SUMIFS('Por foco'!$AD$2:$AD$579,'Por foco'!$A$2:$A$579,$A13,'Por foco'!$B$2:$B$579,$B13)</f>
        <v>0</v>
      </c>
      <c r="AC13" s="3" t="n">
        <f aca="false">SUMIFS('Por foco'!$AE$2:$AE$579,'Por foco'!$A$2:$A$579,$A13,'Por foco'!$B$2:$B$579,$B13)</f>
        <v>0</v>
      </c>
      <c r="AD13" s="3" t="n">
        <f aca="false">SUMIFS('Por foco'!$AF$2:$AF$579,'Por foco'!$A$2:$A$579,$A13,'Por foco'!$B$2:$B$579,$B13)</f>
        <v>0</v>
      </c>
      <c r="AE13" s="3" t="n">
        <f aca="false">SUMIFS('Por foco'!$AG$2:$AG$579,'Por foco'!$A$2:$A$579,$A13,'Por foco'!$B$2:$B$579,$B13)</f>
        <v>17.5</v>
      </c>
      <c r="AF13" s="3" t="n">
        <f aca="false">SUMIFS('Por foco'!$AH$2:$AH$579,'Por foco'!$A$2:$A$579,$A13,'Por foco'!$B$2:$B$579,$B13)</f>
        <v>0</v>
      </c>
      <c r="AG13" s="3" t="n">
        <f aca="false">SUMIFS('Por foco'!$AI$2:$AI$579,'Por foco'!$A$2:$A$579,$A13,'Por foco'!$B$2:$B$579,$B13)</f>
        <v>20</v>
      </c>
      <c r="AH13" s="3" t="n">
        <f aca="false">SUMIFS('Por foco'!$AJ$2:$AJ$579,'Por foco'!$A$2:$A$579,$A13,'Por foco'!$B$2:$B$579,$B13)</f>
        <v>0</v>
      </c>
      <c r="AI13" s="3" t="n">
        <f aca="false">SUMIFS('Por foco'!$AK$2:$AK$579,'Por foco'!$A$2:$A$579,$A13,'Por foco'!$B$2:$B$579,$B13)</f>
        <v>0</v>
      </c>
      <c r="AJ13" s="3" t="n">
        <f aca="false">SUMIFS('Por foco'!$AL$2:$AL$579,'Por foco'!$A$2:$A$579,$A13,'Por foco'!$B$2:$B$579,$B13)</f>
        <v>-5</v>
      </c>
      <c r="AK13" s="3" t="n">
        <f aca="false">SUMIFS('Por foco'!$AM$2:$AM$579,'Por foco'!$A$2:$A$579,$A13,'Por foco'!$B$2:$B$579,$B13)</f>
        <v>0</v>
      </c>
      <c r="AL13" s="3" t="n">
        <f aca="false">SUMIFS('Por foco'!$AN$2:$AN$579,'Por foco'!$A$2:$A$579,$A13,'Por foco'!$B$2:$B$579,$B13)</f>
        <v>10</v>
      </c>
      <c r="AM13" s="3" t="n">
        <f aca="false">SUMIFS('Por foco'!$AO$2:$AO$579,'Por foco'!$A$2:$A$579,$A13,'Por foco'!$B$2:$B$579,$B13)</f>
        <v>0</v>
      </c>
      <c r="AN13" s="3" t="n">
        <f aca="false">SUMIFS('Por foco'!$AP$2:$AP$579,'Por foco'!$A$2:$A$579,$A13,'Por foco'!$B$2:$B$579,$B13)</f>
        <v>0</v>
      </c>
      <c r="AO13" s="3" t="n">
        <f aca="false">SUMIFS('Por foco'!$AQ$2:$AQ$579,'Por foco'!$A$2:$A$579,$A13,'Por foco'!$B$2:$B$579,$B13)</f>
        <v>10</v>
      </c>
      <c r="AP13" s="3" t="n">
        <f aca="false">SUMIFS('Por foco'!$AR$2:$AR$579,'Por foco'!$A$2:$A$579,$A13,'Por foco'!$B$2:$B$579,$B13)</f>
        <v>5</v>
      </c>
      <c r="AQ13" s="3" t="n">
        <f aca="false">SUMIFS('Por foco'!$AS$2:$AS$579,'Por foco'!$A$2:$A$579,$A13,'Por foco'!$B$2:$B$579,$B13)</f>
        <v>0</v>
      </c>
      <c r="AR13" s="3" t="n">
        <f aca="false">SUMIFS('Por foco'!$AT$2:$AT$579,'Por foco'!$A$2:$A$579,$A13,'Por foco'!$B$2:$B$579,$B13)</f>
        <v>0</v>
      </c>
      <c r="AS13" s="3" t="n">
        <f aca="false">SUMIFS('Por foco'!$AU$2:$AU$579,'Por foco'!$A$2:$A$579,$A13,'Por foco'!$B$2:$B$579,$B13)</f>
        <v>0</v>
      </c>
      <c r="AT13" s="3" t="n">
        <f aca="false">SUMIFS('Por foco'!$AV$2:$AV$579,'Por foco'!$A$2:$A$579,$A13,'Por foco'!$B$2:$B$579,$B13)</f>
        <v>10</v>
      </c>
      <c r="AU13" s="3" t="n">
        <f aca="false">SUMIFS('Por foco'!$AW$2:$AW$579,'Por foco'!$A$2:$A$579,$A13,'Por foco'!$B$2:$B$579,$B13)</f>
        <v>0</v>
      </c>
      <c r="AV13" s="3" t="n">
        <f aca="false">SUMIFS('Por foco'!$AX$2:$AX$579,'Por foco'!$A$2:$A$579,$A13,'Por foco'!$B$2:$B$579,$B13)</f>
        <v>0</v>
      </c>
      <c r="AW13" s="3" t="n">
        <f aca="false">SUMIFS('Por foco'!$AY$2:$AY$579,'Por foco'!$A$2:$A$579,$A13,'Por foco'!$B$2:$B$579,$B13)</f>
        <v>0</v>
      </c>
      <c r="AX13" s="3" t="n">
        <f aca="false">SUMIFS('Por foco'!$AZ$2:$AZ$579,'Por foco'!$A$2:$A$579,$A13,'Por foco'!$B$2:$B$579,$B13)</f>
        <v>0</v>
      </c>
      <c r="AY13" s="3" t="n">
        <f aca="false">SUMIFS('Por foco'!$BA$2:$BA$579,'Por foco'!$A$2:$A$579,$A13,'Por foco'!$B$2:$B$579,$B13)</f>
        <v>0</v>
      </c>
      <c r="AZ13" s="3" t="n">
        <f aca="false">SUMIFS('Por foco'!$BB$2:$BB$579,'Por foco'!$A$2:$A$579,$A13,'Por foco'!$B$2:$B$579,$B13)</f>
        <v>0</v>
      </c>
      <c r="BA13" s="3" t="n">
        <f aca="false">SUMIFS('Por foco'!$BC$2:$BC$579,'Por foco'!$A$2:$A$579,$A13,'Por foco'!$B$2:$B$579,$B13)</f>
        <v>0</v>
      </c>
      <c r="BB13" s="3" t="n">
        <f aca="false">SUMIFS('Por foco'!$BD$2:$BD$579,'Por foco'!$A$2:$A$579,$A13,'Por foco'!$B$2:$B$579,$B13)</f>
        <v>0</v>
      </c>
      <c r="BC13" s="3" t="n">
        <f aca="false">SUMIFS('Por foco'!$BE$2:$BE$579,'Por foco'!$A$2:$A$579,$A13,'Por foco'!$B$2:$B$579,$B13)</f>
        <v>0</v>
      </c>
      <c r="BD13" s="3" t="n">
        <f aca="false">SUMIFS('Por foco'!$BF$2:$BF$579,'Por foco'!$A$2:$A$579,$A13,'Por foco'!$B$2:$B$579,$B13)</f>
        <v>0</v>
      </c>
      <c r="BE13" s="3" t="n">
        <f aca="false">SUMIFS('Por foco'!$BG$2:$BG$579,'Por foco'!$A$2:$A$579,$A13,'Por foco'!$B$2:$B$579,$B13)</f>
        <v>0</v>
      </c>
    </row>
    <row r="14" customFormat="false" ht="15" hidden="false" customHeight="false" outlineLevel="0" collapsed="false">
      <c r="A14" s="3" t="s">
        <v>61</v>
      </c>
      <c r="B14" s="3" t="s">
        <v>80</v>
      </c>
      <c r="C14" s="3" t="n">
        <f aca="false">COUNTIFS('Por foco'!$A$2:$A$579,$A14,'Por foco'!$B$2:$B$579,$B14)</f>
        <v>4</v>
      </c>
      <c r="D14" s="6" t="n">
        <f aca="false">SUMIFS('Por foco'!$F$2:$F$579,'Por foco'!$A$2:$A$579,$A14,'Por foco'!$B$2:$B$579,$B14)</f>
        <v>639.5</v>
      </c>
      <c r="E14" s="3" t="n">
        <f aca="false">IF(C14=0,0,SUMIFS('Por foco'!$E$2:$E$579,'Por foco'!$A$2:$A$579,$A14,'Por foco'!$B$2:$B$579,$B14)/C14)</f>
        <v>1</v>
      </c>
      <c r="F14" s="3" t="n">
        <f aca="false">SUMIFS('Por foco'!$H$2:$H$579,'Por foco'!$A$2:$A$579,$A14,'Por foco'!$B$2:$B$579,$B14)</f>
        <v>315</v>
      </c>
      <c r="G14" s="3" t="n">
        <f aca="false">SUMIFS('Por foco'!$I$2:$I$579,'Por foco'!$A$2:$A$579,$A14,'Por foco'!$B$2:$B$579,$B14)</f>
        <v>170</v>
      </c>
      <c r="H14" s="3" t="n">
        <f aca="false">SUMIFS('Por foco'!$J$2:$J$579,'Por foco'!$A$2:$A$579,$A14,'Por foco'!$B$2:$B$579,$B14)</f>
        <v>5</v>
      </c>
      <c r="I14" s="3" t="n">
        <f aca="false">SUMIFS('Por foco'!$K$2:$K$579,'Por foco'!$A$2:$A$579,$A14,'Por foco'!$B$2:$B$579,$B14)</f>
        <v>5</v>
      </c>
      <c r="J14" s="3" t="n">
        <f aca="false">SUMIFS('Por foco'!$L$2:$L$579,'Por foco'!$A$2:$A$579,$A14,'Por foco'!$B$2:$B$579,$B14)</f>
        <v>0</v>
      </c>
      <c r="K14" s="3" t="n">
        <f aca="false">SUMIFS('Por foco'!$M$2:$M$579,'Por foco'!$A$2:$A$579,$A14,'Por foco'!$B$2:$B$579,$B14)</f>
        <v>25</v>
      </c>
      <c r="L14" s="3" t="n">
        <f aca="false">SUMIFS('Por foco'!$N$2:$N$579,'Por foco'!$A$2:$A$579,$A14,'Por foco'!$B$2:$B$579,$B14)</f>
        <v>0</v>
      </c>
      <c r="M14" s="3" t="n">
        <f aca="false">SUMIFS('Por foco'!$O$2:$O$579,'Por foco'!$A$2:$A$579,$A14,'Por foco'!$B$2:$B$579,$B14)</f>
        <v>0</v>
      </c>
      <c r="N14" s="3" t="n">
        <f aca="false">SUMIFS('Por foco'!$P$2:$P$579,'Por foco'!$A$2:$A$579,$A14,'Por foco'!$B$2:$B$579,$B14)</f>
        <v>0</v>
      </c>
      <c r="O14" s="3" t="n">
        <f aca="false">SUMIFS('Por foco'!$Q$2:$Q$579,'Por foco'!$A$2:$A$579,$A14,'Por foco'!$B$2:$B$579,$B14)</f>
        <v>0</v>
      </c>
      <c r="P14" s="3" t="n">
        <f aca="false">SUMIFS('Por foco'!$R$2:$R$579,'Por foco'!$A$2:$A$579,$A14,'Por foco'!$B$2:$B$579,$B14)</f>
        <v>0</v>
      </c>
      <c r="Q14" s="3" t="n">
        <f aca="false">SUMIFS('Por foco'!$S$2:$S$579,'Por foco'!$A$2:$A$579,$A14,'Por foco'!$B$2:$B$579,$B14)</f>
        <v>0</v>
      </c>
      <c r="R14" s="3" t="n">
        <f aca="false">SUMIFS('Por foco'!$T$2:$T$579,'Por foco'!$A$2:$A$579,$A14,'Por foco'!$B$2:$B$579,$B14)</f>
        <v>0</v>
      </c>
      <c r="S14" s="3" t="n">
        <f aca="false">SUMIFS('Por foco'!$U$2:$U$579,'Por foco'!$A$2:$A$579,$A14,'Por foco'!$B$2:$B$579,$B14)</f>
        <v>0</v>
      </c>
      <c r="T14" s="3" t="n">
        <f aca="false">SUMIFS('Por foco'!$V$2:$V$579,'Por foco'!$A$2:$A$579,$A14,'Por foco'!$B$2:$B$579,$B14)</f>
        <v>0</v>
      </c>
      <c r="U14" s="3" t="n">
        <f aca="false">SUMIFS('Por foco'!$W$2:$W$579,'Por foco'!$A$2:$A$579,$A14,'Por foco'!$B$2:$B$579,$B14)</f>
        <v>0</v>
      </c>
      <c r="V14" s="3" t="n">
        <f aca="false">SUMIFS('Por foco'!$X$2:$X$579,'Por foco'!$A$2:$A$579,$A14,'Por foco'!$B$2:$B$579,$B14)</f>
        <v>0</v>
      </c>
      <c r="W14" s="3" t="n">
        <f aca="false">SUMIFS('Por foco'!$Y$2:$Y$579,'Por foco'!$A$2:$A$579,$A14,'Por foco'!$B$2:$B$579,$B14)</f>
        <v>0</v>
      </c>
      <c r="X14" s="3" t="n">
        <f aca="false">SUMIFS('Por foco'!$Z$2:$Z$579,'Por foco'!$A$2:$A$579,$A14,'Por foco'!$B$2:$B$579,$B14)</f>
        <v>7</v>
      </c>
      <c r="Y14" s="3" t="n">
        <f aca="false">SUMIFS('Por foco'!$AA$2:$AA$579,'Por foco'!$A$2:$A$579,$A14,'Por foco'!$B$2:$B$579,$B14)</f>
        <v>0.15</v>
      </c>
      <c r="Z14" s="3" t="n">
        <f aca="false">SUMIFS('Por foco'!$AB$2:$AB$579,'Por foco'!$A$2:$A$579,$A14,'Por foco'!$B$2:$B$579,$B14)</f>
        <v>3</v>
      </c>
      <c r="AA14" s="3" t="n">
        <f aca="false">SUMIFS('Por foco'!$AC$2:$AC$579,'Por foco'!$A$2:$A$579,$A14,'Por foco'!$B$2:$B$579,$B14)</f>
        <v>0</v>
      </c>
      <c r="AB14" s="3" t="n">
        <f aca="false">SUMIFS('Por foco'!$AD$2:$AD$579,'Por foco'!$A$2:$A$579,$A14,'Por foco'!$B$2:$B$579,$B14)</f>
        <v>0</v>
      </c>
      <c r="AC14" s="3" t="n">
        <f aca="false">SUMIFS('Por foco'!$AE$2:$AE$579,'Por foco'!$A$2:$A$579,$A14,'Por foco'!$B$2:$B$579,$B14)</f>
        <v>0</v>
      </c>
      <c r="AD14" s="3" t="n">
        <f aca="false">SUMIFS('Por foco'!$AF$2:$AF$579,'Por foco'!$A$2:$A$579,$A14,'Por foco'!$B$2:$B$579,$B14)</f>
        <v>0</v>
      </c>
      <c r="AE14" s="3" t="n">
        <f aca="false">SUMIFS('Por foco'!$AG$2:$AG$579,'Por foco'!$A$2:$A$579,$A14,'Por foco'!$B$2:$B$579,$B14)</f>
        <v>0</v>
      </c>
      <c r="AF14" s="3" t="n">
        <f aca="false">SUMIFS('Por foco'!$AH$2:$AH$579,'Por foco'!$A$2:$A$579,$A14,'Por foco'!$B$2:$B$579,$B14)</f>
        <v>0</v>
      </c>
      <c r="AG14" s="3" t="n">
        <f aca="false">SUMIFS('Por foco'!$AI$2:$AI$579,'Por foco'!$A$2:$A$579,$A14,'Por foco'!$B$2:$B$579,$B14)</f>
        <v>0</v>
      </c>
      <c r="AH14" s="3" t="n">
        <f aca="false">SUMIFS('Por foco'!$AJ$2:$AJ$579,'Por foco'!$A$2:$A$579,$A14,'Por foco'!$B$2:$B$579,$B14)</f>
        <v>0</v>
      </c>
      <c r="AI14" s="3" t="n">
        <f aca="false">SUMIFS('Por foco'!$AK$2:$AK$579,'Por foco'!$A$2:$A$579,$A14,'Por foco'!$B$2:$B$579,$B14)</f>
        <v>0</v>
      </c>
      <c r="AJ14" s="3" t="n">
        <f aca="false">SUMIFS('Por foco'!$AL$2:$AL$579,'Por foco'!$A$2:$A$579,$A14,'Por foco'!$B$2:$B$579,$B14)</f>
        <v>0</v>
      </c>
      <c r="AK14" s="3" t="n">
        <f aca="false">SUMIFS('Por foco'!$AM$2:$AM$579,'Por foco'!$A$2:$A$579,$A14,'Por foco'!$B$2:$B$579,$B14)</f>
        <v>0</v>
      </c>
      <c r="AL14" s="3" t="n">
        <f aca="false">SUMIFS('Por foco'!$AN$2:$AN$579,'Por foco'!$A$2:$A$579,$A14,'Por foco'!$B$2:$B$579,$B14)</f>
        <v>5</v>
      </c>
      <c r="AM14" s="3" t="n">
        <f aca="false">SUMIFS('Por foco'!$AO$2:$AO$579,'Por foco'!$A$2:$A$579,$A14,'Por foco'!$B$2:$B$579,$B14)</f>
        <v>0</v>
      </c>
      <c r="AN14" s="3" t="n">
        <f aca="false">SUMIFS('Por foco'!$AP$2:$AP$579,'Por foco'!$A$2:$A$579,$A14,'Por foco'!$B$2:$B$579,$B14)</f>
        <v>0</v>
      </c>
      <c r="AO14" s="3" t="n">
        <f aca="false">SUMIFS('Por foco'!$AQ$2:$AQ$579,'Por foco'!$A$2:$A$579,$A14,'Por foco'!$B$2:$B$579,$B14)</f>
        <v>0</v>
      </c>
      <c r="AP14" s="3" t="n">
        <f aca="false">SUMIFS('Por foco'!$AR$2:$AR$579,'Por foco'!$A$2:$A$579,$A14,'Por foco'!$B$2:$B$579,$B14)</f>
        <v>0</v>
      </c>
      <c r="AQ14" s="3" t="n">
        <f aca="false">SUMIFS('Por foco'!$AS$2:$AS$579,'Por foco'!$A$2:$A$579,$A14,'Por foco'!$B$2:$B$579,$B14)</f>
        <v>0</v>
      </c>
      <c r="AR14" s="3" t="n">
        <f aca="false">SUMIFS('Por foco'!$AT$2:$AT$579,'Por foco'!$A$2:$A$579,$A14,'Por foco'!$B$2:$B$579,$B14)</f>
        <v>0</v>
      </c>
      <c r="AS14" s="3" t="n">
        <f aca="false">SUMIFS('Por foco'!$AU$2:$AU$579,'Por foco'!$A$2:$A$579,$A14,'Por foco'!$B$2:$B$579,$B14)</f>
        <v>0</v>
      </c>
      <c r="AT14" s="3" t="n">
        <f aca="false">SUMIFS('Por foco'!$AV$2:$AV$579,'Por foco'!$A$2:$A$579,$A14,'Por foco'!$B$2:$B$579,$B14)</f>
        <v>0</v>
      </c>
      <c r="AU14" s="3" t="n">
        <f aca="false">SUMIFS('Por foco'!$AW$2:$AW$579,'Por foco'!$A$2:$A$579,$A14,'Por foco'!$B$2:$B$579,$B14)</f>
        <v>0</v>
      </c>
      <c r="AV14" s="3" t="n">
        <f aca="false">SUMIFS('Por foco'!$AX$2:$AX$579,'Por foco'!$A$2:$A$579,$A14,'Por foco'!$B$2:$B$579,$B14)</f>
        <v>0</v>
      </c>
      <c r="AW14" s="3" t="n">
        <f aca="false">SUMIFS('Por foco'!$AY$2:$AY$579,'Por foco'!$A$2:$A$579,$A14,'Por foco'!$B$2:$B$579,$B14)</f>
        <v>0</v>
      </c>
      <c r="AX14" s="3" t="n">
        <f aca="false">SUMIFS('Por foco'!$AZ$2:$AZ$579,'Por foco'!$A$2:$A$579,$A14,'Por foco'!$B$2:$B$579,$B14)</f>
        <v>0</v>
      </c>
      <c r="AY14" s="3" t="n">
        <f aca="false">SUMIFS('Por foco'!$BA$2:$BA$579,'Por foco'!$A$2:$A$579,$A14,'Por foco'!$B$2:$B$579,$B14)</f>
        <v>0</v>
      </c>
      <c r="AZ14" s="3" t="n">
        <f aca="false">SUMIFS('Por foco'!$BB$2:$BB$579,'Por foco'!$A$2:$A$579,$A14,'Por foco'!$B$2:$B$579,$B14)</f>
        <v>0</v>
      </c>
      <c r="BA14" s="3" t="n">
        <f aca="false">SUMIFS('Por foco'!$BC$2:$BC$579,'Por foco'!$A$2:$A$579,$A14,'Por foco'!$B$2:$B$579,$B14)</f>
        <v>0</v>
      </c>
      <c r="BB14" s="3" t="n">
        <f aca="false">SUMIFS('Por foco'!$BD$2:$BD$579,'Por foco'!$A$2:$A$579,$A14,'Por foco'!$B$2:$B$579,$B14)</f>
        <v>0</v>
      </c>
      <c r="BC14" s="3" t="n">
        <f aca="false">SUMIFS('Por foco'!$BE$2:$BE$579,'Por foco'!$A$2:$A$579,$A14,'Por foco'!$B$2:$B$579,$B14)</f>
        <v>0</v>
      </c>
      <c r="BD14" s="3" t="n">
        <f aca="false">SUMIFS('Por foco'!$BF$2:$BF$579,'Por foco'!$A$2:$A$579,$A14,'Por foco'!$B$2:$B$579,$B14)</f>
        <v>0</v>
      </c>
      <c r="BE14" s="3" t="n">
        <f aca="false">SUMIFS('Por foco'!$BG$2:$BG$579,'Por foco'!$A$2:$A$579,$A14,'Por foco'!$B$2:$B$579,$B14)</f>
        <v>0</v>
      </c>
    </row>
    <row r="15" customFormat="false" ht="15" hidden="false" customHeight="false" outlineLevel="0" collapsed="false">
      <c r="A15" s="3" t="s">
        <v>61</v>
      </c>
      <c r="B15" s="3" t="s">
        <v>90</v>
      </c>
      <c r="C15" s="3" t="n">
        <f aca="false">COUNTIFS('Por foco'!$A$2:$A$579,$A15,'Por foco'!$B$2:$B$579,$B15)</f>
        <v>8</v>
      </c>
      <c r="D15" s="6" t="n">
        <f aca="false">SUMIFS('Por foco'!$F$2:$F$579,'Por foco'!$A$2:$A$579,$A15,'Por foco'!$B$2:$B$579,$B15)</f>
        <v>2125</v>
      </c>
      <c r="E15" s="3" t="n">
        <f aca="false">IF(C15=0,0,SUMIFS('Por foco'!$E$2:$E$579,'Por foco'!$A$2:$A$579,$A15,'Por foco'!$B$2:$B$579,$B15)/C15)</f>
        <v>0.5625</v>
      </c>
      <c r="F15" s="3" t="n">
        <f aca="false">SUMIFS('Por foco'!$H$2:$H$579,'Por foco'!$A$2:$A$579,$A15,'Por foco'!$B$2:$B$579,$B15)</f>
        <v>532</v>
      </c>
      <c r="G15" s="3" t="n">
        <f aca="false">SUMIFS('Por foco'!$I$2:$I$579,'Por foco'!$A$2:$A$579,$A15,'Por foco'!$B$2:$B$579,$B15)</f>
        <v>100</v>
      </c>
      <c r="H15" s="3" t="n">
        <f aca="false">SUMIFS('Por foco'!$J$2:$J$579,'Por foco'!$A$2:$A$579,$A15,'Por foco'!$B$2:$B$579,$B15)</f>
        <v>0</v>
      </c>
      <c r="I15" s="3" t="n">
        <f aca="false">SUMIFS('Por foco'!$K$2:$K$579,'Por foco'!$A$2:$A$579,$A15,'Por foco'!$B$2:$B$579,$B15)</f>
        <v>0</v>
      </c>
      <c r="J15" s="3" t="n">
        <f aca="false">SUMIFS('Por foco'!$L$2:$L$579,'Por foco'!$A$2:$A$579,$A15,'Por foco'!$B$2:$B$579,$B15)</f>
        <v>0</v>
      </c>
      <c r="K15" s="3" t="n">
        <f aca="false">SUMIFS('Por foco'!$M$2:$M$579,'Por foco'!$A$2:$A$579,$A15,'Por foco'!$B$2:$B$579,$B15)</f>
        <v>0</v>
      </c>
      <c r="L15" s="3" t="n">
        <f aca="false">SUMIFS('Por foco'!$N$2:$N$579,'Por foco'!$A$2:$A$579,$A15,'Por foco'!$B$2:$B$579,$B15)</f>
        <v>0</v>
      </c>
      <c r="M15" s="3" t="n">
        <f aca="false">SUMIFS('Por foco'!$O$2:$O$579,'Por foco'!$A$2:$A$579,$A15,'Por foco'!$B$2:$B$579,$B15)</f>
        <v>0</v>
      </c>
      <c r="N15" s="3" t="n">
        <f aca="false">SUMIFS('Por foco'!$P$2:$P$579,'Por foco'!$A$2:$A$579,$A15,'Por foco'!$B$2:$B$579,$B15)</f>
        <v>0</v>
      </c>
      <c r="O15" s="3" t="n">
        <f aca="false">SUMIFS('Por foco'!$Q$2:$Q$579,'Por foco'!$A$2:$A$579,$A15,'Por foco'!$B$2:$B$579,$B15)</f>
        <v>0</v>
      </c>
      <c r="P15" s="3" t="n">
        <f aca="false">SUMIFS('Por foco'!$R$2:$R$579,'Por foco'!$A$2:$A$579,$A15,'Por foco'!$B$2:$B$579,$B15)</f>
        <v>9</v>
      </c>
      <c r="Q15" s="3" t="n">
        <f aca="false">SUMIFS('Por foco'!$S$2:$S$579,'Por foco'!$A$2:$A$579,$A15,'Por foco'!$B$2:$B$579,$B15)</f>
        <v>2</v>
      </c>
      <c r="R15" s="3" t="n">
        <f aca="false">SUMIFS('Por foco'!$T$2:$T$579,'Por foco'!$A$2:$A$579,$A15,'Por foco'!$B$2:$B$579,$B15)</f>
        <v>0</v>
      </c>
      <c r="S15" s="3" t="n">
        <f aca="false">SUMIFS('Por foco'!$U$2:$U$579,'Por foco'!$A$2:$A$579,$A15,'Por foco'!$B$2:$B$579,$B15)</f>
        <v>0</v>
      </c>
      <c r="T15" s="3" t="n">
        <f aca="false">SUMIFS('Por foco'!$V$2:$V$579,'Por foco'!$A$2:$A$579,$A15,'Por foco'!$B$2:$B$579,$B15)</f>
        <v>0</v>
      </c>
      <c r="U15" s="3" t="n">
        <f aca="false">SUMIFS('Por foco'!$W$2:$W$579,'Por foco'!$A$2:$A$579,$A15,'Por foco'!$B$2:$B$579,$B15)</f>
        <v>0</v>
      </c>
      <c r="V15" s="3" t="n">
        <f aca="false">SUMIFS('Por foco'!$X$2:$X$579,'Por foco'!$A$2:$A$579,$A15,'Por foco'!$B$2:$B$579,$B15)</f>
        <v>0</v>
      </c>
      <c r="W15" s="3" t="n">
        <f aca="false">SUMIFS('Por foco'!$Y$2:$Y$579,'Por foco'!$A$2:$A$579,$A15,'Por foco'!$B$2:$B$579,$B15)</f>
        <v>0</v>
      </c>
      <c r="X15" s="3" t="n">
        <f aca="false">SUMIFS('Por foco'!$Z$2:$Z$579,'Por foco'!$A$2:$A$579,$A15,'Por foco'!$B$2:$B$579,$B15)</f>
        <v>0</v>
      </c>
      <c r="Y15" s="3" t="n">
        <f aca="false">SUMIFS('Por foco'!$AA$2:$AA$579,'Por foco'!$A$2:$A$579,$A15,'Por foco'!$B$2:$B$579,$B15)</f>
        <v>0</v>
      </c>
      <c r="Z15" s="3" t="n">
        <f aca="false">SUMIFS('Por foco'!$AB$2:$AB$579,'Por foco'!$A$2:$A$579,$A15,'Por foco'!$B$2:$B$579,$B15)</f>
        <v>-5</v>
      </c>
      <c r="AA15" s="3" t="n">
        <f aca="false">SUMIFS('Por foco'!$AC$2:$AC$579,'Por foco'!$A$2:$A$579,$A15,'Por foco'!$B$2:$B$579,$B15)</f>
        <v>0</v>
      </c>
      <c r="AB15" s="3" t="n">
        <f aca="false">SUMIFS('Por foco'!$AD$2:$AD$579,'Por foco'!$A$2:$A$579,$A15,'Por foco'!$B$2:$B$579,$B15)</f>
        <v>0</v>
      </c>
      <c r="AC15" s="3" t="n">
        <f aca="false">SUMIFS('Por foco'!$AE$2:$AE$579,'Por foco'!$A$2:$A$579,$A15,'Por foco'!$B$2:$B$579,$B15)</f>
        <v>-20</v>
      </c>
      <c r="AD15" s="3" t="n">
        <f aca="false">SUMIFS('Por foco'!$AF$2:$AF$579,'Por foco'!$A$2:$A$579,$A15,'Por foco'!$B$2:$B$579,$B15)</f>
        <v>0</v>
      </c>
      <c r="AE15" s="3" t="n">
        <f aca="false">SUMIFS('Por foco'!$AG$2:$AG$579,'Por foco'!$A$2:$A$579,$A15,'Por foco'!$B$2:$B$579,$B15)</f>
        <v>26.5</v>
      </c>
      <c r="AF15" s="3" t="n">
        <f aca="false">SUMIFS('Por foco'!$AH$2:$AH$579,'Por foco'!$A$2:$A$579,$A15,'Por foco'!$B$2:$B$579,$B15)</f>
        <v>0</v>
      </c>
      <c r="AG15" s="3" t="n">
        <f aca="false">SUMIFS('Por foco'!$AI$2:$AI$579,'Por foco'!$A$2:$A$579,$A15,'Por foco'!$B$2:$B$579,$B15)</f>
        <v>21</v>
      </c>
      <c r="AH15" s="3" t="n">
        <f aca="false">SUMIFS('Por foco'!$AJ$2:$AJ$579,'Por foco'!$A$2:$A$579,$A15,'Por foco'!$B$2:$B$579,$B15)</f>
        <v>0</v>
      </c>
      <c r="AI15" s="3" t="n">
        <f aca="false">SUMIFS('Por foco'!$AK$2:$AK$579,'Por foco'!$A$2:$A$579,$A15,'Por foco'!$B$2:$B$579,$B15)</f>
        <v>0</v>
      </c>
      <c r="AJ15" s="3" t="n">
        <f aca="false">SUMIFS('Por foco'!$AL$2:$AL$579,'Por foco'!$A$2:$A$579,$A15,'Por foco'!$B$2:$B$579,$B15)</f>
        <v>0</v>
      </c>
      <c r="AK15" s="3" t="n">
        <f aca="false">SUMIFS('Por foco'!$AM$2:$AM$579,'Por foco'!$A$2:$A$579,$A15,'Por foco'!$B$2:$B$579,$B15)</f>
        <v>0</v>
      </c>
      <c r="AL15" s="3" t="n">
        <f aca="false">SUMIFS('Por foco'!$AN$2:$AN$579,'Por foco'!$A$2:$A$579,$A15,'Por foco'!$B$2:$B$579,$B15)</f>
        <v>-5</v>
      </c>
      <c r="AM15" s="3" t="n">
        <f aca="false">SUMIFS('Por foco'!$AO$2:$AO$579,'Por foco'!$A$2:$A$579,$A15,'Por foco'!$B$2:$B$579,$B15)</f>
        <v>0</v>
      </c>
      <c r="AN15" s="3" t="n">
        <f aca="false">SUMIFS('Por foco'!$AP$2:$AP$579,'Por foco'!$A$2:$A$579,$A15,'Por foco'!$B$2:$B$579,$B15)</f>
        <v>0</v>
      </c>
      <c r="AO15" s="3" t="n">
        <f aca="false">SUMIFS('Por foco'!$AQ$2:$AQ$579,'Por foco'!$A$2:$A$579,$A15,'Por foco'!$B$2:$B$579,$B15)</f>
        <v>0</v>
      </c>
      <c r="AP15" s="3" t="n">
        <f aca="false">SUMIFS('Por foco'!$AR$2:$AR$579,'Por foco'!$A$2:$A$579,$A15,'Por foco'!$B$2:$B$579,$B15)</f>
        <v>0</v>
      </c>
      <c r="AQ15" s="3" t="n">
        <f aca="false">SUMIFS('Por foco'!$AS$2:$AS$579,'Por foco'!$A$2:$A$579,$A15,'Por foco'!$B$2:$B$579,$B15)</f>
        <v>0</v>
      </c>
      <c r="AR15" s="3" t="n">
        <f aca="false">SUMIFS('Por foco'!$AT$2:$AT$579,'Por foco'!$A$2:$A$579,$A15,'Por foco'!$B$2:$B$579,$B15)</f>
        <v>0</v>
      </c>
      <c r="AS15" s="3" t="n">
        <f aca="false">SUMIFS('Por foco'!$AU$2:$AU$579,'Por foco'!$A$2:$A$579,$A15,'Por foco'!$B$2:$B$579,$B15)</f>
        <v>0</v>
      </c>
      <c r="AT15" s="3" t="n">
        <f aca="false">SUMIFS('Por foco'!$AV$2:$AV$579,'Por foco'!$A$2:$A$579,$A15,'Por foco'!$B$2:$B$579,$B15)</f>
        <v>0</v>
      </c>
      <c r="AU15" s="3" t="n">
        <f aca="false">SUMIFS('Por foco'!$AW$2:$AW$579,'Por foco'!$A$2:$A$579,$A15,'Por foco'!$B$2:$B$579,$B15)</f>
        <v>0</v>
      </c>
      <c r="AV15" s="3" t="n">
        <f aca="false">SUMIFS('Por foco'!$AX$2:$AX$579,'Por foco'!$A$2:$A$579,$A15,'Por foco'!$B$2:$B$579,$B15)</f>
        <v>0</v>
      </c>
      <c r="AW15" s="3" t="n">
        <f aca="false">SUMIFS('Por foco'!$AY$2:$AY$579,'Por foco'!$A$2:$A$579,$A15,'Por foco'!$B$2:$B$579,$B15)</f>
        <v>0</v>
      </c>
      <c r="AX15" s="3" t="n">
        <f aca="false">SUMIFS('Por foco'!$AZ$2:$AZ$579,'Por foco'!$A$2:$A$579,$A15,'Por foco'!$B$2:$B$579,$B15)</f>
        <v>0</v>
      </c>
      <c r="AY15" s="3" t="n">
        <f aca="false">SUMIFS('Por foco'!$BA$2:$BA$579,'Por foco'!$A$2:$A$579,$A15,'Por foco'!$B$2:$B$579,$B15)</f>
        <v>0</v>
      </c>
      <c r="AZ15" s="3" t="n">
        <f aca="false">SUMIFS('Por foco'!$BB$2:$BB$579,'Por foco'!$A$2:$A$579,$A15,'Por foco'!$B$2:$B$579,$B15)</f>
        <v>0</v>
      </c>
      <c r="BA15" s="3" t="n">
        <f aca="false">SUMIFS('Por foco'!$BC$2:$BC$579,'Por foco'!$A$2:$A$579,$A15,'Por foco'!$B$2:$B$579,$B15)</f>
        <v>0</v>
      </c>
      <c r="BB15" s="3" t="n">
        <f aca="false">SUMIFS('Por foco'!$BD$2:$BD$579,'Por foco'!$A$2:$A$579,$A15,'Por foco'!$B$2:$B$579,$B15)</f>
        <v>0</v>
      </c>
      <c r="BC15" s="3" t="n">
        <f aca="false">SUMIFS('Por foco'!$BE$2:$BE$579,'Por foco'!$A$2:$A$579,$A15,'Por foco'!$B$2:$B$579,$B15)</f>
        <v>0</v>
      </c>
      <c r="BD15" s="3" t="n">
        <f aca="false">SUMIFS('Por foco'!$BF$2:$BF$579,'Por foco'!$A$2:$A$579,$A15,'Por foco'!$B$2:$B$579,$B15)</f>
        <v>0</v>
      </c>
      <c r="BE15" s="3" t="n">
        <f aca="false">SUMIFS('Por foco'!$BG$2:$BG$579,'Por foco'!$A$2:$A$579,$A15,'Por foco'!$B$2:$B$579,$B15)</f>
        <v>0</v>
      </c>
    </row>
    <row r="16" customFormat="false" ht="15" hidden="false" customHeight="false" outlineLevel="0" collapsed="false">
      <c r="A16" s="3" t="s">
        <v>61</v>
      </c>
      <c r="B16" s="3" t="s">
        <v>91</v>
      </c>
      <c r="C16" s="3" t="n">
        <f aca="false">COUNTIFS('Por foco'!$A$2:$A$579,$A16,'Por foco'!$B$2:$B$579,$B16)</f>
        <v>7</v>
      </c>
      <c r="D16" s="6" t="n">
        <f aca="false">SUMIFS('Por foco'!$F$2:$F$579,'Por foco'!$A$2:$A$579,$A16,'Por foco'!$B$2:$B$579,$B16)</f>
        <v>1293</v>
      </c>
      <c r="E16" s="3" t="n">
        <f aca="false">IF(C16=0,0,SUMIFS('Por foco'!$E$2:$E$579,'Por foco'!$A$2:$A$579,$A16,'Por foco'!$B$2:$B$579,$B16)/C16)</f>
        <v>0.5</v>
      </c>
      <c r="F16" s="3" t="n">
        <f aca="false">SUMIFS('Por foco'!$H$2:$H$579,'Por foco'!$A$2:$A$579,$A16,'Por foco'!$B$2:$B$579,$B16)</f>
        <v>483</v>
      </c>
      <c r="G16" s="3" t="n">
        <f aca="false">SUMIFS('Por foco'!$I$2:$I$579,'Por foco'!$A$2:$A$579,$A16,'Por foco'!$B$2:$B$579,$B16)</f>
        <v>300</v>
      </c>
      <c r="H16" s="3" t="n">
        <f aca="false">SUMIFS('Por foco'!$J$2:$J$579,'Por foco'!$A$2:$A$579,$A16,'Por foco'!$B$2:$B$579,$B16)</f>
        <v>0</v>
      </c>
      <c r="I16" s="3" t="n">
        <f aca="false">SUMIFS('Por foco'!$K$2:$K$579,'Por foco'!$A$2:$A$579,$A16,'Por foco'!$B$2:$B$579,$B16)</f>
        <v>0</v>
      </c>
      <c r="J16" s="3" t="n">
        <f aca="false">SUMIFS('Por foco'!$L$2:$L$579,'Por foco'!$A$2:$A$579,$A16,'Por foco'!$B$2:$B$579,$B16)</f>
        <v>0</v>
      </c>
      <c r="K16" s="3" t="n">
        <f aca="false">SUMIFS('Por foco'!$M$2:$M$579,'Por foco'!$A$2:$A$579,$A16,'Por foco'!$B$2:$B$579,$B16)</f>
        <v>0</v>
      </c>
      <c r="L16" s="3" t="n">
        <f aca="false">SUMIFS('Por foco'!$N$2:$N$579,'Por foco'!$A$2:$A$579,$A16,'Por foco'!$B$2:$B$579,$B16)</f>
        <v>0</v>
      </c>
      <c r="M16" s="3" t="n">
        <f aca="false">SUMIFS('Por foco'!$O$2:$O$579,'Por foco'!$A$2:$A$579,$A16,'Por foco'!$B$2:$B$579,$B16)</f>
        <v>0</v>
      </c>
      <c r="N16" s="3" t="n">
        <f aca="false">SUMIFS('Por foco'!$P$2:$P$579,'Por foco'!$A$2:$A$579,$A16,'Por foco'!$B$2:$B$579,$B16)</f>
        <v>1</v>
      </c>
      <c r="O16" s="3" t="n">
        <f aca="false">SUMIFS('Por foco'!$Q$2:$Q$579,'Por foco'!$A$2:$A$579,$A16,'Por foco'!$B$2:$B$579,$B16)</f>
        <v>0</v>
      </c>
      <c r="P16" s="3" t="n">
        <f aca="false">SUMIFS('Por foco'!$R$2:$R$579,'Por foco'!$A$2:$A$579,$A16,'Por foco'!$B$2:$B$579,$B16)</f>
        <v>2</v>
      </c>
      <c r="Q16" s="3" t="n">
        <f aca="false">SUMIFS('Por foco'!$S$2:$S$579,'Por foco'!$A$2:$A$579,$A16,'Por foco'!$B$2:$B$579,$B16)</f>
        <v>0</v>
      </c>
      <c r="R16" s="3" t="n">
        <f aca="false">SUMIFS('Por foco'!$T$2:$T$579,'Por foco'!$A$2:$A$579,$A16,'Por foco'!$B$2:$B$579,$B16)</f>
        <v>0</v>
      </c>
      <c r="S16" s="3" t="n">
        <f aca="false">SUMIFS('Por foco'!$U$2:$U$579,'Por foco'!$A$2:$A$579,$A16,'Por foco'!$B$2:$B$579,$B16)</f>
        <v>0</v>
      </c>
      <c r="T16" s="3" t="n">
        <f aca="false">SUMIFS('Por foco'!$V$2:$V$579,'Por foco'!$A$2:$A$579,$A16,'Por foco'!$B$2:$B$579,$B16)</f>
        <v>0</v>
      </c>
      <c r="U16" s="3" t="n">
        <f aca="false">SUMIFS('Por foco'!$W$2:$W$579,'Por foco'!$A$2:$A$579,$A16,'Por foco'!$B$2:$B$579,$B16)</f>
        <v>0</v>
      </c>
      <c r="V16" s="3" t="n">
        <f aca="false">SUMIFS('Por foco'!$X$2:$X$579,'Por foco'!$A$2:$A$579,$A16,'Por foco'!$B$2:$B$579,$B16)</f>
        <v>0</v>
      </c>
      <c r="W16" s="3" t="n">
        <f aca="false">SUMIFS('Por foco'!$Y$2:$Y$579,'Por foco'!$A$2:$A$579,$A16,'Por foco'!$B$2:$B$579,$B16)</f>
        <v>0</v>
      </c>
      <c r="X16" s="3" t="n">
        <f aca="false">SUMIFS('Por foco'!$Z$2:$Z$579,'Por foco'!$A$2:$A$579,$A16,'Por foco'!$B$2:$B$579,$B16)</f>
        <v>0</v>
      </c>
      <c r="Y16" s="3" t="n">
        <f aca="false">SUMIFS('Por foco'!$AA$2:$AA$579,'Por foco'!$A$2:$A$579,$A16,'Por foco'!$B$2:$B$579,$B16)</f>
        <v>-0.1</v>
      </c>
      <c r="Z16" s="3" t="n">
        <f aca="false">SUMIFS('Por foco'!$AB$2:$AB$579,'Por foco'!$A$2:$A$579,$A16,'Por foco'!$B$2:$B$579,$B16)</f>
        <v>-7</v>
      </c>
      <c r="AA16" s="3" t="n">
        <f aca="false">SUMIFS('Por foco'!$AC$2:$AC$579,'Por foco'!$A$2:$A$579,$A16,'Por foco'!$B$2:$B$579,$B16)</f>
        <v>0</v>
      </c>
      <c r="AB16" s="3" t="n">
        <f aca="false">SUMIFS('Por foco'!$AD$2:$AD$579,'Por foco'!$A$2:$A$579,$A16,'Por foco'!$B$2:$B$579,$B16)</f>
        <v>0</v>
      </c>
      <c r="AC16" s="3" t="n">
        <f aca="false">SUMIFS('Por foco'!$AE$2:$AE$579,'Por foco'!$A$2:$A$579,$A16,'Por foco'!$B$2:$B$579,$B16)</f>
        <v>30</v>
      </c>
      <c r="AD16" s="3" t="n">
        <f aca="false">SUMIFS('Por foco'!$AF$2:$AF$579,'Por foco'!$A$2:$A$579,$A16,'Por foco'!$B$2:$B$579,$B16)</f>
        <v>0</v>
      </c>
      <c r="AE16" s="3" t="n">
        <f aca="false">SUMIFS('Por foco'!$AG$2:$AG$579,'Por foco'!$A$2:$A$579,$A16,'Por foco'!$B$2:$B$579,$B16)</f>
        <v>3.9</v>
      </c>
      <c r="AF16" s="3" t="n">
        <f aca="false">SUMIFS('Por foco'!$AH$2:$AH$579,'Por foco'!$A$2:$A$579,$A16,'Por foco'!$B$2:$B$579,$B16)</f>
        <v>0</v>
      </c>
      <c r="AG16" s="3" t="n">
        <f aca="false">SUMIFS('Por foco'!$AI$2:$AI$579,'Por foco'!$A$2:$A$579,$A16,'Por foco'!$B$2:$B$579,$B16)</f>
        <v>2.6</v>
      </c>
      <c r="AH16" s="3" t="n">
        <f aca="false">SUMIFS('Por foco'!$AJ$2:$AJ$579,'Por foco'!$A$2:$A$579,$A16,'Por foco'!$B$2:$B$579,$B16)</f>
        <v>0</v>
      </c>
      <c r="AI16" s="3" t="n">
        <f aca="false">SUMIFS('Por foco'!$AK$2:$AK$579,'Por foco'!$A$2:$A$579,$A16,'Por foco'!$B$2:$B$579,$B16)</f>
        <v>0</v>
      </c>
      <c r="AJ16" s="3" t="n">
        <f aca="false">SUMIFS('Por foco'!$AL$2:$AL$579,'Por foco'!$A$2:$A$579,$A16,'Por foco'!$B$2:$B$579,$B16)</f>
        <v>-10</v>
      </c>
      <c r="AK16" s="3" t="n">
        <f aca="false">SUMIFS('Por foco'!$AM$2:$AM$579,'Por foco'!$A$2:$A$579,$A16,'Por foco'!$B$2:$B$579,$B16)</f>
        <v>0</v>
      </c>
      <c r="AL16" s="3" t="n">
        <f aca="false">SUMIFS('Por foco'!$AN$2:$AN$579,'Por foco'!$A$2:$A$579,$A16,'Por foco'!$B$2:$B$579,$B16)</f>
        <v>10</v>
      </c>
      <c r="AM16" s="3" t="n">
        <f aca="false">SUMIFS('Por foco'!$AO$2:$AO$579,'Por foco'!$A$2:$A$579,$A16,'Por foco'!$B$2:$B$579,$B16)</f>
        <v>0</v>
      </c>
      <c r="AN16" s="3" t="n">
        <f aca="false">SUMIFS('Por foco'!$AP$2:$AP$579,'Por foco'!$A$2:$A$579,$A16,'Por foco'!$B$2:$B$579,$B16)</f>
        <v>0</v>
      </c>
      <c r="AO16" s="3" t="n">
        <f aca="false">SUMIFS('Por foco'!$AQ$2:$AQ$579,'Por foco'!$A$2:$A$579,$A16,'Por foco'!$B$2:$B$579,$B16)</f>
        <v>0</v>
      </c>
      <c r="AP16" s="3" t="n">
        <f aca="false">SUMIFS('Por foco'!$AR$2:$AR$579,'Por foco'!$A$2:$A$579,$A16,'Por foco'!$B$2:$B$579,$B16)</f>
        <v>0</v>
      </c>
      <c r="AQ16" s="3" t="n">
        <f aca="false">SUMIFS('Por foco'!$AS$2:$AS$579,'Por foco'!$A$2:$A$579,$A16,'Por foco'!$B$2:$B$579,$B16)</f>
        <v>0</v>
      </c>
      <c r="AR16" s="3" t="n">
        <f aca="false">SUMIFS('Por foco'!$AT$2:$AT$579,'Por foco'!$A$2:$A$579,$A16,'Por foco'!$B$2:$B$579,$B16)</f>
        <v>0</v>
      </c>
      <c r="AS16" s="3" t="n">
        <f aca="false">SUMIFS('Por foco'!$AU$2:$AU$579,'Por foco'!$A$2:$A$579,$A16,'Por foco'!$B$2:$B$579,$B16)</f>
        <v>0</v>
      </c>
      <c r="AT16" s="3" t="n">
        <f aca="false">SUMIFS('Por foco'!$AV$2:$AV$579,'Por foco'!$A$2:$A$579,$A16,'Por foco'!$B$2:$B$579,$B16)</f>
        <v>0</v>
      </c>
      <c r="AU16" s="3" t="n">
        <f aca="false">SUMIFS('Por foco'!$AW$2:$AW$579,'Por foco'!$A$2:$A$579,$A16,'Por foco'!$B$2:$B$579,$B16)</f>
        <v>0</v>
      </c>
      <c r="AV16" s="3" t="n">
        <f aca="false">SUMIFS('Por foco'!$AX$2:$AX$579,'Por foco'!$A$2:$A$579,$A16,'Por foco'!$B$2:$B$579,$B16)</f>
        <v>0</v>
      </c>
      <c r="AW16" s="3" t="n">
        <f aca="false">SUMIFS('Por foco'!$AY$2:$AY$579,'Por foco'!$A$2:$A$579,$A16,'Por foco'!$B$2:$B$579,$B16)</f>
        <v>0</v>
      </c>
      <c r="AX16" s="3" t="n">
        <f aca="false">SUMIFS('Por foco'!$AZ$2:$AZ$579,'Por foco'!$A$2:$A$579,$A16,'Por foco'!$B$2:$B$579,$B16)</f>
        <v>0</v>
      </c>
      <c r="AY16" s="3" t="n">
        <f aca="false">SUMIFS('Por foco'!$BA$2:$BA$579,'Por foco'!$A$2:$A$579,$A16,'Por foco'!$B$2:$B$579,$B16)</f>
        <v>0</v>
      </c>
      <c r="AZ16" s="3" t="n">
        <f aca="false">SUMIFS('Por foco'!$BB$2:$BB$579,'Por foco'!$A$2:$A$579,$A16,'Por foco'!$B$2:$B$579,$B16)</f>
        <v>0</v>
      </c>
      <c r="BA16" s="3" t="n">
        <f aca="false">SUMIFS('Por foco'!$BC$2:$BC$579,'Por foco'!$A$2:$A$579,$A16,'Por foco'!$B$2:$B$579,$B16)</f>
        <v>0</v>
      </c>
      <c r="BB16" s="3" t="n">
        <f aca="false">SUMIFS('Por foco'!$BD$2:$BD$579,'Por foco'!$A$2:$A$579,$A16,'Por foco'!$B$2:$B$579,$B16)</f>
        <v>0</v>
      </c>
      <c r="BC16" s="3" t="n">
        <f aca="false">SUMIFS('Por foco'!$BE$2:$BE$579,'Por foco'!$A$2:$A$579,$A16,'Por foco'!$B$2:$B$579,$B16)</f>
        <v>0</v>
      </c>
      <c r="BD16" s="3" t="n">
        <f aca="false">SUMIFS('Por foco'!$BF$2:$BF$579,'Por foco'!$A$2:$A$579,$A16,'Por foco'!$B$2:$B$579,$B16)</f>
        <v>0</v>
      </c>
      <c r="BE16" s="3" t="n">
        <f aca="false">SUMIFS('Por foco'!$BG$2:$BG$579,'Por foco'!$A$2:$A$579,$A16,'Por foco'!$B$2:$B$579,$B16)</f>
        <v>0</v>
      </c>
    </row>
    <row r="17" customFormat="false" ht="15" hidden="false" customHeight="false" outlineLevel="0" collapsed="false">
      <c r="A17" s="3" t="s">
        <v>61</v>
      </c>
      <c r="B17" s="3" t="s">
        <v>92</v>
      </c>
      <c r="C17" s="3" t="n">
        <f aca="false">COUNTIFS('Por foco'!$A$2:$A$579,$A17,'Por foco'!$B$2:$B$579,$B17)</f>
        <v>6</v>
      </c>
      <c r="D17" s="6" t="n">
        <f aca="false">SUMIFS('Por foco'!$F$2:$F$579,'Por foco'!$A$2:$A$579,$A17,'Por foco'!$B$2:$B$579,$B17)</f>
        <v>1385</v>
      </c>
      <c r="E17" s="3" t="n">
        <f aca="false">IF(C17=0,0,SUMIFS('Por foco'!$E$2:$E$579,'Por foco'!$A$2:$A$579,$A17,'Por foco'!$B$2:$B$579,$B17)/C17)</f>
        <v>1</v>
      </c>
      <c r="F17" s="3" t="n">
        <f aca="false">SUMIFS('Por foco'!$H$2:$H$579,'Por foco'!$A$2:$A$579,$A17,'Por foco'!$B$2:$B$579,$B17)</f>
        <v>364</v>
      </c>
      <c r="G17" s="3" t="n">
        <f aca="false">SUMIFS('Por foco'!$I$2:$I$579,'Por foco'!$A$2:$A$579,$A17,'Por foco'!$B$2:$B$579,$B17)</f>
        <v>0</v>
      </c>
      <c r="H17" s="3" t="n">
        <f aca="false">SUMIFS('Por foco'!$J$2:$J$579,'Por foco'!$A$2:$A$579,$A17,'Por foco'!$B$2:$B$579,$B17)</f>
        <v>0</v>
      </c>
      <c r="I17" s="3" t="n">
        <f aca="false">SUMIFS('Por foco'!$K$2:$K$579,'Por foco'!$A$2:$A$579,$A17,'Por foco'!$B$2:$B$579,$B17)</f>
        <v>0</v>
      </c>
      <c r="J17" s="3" t="n">
        <f aca="false">SUMIFS('Por foco'!$L$2:$L$579,'Por foco'!$A$2:$A$579,$A17,'Por foco'!$B$2:$B$579,$B17)</f>
        <v>0</v>
      </c>
      <c r="K17" s="3" t="n">
        <f aca="false">SUMIFS('Por foco'!$M$2:$M$579,'Por foco'!$A$2:$A$579,$A17,'Por foco'!$B$2:$B$579,$B17)</f>
        <v>0</v>
      </c>
      <c r="L17" s="3" t="n">
        <f aca="false">SUMIFS('Por foco'!$N$2:$N$579,'Por foco'!$A$2:$A$579,$A17,'Por foco'!$B$2:$B$579,$B17)</f>
        <v>0</v>
      </c>
      <c r="M17" s="3" t="n">
        <f aca="false">SUMIFS('Por foco'!$O$2:$O$579,'Por foco'!$A$2:$A$579,$A17,'Por foco'!$B$2:$B$579,$B17)</f>
        <v>0</v>
      </c>
      <c r="N17" s="3" t="n">
        <f aca="false">SUMIFS('Por foco'!$P$2:$P$579,'Por foco'!$A$2:$A$579,$A17,'Por foco'!$B$2:$B$579,$B17)</f>
        <v>1</v>
      </c>
      <c r="O17" s="3" t="n">
        <f aca="false">SUMIFS('Por foco'!$Q$2:$Q$579,'Por foco'!$A$2:$A$579,$A17,'Por foco'!$B$2:$B$579,$B17)</f>
        <v>1</v>
      </c>
      <c r="P17" s="3" t="n">
        <f aca="false">SUMIFS('Por foco'!$R$2:$R$579,'Por foco'!$A$2:$A$579,$A17,'Por foco'!$B$2:$B$579,$B17)</f>
        <v>0</v>
      </c>
      <c r="Q17" s="3" t="n">
        <f aca="false">SUMIFS('Por foco'!$S$2:$S$579,'Por foco'!$A$2:$A$579,$A17,'Por foco'!$B$2:$B$579,$B17)</f>
        <v>2</v>
      </c>
      <c r="R17" s="3" t="n">
        <f aca="false">SUMIFS('Por foco'!$T$2:$T$579,'Por foco'!$A$2:$A$579,$A17,'Por foco'!$B$2:$B$579,$B17)</f>
        <v>2</v>
      </c>
      <c r="S17" s="3" t="n">
        <f aca="false">SUMIFS('Por foco'!$U$2:$U$579,'Por foco'!$A$2:$A$579,$A17,'Por foco'!$B$2:$B$579,$B17)</f>
        <v>0</v>
      </c>
      <c r="T17" s="3" t="n">
        <f aca="false">SUMIFS('Por foco'!$V$2:$V$579,'Por foco'!$A$2:$A$579,$A17,'Por foco'!$B$2:$B$579,$B17)</f>
        <v>0</v>
      </c>
      <c r="U17" s="3" t="n">
        <f aca="false">SUMIFS('Por foco'!$W$2:$W$579,'Por foco'!$A$2:$A$579,$A17,'Por foco'!$B$2:$B$579,$B17)</f>
        <v>0</v>
      </c>
      <c r="V17" s="3" t="n">
        <f aca="false">SUMIFS('Por foco'!$X$2:$X$579,'Por foco'!$A$2:$A$579,$A17,'Por foco'!$B$2:$B$579,$B17)</f>
        <v>0</v>
      </c>
      <c r="W17" s="3" t="n">
        <f aca="false">SUMIFS('Por foco'!$Y$2:$Y$579,'Por foco'!$A$2:$A$579,$A17,'Por foco'!$B$2:$B$579,$B17)</f>
        <v>0</v>
      </c>
      <c r="X17" s="3" t="n">
        <f aca="false">SUMIFS('Por foco'!$Z$2:$Z$579,'Por foco'!$A$2:$A$579,$A17,'Por foco'!$B$2:$B$579,$B17)</f>
        <v>0</v>
      </c>
      <c r="Y17" s="3" t="n">
        <f aca="false">SUMIFS('Por foco'!$AA$2:$AA$579,'Por foco'!$A$2:$A$579,$A17,'Por foco'!$B$2:$B$579,$B17)</f>
        <v>0</v>
      </c>
      <c r="Z17" s="3" t="n">
        <f aca="false">SUMIFS('Por foco'!$AB$2:$AB$579,'Por foco'!$A$2:$A$579,$A17,'Por foco'!$B$2:$B$579,$B17)</f>
        <v>0</v>
      </c>
      <c r="AA17" s="3" t="n">
        <f aca="false">SUMIFS('Por foco'!$AC$2:$AC$579,'Por foco'!$A$2:$A$579,$A17,'Por foco'!$B$2:$B$579,$B17)</f>
        <v>0</v>
      </c>
      <c r="AB17" s="3" t="n">
        <f aca="false">SUMIFS('Por foco'!$AD$2:$AD$579,'Por foco'!$A$2:$A$579,$A17,'Por foco'!$B$2:$B$579,$B17)</f>
        <v>0</v>
      </c>
      <c r="AC17" s="3" t="n">
        <f aca="false">SUMIFS('Por foco'!$AE$2:$AE$579,'Por foco'!$A$2:$A$579,$A17,'Por foco'!$B$2:$B$579,$B17)</f>
        <v>0</v>
      </c>
      <c r="AD17" s="3" t="n">
        <f aca="false">SUMIFS('Por foco'!$AF$2:$AF$579,'Por foco'!$A$2:$A$579,$A17,'Por foco'!$B$2:$B$579,$B17)</f>
        <v>0</v>
      </c>
      <c r="AE17" s="3" t="n">
        <f aca="false">SUMIFS('Por foco'!$AG$2:$AG$579,'Por foco'!$A$2:$A$579,$A17,'Por foco'!$B$2:$B$579,$B17)</f>
        <v>25.75</v>
      </c>
      <c r="AF17" s="3" t="n">
        <f aca="false">SUMIFS('Por foco'!$AH$2:$AH$579,'Por foco'!$A$2:$A$579,$A17,'Por foco'!$B$2:$B$579,$B17)</f>
        <v>0</v>
      </c>
      <c r="AG17" s="3" t="n">
        <f aca="false">SUMIFS('Por foco'!$AI$2:$AI$579,'Por foco'!$A$2:$A$579,$A17,'Por foco'!$B$2:$B$579,$B17)</f>
        <v>0.5</v>
      </c>
      <c r="AH17" s="3" t="n">
        <f aca="false">SUMIFS('Por foco'!$AJ$2:$AJ$579,'Por foco'!$A$2:$A$579,$A17,'Por foco'!$B$2:$B$579,$B17)</f>
        <v>0</v>
      </c>
      <c r="AI17" s="3" t="n">
        <f aca="false">SUMIFS('Por foco'!$AK$2:$AK$579,'Por foco'!$A$2:$A$579,$A17,'Por foco'!$B$2:$B$579,$B17)</f>
        <v>0</v>
      </c>
      <c r="AJ17" s="3" t="n">
        <f aca="false">SUMIFS('Por foco'!$AL$2:$AL$579,'Por foco'!$A$2:$A$579,$A17,'Por foco'!$B$2:$B$579,$B17)</f>
        <v>0</v>
      </c>
      <c r="AK17" s="3" t="n">
        <f aca="false">SUMIFS('Por foco'!$AM$2:$AM$579,'Por foco'!$A$2:$A$579,$A17,'Por foco'!$B$2:$B$579,$B17)</f>
        <v>0</v>
      </c>
      <c r="AL17" s="3" t="n">
        <f aca="false">SUMIFS('Por foco'!$AN$2:$AN$579,'Por foco'!$A$2:$A$579,$A17,'Por foco'!$B$2:$B$579,$B17)</f>
        <v>0</v>
      </c>
      <c r="AM17" s="3" t="n">
        <f aca="false">SUMIFS('Por foco'!$AO$2:$AO$579,'Por foco'!$A$2:$A$579,$A17,'Por foco'!$B$2:$B$579,$B17)</f>
        <v>0</v>
      </c>
      <c r="AN17" s="3" t="n">
        <f aca="false">SUMIFS('Por foco'!$AP$2:$AP$579,'Por foco'!$A$2:$A$579,$A17,'Por foco'!$B$2:$B$579,$B17)</f>
        <v>0</v>
      </c>
      <c r="AO17" s="3" t="n">
        <f aca="false">SUMIFS('Por foco'!$AQ$2:$AQ$579,'Por foco'!$A$2:$A$579,$A17,'Por foco'!$B$2:$B$579,$B17)</f>
        <v>0</v>
      </c>
      <c r="AP17" s="3" t="n">
        <f aca="false">SUMIFS('Por foco'!$AR$2:$AR$579,'Por foco'!$A$2:$A$579,$A17,'Por foco'!$B$2:$B$579,$B17)</f>
        <v>0</v>
      </c>
      <c r="AQ17" s="3" t="n">
        <f aca="false">SUMIFS('Por foco'!$AS$2:$AS$579,'Por foco'!$A$2:$A$579,$A17,'Por foco'!$B$2:$B$579,$B17)</f>
        <v>0</v>
      </c>
      <c r="AR17" s="3" t="n">
        <f aca="false">SUMIFS('Por foco'!$AT$2:$AT$579,'Por foco'!$A$2:$A$579,$A17,'Por foco'!$B$2:$B$579,$B17)</f>
        <v>0</v>
      </c>
      <c r="AS17" s="3" t="n">
        <f aca="false">SUMIFS('Por foco'!$AU$2:$AU$579,'Por foco'!$A$2:$A$579,$A17,'Por foco'!$B$2:$B$579,$B17)</f>
        <v>0</v>
      </c>
      <c r="AT17" s="3" t="n">
        <f aca="false">SUMIFS('Por foco'!$AV$2:$AV$579,'Por foco'!$A$2:$A$579,$A17,'Por foco'!$B$2:$B$579,$B17)</f>
        <v>0</v>
      </c>
      <c r="AU17" s="3" t="n">
        <f aca="false">SUMIFS('Por foco'!$AW$2:$AW$579,'Por foco'!$A$2:$A$579,$A17,'Por foco'!$B$2:$B$579,$B17)</f>
        <v>0</v>
      </c>
      <c r="AV17" s="3" t="n">
        <f aca="false">SUMIFS('Por foco'!$AX$2:$AX$579,'Por foco'!$A$2:$A$579,$A17,'Por foco'!$B$2:$B$579,$B17)</f>
        <v>0</v>
      </c>
      <c r="AW17" s="3" t="n">
        <f aca="false">SUMIFS('Por foco'!$AY$2:$AY$579,'Por foco'!$A$2:$A$579,$A17,'Por foco'!$B$2:$B$579,$B17)</f>
        <v>0</v>
      </c>
      <c r="AX17" s="3" t="n">
        <f aca="false">SUMIFS('Por foco'!$AZ$2:$AZ$579,'Por foco'!$A$2:$A$579,$A17,'Por foco'!$B$2:$B$579,$B17)</f>
        <v>0</v>
      </c>
      <c r="AY17" s="3" t="n">
        <f aca="false">SUMIFS('Por foco'!$BA$2:$BA$579,'Por foco'!$A$2:$A$579,$A17,'Por foco'!$B$2:$B$579,$B17)</f>
        <v>0</v>
      </c>
      <c r="AZ17" s="3" t="n">
        <f aca="false">SUMIFS('Por foco'!$BB$2:$BB$579,'Por foco'!$A$2:$A$579,$A17,'Por foco'!$B$2:$B$579,$B17)</f>
        <v>0</v>
      </c>
      <c r="BA17" s="3" t="n">
        <f aca="false">SUMIFS('Por foco'!$BC$2:$BC$579,'Por foco'!$A$2:$A$579,$A17,'Por foco'!$B$2:$B$579,$B17)</f>
        <v>0</v>
      </c>
      <c r="BB17" s="3" t="n">
        <f aca="false">SUMIFS('Por foco'!$BD$2:$BD$579,'Por foco'!$A$2:$A$579,$A17,'Por foco'!$B$2:$B$579,$B17)</f>
        <v>0</v>
      </c>
      <c r="BC17" s="3" t="n">
        <f aca="false">SUMIFS('Por foco'!$BE$2:$BE$579,'Por foco'!$A$2:$A$579,$A17,'Por foco'!$B$2:$B$579,$B17)</f>
        <v>0</v>
      </c>
      <c r="BD17" s="3" t="n">
        <f aca="false">SUMIFS('Por foco'!$BF$2:$BF$579,'Por foco'!$A$2:$A$579,$A17,'Por foco'!$B$2:$B$579,$B17)</f>
        <v>0</v>
      </c>
      <c r="BE17" s="3" t="n">
        <f aca="false">SUMIFS('Por foco'!$BG$2:$BG$579,'Por foco'!$A$2:$A$579,$A17,'Por foco'!$B$2:$B$579,$B17)</f>
        <v>0</v>
      </c>
    </row>
    <row r="18" customFormat="false" ht="15" hidden="false" customHeight="false" outlineLevel="0" collapsed="false">
      <c r="A18" s="3" t="s">
        <v>61</v>
      </c>
      <c r="B18" s="3" t="s">
        <v>93</v>
      </c>
      <c r="C18" s="3" t="n">
        <f aca="false">COUNTIFS('Por foco'!$A$2:$A$579,$A18,'Por foco'!$B$2:$B$579,$B18)</f>
        <v>6</v>
      </c>
      <c r="D18" s="6" t="n">
        <f aca="false">SUMIFS('Por foco'!$F$2:$F$579,'Por foco'!$A$2:$A$579,$A18,'Por foco'!$B$2:$B$579,$B18)</f>
        <v>933</v>
      </c>
      <c r="E18" s="3" t="n">
        <f aca="false">IF(C18=0,0,SUMIFS('Por foco'!$E$2:$E$579,'Por foco'!$A$2:$A$579,$A18,'Por foco'!$B$2:$B$579,$B18)/C18)</f>
        <v>1</v>
      </c>
      <c r="F18" s="3" t="n">
        <f aca="false">SUMIFS('Por foco'!$H$2:$H$579,'Por foco'!$A$2:$A$579,$A18,'Por foco'!$B$2:$B$579,$B18)</f>
        <v>357</v>
      </c>
      <c r="G18" s="3" t="n">
        <f aca="false">SUMIFS('Por foco'!$I$2:$I$579,'Por foco'!$A$2:$A$579,$A18,'Por foco'!$B$2:$B$579,$B18)</f>
        <v>0</v>
      </c>
      <c r="H18" s="3" t="n">
        <f aca="false">SUMIFS('Por foco'!$J$2:$J$579,'Por foco'!$A$2:$A$579,$A18,'Por foco'!$B$2:$B$579,$B18)</f>
        <v>0</v>
      </c>
      <c r="I18" s="3" t="n">
        <f aca="false">SUMIFS('Por foco'!$K$2:$K$579,'Por foco'!$A$2:$A$579,$A18,'Por foco'!$B$2:$B$579,$B18)</f>
        <v>0</v>
      </c>
      <c r="J18" s="3" t="n">
        <f aca="false">SUMIFS('Por foco'!$L$2:$L$579,'Por foco'!$A$2:$A$579,$A18,'Por foco'!$B$2:$B$579,$B18)</f>
        <v>0</v>
      </c>
      <c r="K18" s="3" t="n">
        <f aca="false">SUMIFS('Por foco'!$M$2:$M$579,'Por foco'!$A$2:$A$579,$A18,'Por foco'!$B$2:$B$579,$B18)</f>
        <v>0</v>
      </c>
      <c r="L18" s="3" t="n">
        <f aca="false">SUMIFS('Por foco'!$N$2:$N$579,'Por foco'!$A$2:$A$579,$A18,'Por foco'!$B$2:$B$579,$B18)</f>
        <v>0</v>
      </c>
      <c r="M18" s="3" t="n">
        <f aca="false">SUMIFS('Por foco'!$O$2:$O$579,'Por foco'!$A$2:$A$579,$A18,'Por foco'!$B$2:$B$579,$B18)</f>
        <v>0</v>
      </c>
      <c r="N18" s="3" t="n">
        <f aca="false">SUMIFS('Por foco'!$P$2:$P$579,'Por foco'!$A$2:$A$579,$A18,'Por foco'!$B$2:$B$579,$B18)</f>
        <v>0</v>
      </c>
      <c r="O18" s="3" t="n">
        <f aca="false">SUMIFS('Por foco'!$Q$2:$Q$579,'Por foco'!$A$2:$A$579,$A18,'Por foco'!$B$2:$B$579,$B18)</f>
        <v>5</v>
      </c>
      <c r="P18" s="3" t="n">
        <f aca="false">SUMIFS('Por foco'!$R$2:$R$579,'Por foco'!$A$2:$A$579,$A18,'Por foco'!$B$2:$B$579,$B18)</f>
        <v>0</v>
      </c>
      <c r="Q18" s="3" t="n">
        <f aca="false">SUMIFS('Por foco'!$S$2:$S$579,'Por foco'!$A$2:$A$579,$A18,'Por foco'!$B$2:$B$579,$B18)</f>
        <v>2</v>
      </c>
      <c r="R18" s="3" t="n">
        <f aca="false">SUMIFS('Por foco'!$T$2:$T$579,'Por foco'!$A$2:$A$579,$A18,'Por foco'!$B$2:$B$579,$B18)</f>
        <v>0</v>
      </c>
      <c r="S18" s="3" t="n">
        <f aca="false">SUMIFS('Por foco'!$U$2:$U$579,'Por foco'!$A$2:$A$579,$A18,'Por foco'!$B$2:$B$579,$B18)</f>
        <v>0</v>
      </c>
      <c r="T18" s="3" t="n">
        <f aca="false">SUMIFS('Por foco'!$V$2:$V$579,'Por foco'!$A$2:$A$579,$A18,'Por foco'!$B$2:$B$579,$B18)</f>
        <v>0</v>
      </c>
      <c r="U18" s="3" t="n">
        <f aca="false">SUMIFS('Por foco'!$W$2:$W$579,'Por foco'!$A$2:$A$579,$A18,'Por foco'!$B$2:$B$579,$B18)</f>
        <v>0</v>
      </c>
      <c r="V18" s="3" t="n">
        <f aca="false">SUMIFS('Por foco'!$X$2:$X$579,'Por foco'!$A$2:$A$579,$A18,'Por foco'!$B$2:$B$579,$B18)</f>
        <v>0</v>
      </c>
      <c r="W18" s="3" t="n">
        <f aca="false">SUMIFS('Por foco'!$Y$2:$Y$579,'Por foco'!$A$2:$A$579,$A18,'Por foco'!$B$2:$B$579,$B18)</f>
        <v>0</v>
      </c>
      <c r="X18" s="3" t="n">
        <f aca="false">SUMIFS('Por foco'!$Z$2:$Z$579,'Por foco'!$A$2:$A$579,$A18,'Por foco'!$B$2:$B$579,$B18)</f>
        <v>0</v>
      </c>
      <c r="Y18" s="3" t="n">
        <f aca="false">SUMIFS('Por foco'!$AA$2:$AA$579,'Por foco'!$A$2:$A$579,$A18,'Por foco'!$B$2:$B$579,$B18)</f>
        <v>0</v>
      </c>
      <c r="Z18" s="3" t="n">
        <f aca="false">SUMIFS('Por foco'!$AB$2:$AB$579,'Por foco'!$A$2:$A$579,$A18,'Por foco'!$B$2:$B$579,$B18)</f>
        <v>0</v>
      </c>
      <c r="AA18" s="3" t="n">
        <f aca="false">SUMIFS('Por foco'!$AC$2:$AC$579,'Por foco'!$A$2:$A$579,$A18,'Por foco'!$B$2:$B$579,$B18)</f>
        <v>10</v>
      </c>
      <c r="AB18" s="3" t="n">
        <f aca="false">SUMIFS('Por foco'!$AD$2:$AD$579,'Por foco'!$A$2:$A$579,$A18,'Por foco'!$B$2:$B$579,$B18)</f>
        <v>0</v>
      </c>
      <c r="AC18" s="3" t="n">
        <f aca="false">SUMIFS('Por foco'!$AE$2:$AE$579,'Por foco'!$A$2:$A$579,$A18,'Por foco'!$B$2:$B$579,$B18)</f>
        <v>0</v>
      </c>
      <c r="AD18" s="3" t="n">
        <f aca="false">SUMIFS('Por foco'!$AF$2:$AF$579,'Por foco'!$A$2:$A$579,$A18,'Por foco'!$B$2:$B$579,$B18)</f>
        <v>0</v>
      </c>
      <c r="AE18" s="3" t="n">
        <f aca="false">SUMIFS('Por foco'!$AG$2:$AG$579,'Por foco'!$A$2:$A$579,$A18,'Por foco'!$B$2:$B$579,$B18)</f>
        <v>0.45</v>
      </c>
      <c r="AF18" s="3" t="n">
        <f aca="false">SUMIFS('Por foco'!$AH$2:$AH$579,'Por foco'!$A$2:$A$579,$A18,'Por foco'!$B$2:$B$579,$B18)</f>
        <v>0</v>
      </c>
      <c r="AG18" s="3" t="n">
        <f aca="false">SUMIFS('Por foco'!$AI$2:$AI$579,'Por foco'!$A$2:$A$579,$A18,'Por foco'!$B$2:$B$579,$B18)</f>
        <v>0.3</v>
      </c>
      <c r="AH18" s="3" t="n">
        <f aca="false">SUMIFS('Por foco'!$AJ$2:$AJ$579,'Por foco'!$A$2:$A$579,$A18,'Por foco'!$B$2:$B$579,$B18)</f>
        <v>0</v>
      </c>
      <c r="AI18" s="3" t="n">
        <f aca="false">SUMIFS('Por foco'!$AK$2:$AK$579,'Por foco'!$A$2:$A$579,$A18,'Por foco'!$B$2:$B$579,$B18)</f>
        <v>0</v>
      </c>
      <c r="AJ18" s="3" t="n">
        <f aca="false">SUMIFS('Por foco'!$AL$2:$AL$579,'Por foco'!$A$2:$A$579,$A18,'Por foco'!$B$2:$B$579,$B18)</f>
        <v>0</v>
      </c>
      <c r="AK18" s="3" t="n">
        <f aca="false">SUMIFS('Por foco'!$AM$2:$AM$579,'Por foco'!$A$2:$A$579,$A18,'Por foco'!$B$2:$B$579,$B18)</f>
        <v>0</v>
      </c>
      <c r="AL18" s="3" t="n">
        <f aca="false">SUMIFS('Por foco'!$AN$2:$AN$579,'Por foco'!$A$2:$A$579,$A18,'Por foco'!$B$2:$B$579,$B18)</f>
        <v>0</v>
      </c>
      <c r="AM18" s="3" t="n">
        <f aca="false">SUMIFS('Por foco'!$AO$2:$AO$579,'Por foco'!$A$2:$A$579,$A18,'Por foco'!$B$2:$B$579,$B18)</f>
        <v>0</v>
      </c>
      <c r="AN18" s="3" t="n">
        <f aca="false">SUMIFS('Por foco'!$AP$2:$AP$579,'Por foco'!$A$2:$A$579,$A18,'Por foco'!$B$2:$B$579,$B18)</f>
        <v>10</v>
      </c>
      <c r="AO18" s="3" t="n">
        <f aca="false">SUMIFS('Por foco'!$AQ$2:$AQ$579,'Por foco'!$A$2:$A$579,$A18,'Por foco'!$B$2:$B$579,$B18)</f>
        <v>10</v>
      </c>
      <c r="AP18" s="3" t="n">
        <f aca="false">SUMIFS('Por foco'!$AR$2:$AR$579,'Por foco'!$A$2:$A$579,$A18,'Por foco'!$B$2:$B$579,$B18)</f>
        <v>0</v>
      </c>
      <c r="AQ18" s="3" t="n">
        <f aca="false">SUMIFS('Por foco'!$AS$2:$AS$579,'Por foco'!$A$2:$A$579,$A18,'Por foco'!$B$2:$B$579,$B18)</f>
        <v>10</v>
      </c>
      <c r="AR18" s="3" t="n">
        <f aca="false">SUMIFS('Por foco'!$AT$2:$AT$579,'Por foco'!$A$2:$A$579,$A18,'Por foco'!$B$2:$B$579,$B18)</f>
        <v>0</v>
      </c>
      <c r="AS18" s="3" t="n">
        <f aca="false">SUMIFS('Por foco'!$AU$2:$AU$579,'Por foco'!$A$2:$A$579,$A18,'Por foco'!$B$2:$B$579,$B18)</f>
        <v>0</v>
      </c>
      <c r="AT18" s="3" t="n">
        <f aca="false">SUMIFS('Por foco'!$AV$2:$AV$579,'Por foco'!$A$2:$A$579,$A18,'Por foco'!$B$2:$B$579,$B18)</f>
        <v>0</v>
      </c>
      <c r="AU18" s="3" t="n">
        <f aca="false">SUMIFS('Por foco'!$AW$2:$AW$579,'Por foco'!$A$2:$A$579,$A18,'Por foco'!$B$2:$B$579,$B18)</f>
        <v>0</v>
      </c>
      <c r="AV18" s="3" t="n">
        <f aca="false">SUMIFS('Por foco'!$AX$2:$AX$579,'Por foco'!$A$2:$A$579,$A18,'Por foco'!$B$2:$B$579,$B18)</f>
        <v>0</v>
      </c>
      <c r="AW18" s="3" t="n">
        <f aca="false">SUMIFS('Por foco'!$AY$2:$AY$579,'Por foco'!$A$2:$A$579,$A18,'Por foco'!$B$2:$B$579,$B18)</f>
        <v>0</v>
      </c>
      <c r="AX18" s="3" t="n">
        <f aca="false">SUMIFS('Por foco'!$AZ$2:$AZ$579,'Por foco'!$A$2:$A$579,$A18,'Por foco'!$B$2:$B$579,$B18)</f>
        <v>0</v>
      </c>
      <c r="AY18" s="3" t="n">
        <f aca="false">SUMIFS('Por foco'!$BA$2:$BA$579,'Por foco'!$A$2:$A$579,$A18,'Por foco'!$B$2:$B$579,$B18)</f>
        <v>0</v>
      </c>
      <c r="AZ18" s="3" t="n">
        <f aca="false">SUMIFS('Por foco'!$BB$2:$BB$579,'Por foco'!$A$2:$A$579,$A18,'Por foco'!$B$2:$B$579,$B18)</f>
        <v>0</v>
      </c>
      <c r="BA18" s="3" t="n">
        <f aca="false">SUMIFS('Por foco'!$BC$2:$BC$579,'Por foco'!$A$2:$A$579,$A18,'Por foco'!$B$2:$B$579,$B18)</f>
        <v>0</v>
      </c>
      <c r="BB18" s="3" t="n">
        <f aca="false">SUMIFS('Por foco'!$BD$2:$BD$579,'Por foco'!$A$2:$A$579,$A18,'Por foco'!$B$2:$B$579,$B18)</f>
        <v>0</v>
      </c>
      <c r="BC18" s="3" t="n">
        <f aca="false">SUMIFS('Por foco'!$BE$2:$BE$579,'Por foco'!$A$2:$A$579,$A18,'Por foco'!$B$2:$B$579,$B18)</f>
        <v>0</v>
      </c>
      <c r="BD18" s="3" t="n">
        <f aca="false">SUMIFS('Por foco'!$BF$2:$BF$579,'Por foco'!$A$2:$A$579,$A18,'Por foco'!$B$2:$B$579,$B18)</f>
        <v>0</v>
      </c>
      <c r="BE18" s="3" t="n">
        <f aca="false">SUMIFS('Por foco'!$BG$2:$BG$579,'Por foco'!$A$2:$A$579,$A18,'Por foco'!$B$2:$B$579,$B18)</f>
        <v>0</v>
      </c>
    </row>
    <row r="19" customFormat="false" ht="15" hidden="false" customHeight="false" outlineLevel="0" collapsed="false">
      <c r="A19" s="3" t="s">
        <v>61</v>
      </c>
      <c r="B19" s="3" t="s">
        <v>94</v>
      </c>
      <c r="C19" s="3" t="n">
        <f aca="false">COUNTIFS('Por foco'!$A$2:$A$579,$A19,'Por foco'!$B$2:$B$579,$B19)</f>
        <v>6</v>
      </c>
      <c r="D19" s="6" t="n">
        <f aca="false">SUMIFS('Por foco'!$F$2:$F$579,'Por foco'!$A$2:$A$579,$A19,'Por foco'!$B$2:$B$579,$B19)</f>
        <v>618</v>
      </c>
      <c r="E19" s="3" t="n">
        <f aca="false">IF(C19=0,0,SUMIFS('Por foco'!$E$2:$E$579,'Por foco'!$A$2:$A$579,$A19,'Por foco'!$B$2:$B$579,$B19)/C19)</f>
        <v>1</v>
      </c>
      <c r="F19" s="3" t="n">
        <f aca="false">SUMIFS('Por foco'!$H$2:$H$579,'Por foco'!$A$2:$A$579,$A19,'Por foco'!$B$2:$B$579,$B19)</f>
        <v>357</v>
      </c>
      <c r="G19" s="3" t="n">
        <f aca="false">SUMIFS('Por foco'!$I$2:$I$579,'Por foco'!$A$2:$A$579,$A19,'Por foco'!$B$2:$B$579,$B19)</f>
        <v>0</v>
      </c>
      <c r="H19" s="3" t="n">
        <f aca="false">SUMIFS('Por foco'!$J$2:$J$579,'Por foco'!$A$2:$A$579,$A19,'Por foco'!$B$2:$B$579,$B19)</f>
        <v>0</v>
      </c>
      <c r="I19" s="3" t="n">
        <f aca="false">SUMIFS('Por foco'!$K$2:$K$579,'Por foco'!$A$2:$A$579,$A19,'Por foco'!$B$2:$B$579,$B19)</f>
        <v>0</v>
      </c>
      <c r="J19" s="3" t="n">
        <f aca="false">SUMIFS('Por foco'!$L$2:$L$579,'Por foco'!$A$2:$A$579,$A19,'Por foco'!$B$2:$B$579,$B19)</f>
        <v>0</v>
      </c>
      <c r="K19" s="3" t="n">
        <f aca="false">SUMIFS('Por foco'!$M$2:$M$579,'Por foco'!$A$2:$A$579,$A19,'Por foco'!$B$2:$B$579,$B19)</f>
        <v>0</v>
      </c>
      <c r="L19" s="3" t="n">
        <f aca="false">SUMIFS('Por foco'!$N$2:$N$579,'Por foco'!$A$2:$A$579,$A19,'Por foco'!$B$2:$B$579,$B19)</f>
        <v>0</v>
      </c>
      <c r="M19" s="3" t="n">
        <f aca="false">SUMIFS('Por foco'!$O$2:$O$579,'Por foco'!$A$2:$A$579,$A19,'Por foco'!$B$2:$B$579,$B19)</f>
        <v>0</v>
      </c>
      <c r="N19" s="3" t="n">
        <f aca="false">SUMIFS('Por foco'!$P$2:$P$579,'Por foco'!$A$2:$A$579,$A19,'Por foco'!$B$2:$B$579,$B19)</f>
        <v>0</v>
      </c>
      <c r="O19" s="3" t="n">
        <f aca="false">SUMIFS('Por foco'!$Q$2:$Q$579,'Por foco'!$A$2:$A$579,$A19,'Por foco'!$B$2:$B$579,$B19)</f>
        <v>4</v>
      </c>
      <c r="P19" s="3" t="n">
        <f aca="false">SUMIFS('Por foco'!$R$2:$R$579,'Por foco'!$A$2:$A$579,$A19,'Por foco'!$B$2:$B$579,$B19)</f>
        <v>0</v>
      </c>
      <c r="Q19" s="3" t="n">
        <f aca="false">SUMIFS('Por foco'!$S$2:$S$579,'Por foco'!$A$2:$A$579,$A19,'Por foco'!$B$2:$B$579,$B19)</f>
        <v>0</v>
      </c>
      <c r="R19" s="3" t="n">
        <f aca="false">SUMIFS('Por foco'!$T$2:$T$579,'Por foco'!$A$2:$A$579,$A19,'Por foco'!$B$2:$B$579,$B19)</f>
        <v>5</v>
      </c>
      <c r="S19" s="3" t="n">
        <f aca="false">SUMIFS('Por foco'!$U$2:$U$579,'Por foco'!$A$2:$A$579,$A19,'Por foco'!$B$2:$B$579,$B19)</f>
        <v>0</v>
      </c>
      <c r="T19" s="3" t="n">
        <f aca="false">SUMIFS('Por foco'!$V$2:$V$579,'Por foco'!$A$2:$A$579,$A19,'Por foco'!$B$2:$B$579,$B19)</f>
        <v>0</v>
      </c>
      <c r="U19" s="3" t="n">
        <f aca="false">SUMIFS('Por foco'!$W$2:$W$579,'Por foco'!$A$2:$A$579,$A19,'Por foco'!$B$2:$B$579,$B19)</f>
        <v>0</v>
      </c>
      <c r="V19" s="3" t="n">
        <f aca="false">SUMIFS('Por foco'!$X$2:$X$579,'Por foco'!$A$2:$A$579,$A19,'Por foco'!$B$2:$B$579,$B19)</f>
        <v>0</v>
      </c>
      <c r="W19" s="3" t="n">
        <f aca="false">SUMIFS('Por foco'!$Y$2:$Y$579,'Por foco'!$A$2:$A$579,$A19,'Por foco'!$B$2:$B$579,$B19)</f>
        <v>100</v>
      </c>
      <c r="X19" s="3" t="n">
        <f aca="false">SUMIFS('Por foco'!$Z$2:$Z$579,'Por foco'!$A$2:$A$579,$A19,'Por foco'!$B$2:$B$579,$B19)</f>
        <v>0</v>
      </c>
      <c r="Y19" s="3" t="n">
        <f aca="false">SUMIFS('Por foco'!$AA$2:$AA$579,'Por foco'!$A$2:$A$579,$A19,'Por foco'!$B$2:$B$579,$B19)</f>
        <v>0</v>
      </c>
      <c r="Z19" s="3" t="n">
        <f aca="false">SUMIFS('Por foco'!$AB$2:$AB$579,'Por foco'!$A$2:$A$579,$A19,'Por foco'!$B$2:$B$579,$B19)</f>
        <v>0</v>
      </c>
      <c r="AA19" s="3" t="n">
        <f aca="false">SUMIFS('Por foco'!$AC$2:$AC$579,'Por foco'!$A$2:$A$579,$A19,'Por foco'!$B$2:$B$579,$B19)</f>
        <v>0</v>
      </c>
      <c r="AB19" s="3" t="n">
        <f aca="false">SUMIFS('Por foco'!$AD$2:$AD$579,'Por foco'!$A$2:$A$579,$A19,'Por foco'!$B$2:$B$579,$B19)</f>
        <v>0</v>
      </c>
      <c r="AC19" s="3" t="n">
        <f aca="false">SUMIFS('Por foco'!$AE$2:$AE$579,'Por foco'!$A$2:$A$579,$A19,'Por foco'!$B$2:$B$579,$B19)</f>
        <v>0</v>
      </c>
      <c r="AD19" s="3" t="n">
        <f aca="false">SUMIFS('Por foco'!$AF$2:$AF$579,'Por foco'!$A$2:$A$579,$A19,'Por foco'!$B$2:$B$579,$B19)</f>
        <v>0</v>
      </c>
      <c r="AE19" s="3" t="n">
        <f aca="false">SUMIFS('Por foco'!$AG$2:$AG$579,'Por foco'!$A$2:$A$579,$A19,'Por foco'!$B$2:$B$579,$B19)</f>
        <v>0.45</v>
      </c>
      <c r="AF19" s="3" t="n">
        <f aca="false">SUMIFS('Por foco'!$AH$2:$AH$579,'Por foco'!$A$2:$A$579,$A19,'Por foco'!$B$2:$B$579,$B19)</f>
        <v>10</v>
      </c>
      <c r="AG19" s="3" t="n">
        <f aca="false">SUMIFS('Por foco'!$AI$2:$AI$579,'Por foco'!$A$2:$A$579,$A19,'Por foco'!$B$2:$B$579,$B19)</f>
        <v>0.3</v>
      </c>
      <c r="AH19" s="3" t="n">
        <f aca="false">SUMIFS('Por foco'!$AJ$2:$AJ$579,'Por foco'!$A$2:$A$579,$A19,'Por foco'!$B$2:$B$579,$B19)</f>
        <v>0</v>
      </c>
      <c r="AI19" s="3" t="n">
        <f aca="false">SUMIFS('Por foco'!$AK$2:$AK$579,'Por foco'!$A$2:$A$579,$A19,'Por foco'!$B$2:$B$579,$B19)</f>
        <v>0</v>
      </c>
      <c r="AJ19" s="3" t="n">
        <f aca="false">SUMIFS('Por foco'!$AL$2:$AL$579,'Por foco'!$A$2:$A$579,$A19,'Por foco'!$B$2:$B$579,$B19)</f>
        <v>0</v>
      </c>
      <c r="AK19" s="3" t="n">
        <f aca="false">SUMIFS('Por foco'!$AM$2:$AM$579,'Por foco'!$A$2:$A$579,$A19,'Por foco'!$B$2:$B$579,$B19)</f>
        <v>0</v>
      </c>
      <c r="AL19" s="3" t="n">
        <f aca="false">SUMIFS('Por foco'!$AN$2:$AN$579,'Por foco'!$A$2:$A$579,$A19,'Por foco'!$B$2:$B$579,$B19)</f>
        <v>0</v>
      </c>
      <c r="AM19" s="3" t="n">
        <f aca="false">SUMIFS('Por foco'!$AO$2:$AO$579,'Por foco'!$A$2:$A$579,$A19,'Por foco'!$B$2:$B$579,$B19)</f>
        <v>0</v>
      </c>
      <c r="AN19" s="3" t="n">
        <f aca="false">SUMIFS('Por foco'!$AP$2:$AP$579,'Por foco'!$A$2:$A$579,$A19,'Por foco'!$B$2:$B$579,$B19)</f>
        <v>0</v>
      </c>
      <c r="AO19" s="3" t="n">
        <f aca="false">SUMIFS('Por foco'!$AQ$2:$AQ$579,'Por foco'!$A$2:$A$579,$A19,'Por foco'!$B$2:$B$579,$B19)</f>
        <v>0</v>
      </c>
      <c r="AP19" s="3" t="n">
        <f aca="false">SUMIFS('Por foco'!$AR$2:$AR$579,'Por foco'!$A$2:$A$579,$A19,'Por foco'!$B$2:$B$579,$B19)</f>
        <v>0</v>
      </c>
      <c r="AQ19" s="3" t="n">
        <f aca="false">SUMIFS('Por foco'!$AS$2:$AS$579,'Por foco'!$A$2:$A$579,$A19,'Por foco'!$B$2:$B$579,$B19)</f>
        <v>0</v>
      </c>
      <c r="AR19" s="3" t="n">
        <f aca="false">SUMIFS('Por foco'!$AT$2:$AT$579,'Por foco'!$A$2:$A$579,$A19,'Por foco'!$B$2:$B$579,$B19)</f>
        <v>0</v>
      </c>
      <c r="AS19" s="3" t="n">
        <f aca="false">SUMIFS('Por foco'!$AU$2:$AU$579,'Por foco'!$A$2:$A$579,$A19,'Por foco'!$B$2:$B$579,$B19)</f>
        <v>0</v>
      </c>
      <c r="AT19" s="3" t="n">
        <f aca="false">SUMIFS('Por foco'!$AV$2:$AV$579,'Por foco'!$A$2:$A$579,$A19,'Por foco'!$B$2:$B$579,$B19)</f>
        <v>0</v>
      </c>
      <c r="AU19" s="3" t="n">
        <f aca="false">SUMIFS('Por foco'!$AW$2:$AW$579,'Por foco'!$A$2:$A$579,$A19,'Por foco'!$B$2:$B$579,$B19)</f>
        <v>0</v>
      </c>
      <c r="AV19" s="3" t="n">
        <f aca="false">SUMIFS('Por foco'!$AX$2:$AX$579,'Por foco'!$A$2:$A$579,$A19,'Por foco'!$B$2:$B$579,$B19)</f>
        <v>0</v>
      </c>
      <c r="AW19" s="3" t="n">
        <f aca="false">SUMIFS('Por foco'!$AY$2:$AY$579,'Por foco'!$A$2:$A$579,$A19,'Por foco'!$B$2:$B$579,$B19)</f>
        <v>0</v>
      </c>
      <c r="AX19" s="3" t="n">
        <f aca="false">SUMIFS('Por foco'!$AZ$2:$AZ$579,'Por foco'!$A$2:$A$579,$A19,'Por foco'!$B$2:$B$579,$B19)</f>
        <v>0</v>
      </c>
      <c r="AY19" s="3" t="n">
        <f aca="false">SUMIFS('Por foco'!$BA$2:$BA$579,'Por foco'!$A$2:$A$579,$A19,'Por foco'!$B$2:$B$579,$B19)</f>
        <v>0</v>
      </c>
      <c r="AZ19" s="3" t="n">
        <f aca="false">SUMIFS('Por foco'!$BB$2:$BB$579,'Por foco'!$A$2:$A$579,$A19,'Por foco'!$B$2:$B$579,$B19)</f>
        <v>0</v>
      </c>
      <c r="BA19" s="3" t="n">
        <f aca="false">SUMIFS('Por foco'!$BC$2:$BC$579,'Por foco'!$A$2:$A$579,$A19,'Por foco'!$B$2:$B$579,$B19)</f>
        <v>0</v>
      </c>
      <c r="BB19" s="3" t="n">
        <f aca="false">SUMIFS('Por foco'!$BD$2:$BD$579,'Por foco'!$A$2:$A$579,$A19,'Por foco'!$B$2:$B$579,$B19)</f>
        <v>0</v>
      </c>
      <c r="BC19" s="3" t="n">
        <f aca="false">SUMIFS('Por foco'!$BE$2:$BE$579,'Por foco'!$A$2:$A$579,$A19,'Por foco'!$B$2:$B$579,$B19)</f>
        <v>0</v>
      </c>
      <c r="BD19" s="3" t="n">
        <f aca="false">SUMIFS('Por foco'!$BF$2:$BF$579,'Por foco'!$A$2:$A$579,$A19,'Por foco'!$B$2:$B$579,$B19)</f>
        <v>0</v>
      </c>
      <c r="BE19" s="3" t="n">
        <f aca="false">SUMIFS('Por foco'!$BG$2:$BG$579,'Por foco'!$A$2:$A$579,$A19,'Por foco'!$B$2:$B$579,$B19)</f>
        <v>0</v>
      </c>
    </row>
    <row r="20" customFormat="false" ht="15" hidden="false" customHeight="false" outlineLevel="0" collapsed="false">
      <c r="A20" s="3" t="s">
        <v>61</v>
      </c>
      <c r="B20" s="3" t="s">
        <v>95</v>
      </c>
      <c r="C20" s="3" t="n">
        <f aca="false">COUNTIFS('Por foco'!$A$2:$A$579,$A20,'Por foco'!$B$2:$B$579,$B20)</f>
        <v>8</v>
      </c>
      <c r="D20" s="6" t="n">
        <f aca="false">SUMIFS('Por foco'!$F$2:$F$579,'Por foco'!$A$2:$A$579,$A20,'Por foco'!$B$2:$B$579,$B20)</f>
        <v>808</v>
      </c>
      <c r="E20" s="3" t="n">
        <f aca="false">IF(C20=0,0,SUMIFS('Por foco'!$E$2:$E$579,'Por foco'!$A$2:$A$579,$A20,'Por foco'!$B$2:$B$579,$B20)/C20)</f>
        <v>1</v>
      </c>
      <c r="F20" s="3" t="n">
        <f aca="false">SUMIFS('Por foco'!$H$2:$H$579,'Por foco'!$A$2:$A$579,$A20,'Por foco'!$B$2:$B$579,$B20)</f>
        <v>490</v>
      </c>
      <c r="G20" s="3" t="n">
        <f aca="false">SUMIFS('Por foco'!$I$2:$I$579,'Por foco'!$A$2:$A$579,$A20,'Por foco'!$B$2:$B$579,$B20)</f>
        <v>220</v>
      </c>
      <c r="H20" s="3" t="n">
        <f aca="false">SUMIFS('Por foco'!$J$2:$J$579,'Por foco'!$A$2:$A$579,$A20,'Por foco'!$B$2:$B$579,$B20)</f>
        <v>0</v>
      </c>
      <c r="I20" s="3" t="n">
        <f aca="false">SUMIFS('Por foco'!$K$2:$K$579,'Por foco'!$A$2:$A$579,$A20,'Por foco'!$B$2:$B$579,$B20)</f>
        <v>0</v>
      </c>
      <c r="J20" s="3" t="n">
        <f aca="false">SUMIFS('Por foco'!$L$2:$L$579,'Por foco'!$A$2:$A$579,$A20,'Por foco'!$B$2:$B$579,$B20)</f>
        <v>0</v>
      </c>
      <c r="K20" s="3" t="n">
        <f aca="false">SUMIFS('Por foco'!$M$2:$M$579,'Por foco'!$A$2:$A$579,$A20,'Por foco'!$B$2:$B$579,$B20)</f>
        <v>0</v>
      </c>
      <c r="L20" s="3" t="n">
        <f aca="false">SUMIFS('Por foco'!$N$2:$N$579,'Por foco'!$A$2:$A$579,$A20,'Por foco'!$B$2:$B$579,$B20)</f>
        <v>0</v>
      </c>
      <c r="M20" s="3" t="n">
        <f aca="false">SUMIFS('Por foco'!$O$2:$O$579,'Por foco'!$A$2:$A$579,$A20,'Por foco'!$B$2:$B$579,$B20)</f>
        <v>0</v>
      </c>
      <c r="N20" s="3" t="n">
        <f aca="false">SUMIFS('Por foco'!$P$2:$P$579,'Por foco'!$A$2:$A$579,$A20,'Por foco'!$B$2:$B$579,$B20)</f>
        <v>1</v>
      </c>
      <c r="O20" s="3" t="n">
        <f aca="false">SUMIFS('Por foco'!$Q$2:$Q$579,'Por foco'!$A$2:$A$579,$A20,'Por foco'!$B$2:$B$579,$B20)</f>
        <v>0</v>
      </c>
      <c r="P20" s="3" t="n">
        <f aca="false">SUMIFS('Por foco'!$R$2:$R$579,'Por foco'!$A$2:$A$579,$A20,'Por foco'!$B$2:$B$579,$B20)</f>
        <v>0</v>
      </c>
      <c r="Q20" s="3" t="n">
        <f aca="false">SUMIFS('Por foco'!$S$2:$S$579,'Por foco'!$A$2:$A$579,$A20,'Por foco'!$B$2:$B$579,$B20)</f>
        <v>0</v>
      </c>
      <c r="R20" s="3" t="n">
        <f aca="false">SUMIFS('Por foco'!$T$2:$T$579,'Por foco'!$A$2:$A$579,$A20,'Por foco'!$B$2:$B$579,$B20)</f>
        <v>0</v>
      </c>
      <c r="S20" s="3" t="n">
        <f aca="false">SUMIFS('Por foco'!$U$2:$U$579,'Por foco'!$A$2:$A$579,$A20,'Por foco'!$B$2:$B$579,$B20)</f>
        <v>1</v>
      </c>
      <c r="T20" s="3" t="n">
        <f aca="false">SUMIFS('Por foco'!$V$2:$V$579,'Por foco'!$A$2:$A$579,$A20,'Por foco'!$B$2:$B$579,$B20)</f>
        <v>0</v>
      </c>
      <c r="U20" s="3" t="n">
        <f aca="false">SUMIFS('Por foco'!$W$2:$W$579,'Por foco'!$A$2:$A$579,$A20,'Por foco'!$B$2:$B$579,$B20)</f>
        <v>0</v>
      </c>
      <c r="V20" s="3" t="n">
        <f aca="false">SUMIFS('Por foco'!$X$2:$X$579,'Por foco'!$A$2:$A$579,$A20,'Por foco'!$B$2:$B$579,$B20)</f>
        <v>0</v>
      </c>
      <c r="W20" s="3" t="n">
        <f aca="false">SUMIFS('Por foco'!$Y$2:$Y$579,'Por foco'!$A$2:$A$579,$A20,'Por foco'!$B$2:$B$579,$B20)</f>
        <v>0</v>
      </c>
      <c r="X20" s="3" t="n">
        <f aca="false">SUMIFS('Por foco'!$Z$2:$Z$579,'Por foco'!$A$2:$A$579,$A20,'Por foco'!$B$2:$B$579,$B20)</f>
        <v>0</v>
      </c>
      <c r="Y20" s="3" t="n">
        <f aca="false">SUMIFS('Por foco'!$AA$2:$AA$579,'Por foco'!$A$2:$A$579,$A20,'Por foco'!$B$2:$B$579,$B20)</f>
        <v>0</v>
      </c>
      <c r="Z20" s="3" t="n">
        <f aca="false">SUMIFS('Por foco'!$AB$2:$AB$579,'Por foco'!$A$2:$A$579,$A20,'Por foco'!$B$2:$B$579,$B20)</f>
        <v>3</v>
      </c>
      <c r="AA20" s="3" t="n">
        <f aca="false">SUMIFS('Por foco'!$AC$2:$AC$579,'Por foco'!$A$2:$A$579,$A20,'Por foco'!$B$2:$B$579,$B20)</f>
        <v>0</v>
      </c>
      <c r="AB20" s="3" t="n">
        <f aca="false">SUMIFS('Por foco'!$AD$2:$AD$579,'Por foco'!$A$2:$A$579,$A20,'Por foco'!$B$2:$B$579,$B20)</f>
        <v>0</v>
      </c>
      <c r="AC20" s="3" t="n">
        <f aca="false">SUMIFS('Por foco'!$AE$2:$AE$579,'Por foco'!$A$2:$A$579,$A20,'Por foco'!$B$2:$B$579,$B20)</f>
        <v>0</v>
      </c>
      <c r="AD20" s="3" t="n">
        <f aca="false">SUMIFS('Por foco'!$AF$2:$AF$579,'Por foco'!$A$2:$A$579,$A20,'Por foco'!$B$2:$B$579,$B20)</f>
        <v>0</v>
      </c>
      <c r="AE20" s="3" t="n">
        <f aca="false">SUMIFS('Por foco'!$AG$2:$AG$579,'Por foco'!$A$2:$A$579,$A20,'Por foco'!$B$2:$B$579,$B20)</f>
        <v>4.2</v>
      </c>
      <c r="AF20" s="3" t="n">
        <f aca="false">SUMIFS('Por foco'!$AH$2:$AH$579,'Por foco'!$A$2:$A$579,$A20,'Por foco'!$B$2:$B$579,$B20)</f>
        <v>0</v>
      </c>
      <c r="AG20" s="3" t="n">
        <f aca="false">SUMIFS('Por foco'!$AI$2:$AI$579,'Por foco'!$A$2:$A$579,$A20,'Por foco'!$B$2:$B$579,$B20)</f>
        <v>2.8</v>
      </c>
      <c r="AH20" s="3" t="n">
        <f aca="false">SUMIFS('Por foco'!$AJ$2:$AJ$579,'Por foco'!$A$2:$A$579,$A20,'Por foco'!$B$2:$B$579,$B20)</f>
        <v>0</v>
      </c>
      <c r="AI20" s="3" t="n">
        <f aca="false">SUMIFS('Por foco'!$AK$2:$AK$579,'Por foco'!$A$2:$A$579,$A20,'Por foco'!$B$2:$B$579,$B20)</f>
        <v>0</v>
      </c>
      <c r="AJ20" s="3" t="n">
        <f aca="false">SUMIFS('Por foco'!$AL$2:$AL$579,'Por foco'!$A$2:$A$579,$A20,'Por foco'!$B$2:$B$579,$B20)</f>
        <v>0</v>
      </c>
      <c r="AK20" s="3" t="n">
        <f aca="false">SUMIFS('Por foco'!$AM$2:$AM$579,'Por foco'!$A$2:$A$579,$A20,'Por foco'!$B$2:$B$579,$B20)</f>
        <v>0</v>
      </c>
      <c r="AL20" s="3" t="n">
        <f aca="false">SUMIFS('Por foco'!$AN$2:$AN$579,'Por foco'!$A$2:$A$579,$A20,'Por foco'!$B$2:$B$579,$B20)</f>
        <v>5</v>
      </c>
      <c r="AM20" s="3" t="n">
        <f aca="false">SUMIFS('Por foco'!$AO$2:$AO$579,'Por foco'!$A$2:$A$579,$A20,'Por foco'!$B$2:$B$579,$B20)</f>
        <v>0</v>
      </c>
      <c r="AN20" s="3" t="n">
        <f aca="false">SUMIFS('Por foco'!$AP$2:$AP$579,'Por foco'!$A$2:$A$579,$A20,'Por foco'!$B$2:$B$579,$B20)</f>
        <v>0</v>
      </c>
      <c r="AO20" s="3" t="n">
        <f aca="false">SUMIFS('Por foco'!$AQ$2:$AQ$579,'Por foco'!$A$2:$A$579,$A20,'Por foco'!$B$2:$B$579,$B20)</f>
        <v>0</v>
      </c>
      <c r="AP20" s="3" t="n">
        <f aca="false">SUMIFS('Por foco'!$AR$2:$AR$579,'Por foco'!$A$2:$A$579,$A20,'Por foco'!$B$2:$B$579,$B20)</f>
        <v>0</v>
      </c>
      <c r="AQ20" s="3" t="n">
        <f aca="false">SUMIFS('Por foco'!$AS$2:$AS$579,'Por foco'!$A$2:$A$579,$A20,'Por foco'!$B$2:$B$579,$B20)</f>
        <v>0</v>
      </c>
      <c r="AR20" s="3" t="n">
        <f aca="false">SUMIFS('Por foco'!$AT$2:$AT$579,'Por foco'!$A$2:$A$579,$A20,'Por foco'!$B$2:$B$579,$B20)</f>
        <v>0</v>
      </c>
      <c r="AS20" s="3" t="n">
        <f aca="false">SUMIFS('Por foco'!$AU$2:$AU$579,'Por foco'!$A$2:$A$579,$A20,'Por foco'!$B$2:$B$579,$B20)</f>
        <v>0</v>
      </c>
      <c r="AT20" s="3" t="n">
        <f aca="false">SUMIFS('Por foco'!$AV$2:$AV$579,'Por foco'!$A$2:$A$579,$A20,'Por foco'!$B$2:$B$579,$B20)</f>
        <v>0</v>
      </c>
      <c r="AU20" s="3" t="n">
        <f aca="false">SUMIFS('Por foco'!$AW$2:$AW$579,'Por foco'!$A$2:$A$579,$A20,'Por foco'!$B$2:$B$579,$B20)</f>
        <v>0</v>
      </c>
      <c r="AV20" s="3" t="n">
        <f aca="false">SUMIFS('Por foco'!$AX$2:$AX$579,'Por foco'!$A$2:$A$579,$A20,'Por foco'!$B$2:$B$579,$B20)</f>
        <v>0</v>
      </c>
      <c r="AW20" s="3" t="n">
        <f aca="false">SUMIFS('Por foco'!$AY$2:$AY$579,'Por foco'!$A$2:$A$579,$A20,'Por foco'!$B$2:$B$579,$B20)</f>
        <v>0</v>
      </c>
      <c r="AX20" s="3" t="n">
        <f aca="false">SUMIFS('Por foco'!$AZ$2:$AZ$579,'Por foco'!$A$2:$A$579,$A20,'Por foco'!$B$2:$B$579,$B20)</f>
        <v>0</v>
      </c>
      <c r="AY20" s="3" t="n">
        <f aca="false">SUMIFS('Por foco'!$BA$2:$BA$579,'Por foco'!$A$2:$A$579,$A20,'Por foco'!$B$2:$B$579,$B20)</f>
        <v>0</v>
      </c>
      <c r="AZ20" s="3" t="n">
        <f aca="false">SUMIFS('Por foco'!$BB$2:$BB$579,'Por foco'!$A$2:$A$579,$A20,'Por foco'!$B$2:$B$579,$B20)</f>
        <v>0</v>
      </c>
      <c r="BA20" s="3" t="n">
        <f aca="false">SUMIFS('Por foco'!$BC$2:$BC$579,'Por foco'!$A$2:$A$579,$A20,'Por foco'!$B$2:$B$579,$B20)</f>
        <v>0</v>
      </c>
      <c r="BB20" s="3" t="n">
        <f aca="false">SUMIFS('Por foco'!$BD$2:$BD$579,'Por foco'!$A$2:$A$579,$A20,'Por foco'!$B$2:$B$579,$B20)</f>
        <v>0</v>
      </c>
      <c r="BC20" s="3" t="n">
        <f aca="false">SUMIFS('Por foco'!$BE$2:$BE$579,'Por foco'!$A$2:$A$579,$A20,'Por foco'!$B$2:$B$579,$B20)</f>
        <v>0</v>
      </c>
      <c r="BD20" s="3" t="n">
        <f aca="false">SUMIFS('Por foco'!$BF$2:$BF$579,'Por foco'!$A$2:$A$579,$A20,'Por foco'!$B$2:$B$579,$B20)</f>
        <v>0</v>
      </c>
      <c r="BE20" s="3" t="n">
        <f aca="false">SUMIFS('Por foco'!$BG$2:$BG$579,'Por foco'!$A$2:$A$579,$A20,'Por foco'!$B$2:$B$579,$B20)</f>
        <v>0</v>
      </c>
    </row>
    <row r="21" customFormat="false" ht="15" hidden="false" customHeight="false" outlineLevel="0" collapsed="false">
      <c r="A21" s="3" t="s">
        <v>61</v>
      </c>
      <c r="B21" s="3" t="s">
        <v>96</v>
      </c>
      <c r="C21" s="3" t="n">
        <f aca="false">COUNTIFS('Por foco'!$A$2:$A$579,$A21,'Por foco'!$B$2:$B$579,$B21)</f>
        <v>6</v>
      </c>
      <c r="D21" s="6" t="n">
        <f aca="false">SUMIFS('Por foco'!$F$2:$F$579,'Por foco'!$A$2:$A$579,$A21,'Por foco'!$B$2:$B$579,$B21)</f>
        <v>1160</v>
      </c>
      <c r="E21" s="3" t="n">
        <f aca="false">IF(C21=0,0,SUMIFS('Por foco'!$E$2:$E$579,'Por foco'!$A$2:$A$579,$A21,'Por foco'!$B$2:$B$579,$B21)/C21)</f>
        <v>1</v>
      </c>
      <c r="F21" s="3" t="n">
        <f aca="false">SUMIFS('Por foco'!$H$2:$H$579,'Por foco'!$A$2:$A$579,$A21,'Por foco'!$B$2:$B$579,$B21)</f>
        <v>413</v>
      </c>
      <c r="G21" s="3" t="n">
        <f aca="false">SUMIFS('Por foco'!$I$2:$I$579,'Por foco'!$A$2:$A$579,$A21,'Por foco'!$B$2:$B$579,$B21)</f>
        <v>170</v>
      </c>
      <c r="H21" s="3" t="n">
        <f aca="false">SUMIFS('Por foco'!$J$2:$J$579,'Por foco'!$A$2:$A$579,$A21,'Por foco'!$B$2:$B$579,$B21)</f>
        <v>0</v>
      </c>
      <c r="I21" s="3" t="n">
        <f aca="false">SUMIFS('Por foco'!$K$2:$K$579,'Por foco'!$A$2:$A$579,$A21,'Por foco'!$B$2:$B$579,$B21)</f>
        <v>0</v>
      </c>
      <c r="J21" s="3" t="n">
        <f aca="false">SUMIFS('Por foco'!$L$2:$L$579,'Por foco'!$A$2:$A$579,$A21,'Por foco'!$B$2:$B$579,$B21)</f>
        <v>0</v>
      </c>
      <c r="K21" s="3" t="n">
        <f aca="false">SUMIFS('Por foco'!$M$2:$M$579,'Por foco'!$A$2:$A$579,$A21,'Por foco'!$B$2:$B$579,$B21)</f>
        <v>0</v>
      </c>
      <c r="L21" s="3" t="n">
        <f aca="false">SUMIFS('Por foco'!$N$2:$N$579,'Por foco'!$A$2:$A$579,$A21,'Por foco'!$B$2:$B$579,$B21)</f>
        <v>0</v>
      </c>
      <c r="M21" s="3" t="n">
        <f aca="false">SUMIFS('Por foco'!$O$2:$O$579,'Por foco'!$A$2:$A$579,$A21,'Por foco'!$B$2:$B$579,$B21)</f>
        <v>0</v>
      </c>
      <c r="N21" s="3" t="n">
        <f aca="false">SUMIFS('Por foco'!$P$2:$P$579,'Por foco'!$A$2:$A$579,$A21,'Por foco'!$B$2:$B$579,$B21)</f>
        <v>0</v>
      </c>
      <c r="O21" s="3" t="n">
        <f aca="false">SUMIFS('Por foco'!$Q$2:$Q$579,'Por foco'!$A$2:$A$579,$A21,'Por foco'!$B$2:$B$579,$B21)</f>
        <v>0</v>
      </c>
      <c r="P21" s="3" t="n">
        <f aca="false">SUMIFS('Por foco'!$R$2:$R$579,'Por foco'!$A$2:$A$579,$A21,'Por foco'!$B$2:$B$579,$B21)</f>
        <v>0</v>
      </c>
      <c r="Q21" s="3" t="n">
        <f aca="false">SUMIFS('Por foco'!$S$2:$S$579,'Por foco'!$A$2:$A$579,$A21,'Por foco'!$B$2:$B$579,$B21)</f>
        <v>0</v>
      </c>
      <c r="R21" s="3" t="n">
        <f aca="false">SUMIFS('Por foco'!$T$2:$T$579,'Por foco'!$A$2:$A$579,$A21,'Por foco'!$B$2:$B$579,$B21)</f>
        <v>0</v>
      </c>
      <c r="S21" s="3" t="n">
        <f aca="false">SUMIFS('Por foco'!$U$2:$U$579,'Por foco'!$A$2:$A$579,$A21,'Por foco'!$B$2:$B$579,$B21)</f>
        <v>0</v>
      </c>
      <c r="T21" s="3" t="n">
        <f aca="false">SUMIFS('Por foco'!$V$2:$V$579,'Por foco'!$A$2:$A$579,$A21,'Por foco'!$B$2:$B$579,$B21)</f>
        <v>0</v>
      </c>
      <c r="U21" s="3" t="n">
        <f aca="false">SUMIFS('Por foco'!$W$2:$W$579,'Por foco'!$A$2:$A$579,$A21,'Por foco'!$B$2:$B$579,$B21)</f>
        <v>0</v>
      </c>
      <c r="V21" s="3" t="n">
        <f aca="false">SUMIFS('Por foco'!$X$2:$X$579,'Por foco'!$A$2:$A$579,$A21,'Por foco'!$B$2:$B$579,$B21)</f>
        <v>0</v>
      </c>
      <c r="W21" s="3" t="n">
        <f aca="false">SUMIFS('Por foco'!$Y$2:$Y$579,'Por foco'!$A$2:$A$579,$A21,'Por foco'!$B$2:$B$579,$B21)</f>
        <v>0</v>
      </c>
      <c r="X21" s="3" t="n">
        <f aca="false">SUMIFS('Por foco'!$Z$2:$Z$579,'Por foco'!$A$2:$A$579,$A21,'Por foco'!$B$2:$B$579,$B21)</f>
        <v>0</v>
      </c>
      <c r="Y21" s="3" t="n">
        <f aca="false">SUMIFS('Por foco'!$AA$2:$AA$579,'Por foco'!$A$2:$A$579,$A21,'Por foco'!$B$2:$B$579,$B21)</f>
        <v>0</v>
      </c>
      <c r="Z21" s="3" t="n">
        <f aca="false">SUMIFS('Por foco'!$AB$2:$AB$579,'Por foco'!$A$2:$A$579,$A21,'Por foco'!$B$2:$B$579,$B21)</f>
        <v>9</v>
      </c>
      <c r="AA21" s="3" t="n">
        <f aca="false">SUMIFS('Por foco'!$AC$2:$AC$579,'Por foco'!$A$2:$A$579,$A21,'Por foco'!$B$2:$B$579,$B21)</f>
        <v>0</v>
      </c>
      <c r="AB21" s="3" t="n">
        <f aca="false">SUMIFS('Por foco'!$AD$2:$AD$579,'Por foco'!$A$2:$A$579,$A21,'Por foco'!$B$2:$B$579,$B21)</f>
        <v>0</v>
      </c>
      <c r="AC21" s="3" t="n">
        <f aca="false">SUMIFS('Por foco'!$AE$2:$AE$579,'Por foco'!$A$2:$A$579,$A21,'Por foco'!$B$2:$B$579,$B21)</f>
        <v>0</v>
      </c>
      <c r="AD21" s="3" t="n">
        <f aca="false">SUMIFS('Por foco'!$AF$2:$AF$579,'Por foco'!$A$2:$A$579,$A21,'Por foco'!$B$2:$B$579,$B21)</f>
        <v>0</v>
      </c>
      <c r="AE21" s="3" t="n">
        <f aca="false">SUMIFS('Por foco'!$AG$2:$AG$579,'Por foco'!$A$2:$A$579,$A21,'Por foco'!$B$2:$B$579,$B21)</f>
        <v>15</v>
      </c>
      <c r="AF21" s="3" t="n">
        <f aca="false">SUMIFS('Por foco'!$AH$2:$AH$579,'Por foco'!$A$2:$A$579,$A21,'Por foco'!$B$2:$B$579,$B21)</f>
        <v>0</v>
      </c>
      <c r="AG21" s="3" t="n">
        <f aca="false">SUMIFS('Por foco'!$AI$2:$AI$579,'Por foco'!$A$2:$A$579,$A21,'Por foco'!$B$2:$B$579,$B21)</f>
        <v>5</v>
      </c>
      <c r="AH21" s="3" t="n">
        <f aca="false">SUMIFS('Por foco'!$AJ$2:$AJ$579,'Por foco'!$A$2:$A$579,$A21,'Por foco'!$B$2:$B$579,$B21)</f>
        <v>0</v>
      </c>
      <c r="AI21" s="3" t="n">
        <f aca="false">SUMIFS('Por foco'!$AK$2:$AK$579,'Por foco'!$A$2:$A$579,$A21,'Por foco'!$B$2:$B$579,$B21)</f>
        <v>0</v>
      </c>
      <c r="AJ21" s="3" t="n">
        <f aca="false">SUMIFS('Por foco'!$AL$2:$AL$579,'Por foco'!$A$2:$A$579,$A21,'Por foco'!$B$2:$B$579,$B21)</f>
        <v>0</v>
      </c>
      <c r="AK21" s="3" t="n">
        <f aca="false">SUMIFS('Por foco'!$AM$2:$AM$579,'Por foco'!$A$2:$A$579,$A21,'Por foco'!$B$2:$B$579,$B21)</f>
        <v>0</v>
      </c>
      <c r="AL21" s="3" t="n">
        <f aca="false">SUMIFS('Por foco'!$AN$2:$AN$579,'Por foco'!$A$2:$A$579,$A21,'Por foco'!$B$2:$B$579,$B21)</f>
        <v>25</v>
      </c>
      <c r="AM21" s="3" t="n">
        <f aca="false">SUMIFS('Por foco'!$AO$2:$AO$579,'Por foco'!$A$2:$A$579,$A21,'Por foco'!$B$2:$B$579,$B21)</f>
        <v>0</v>
      </c>
      <c r="AN21" s="3" t="n">
        <f aca="false">SUMIFS('Por foco'!$AP$2:$AP$579,'Por foco'!$A$2:$A$579,$A21,'Por foco'!$B$2:$B$579,$B21)</f>
        <v>0</v>
      </c>
      <c r="AO21" s="3" t="n">
        <f aca="false">SUMIFS('Por foco'!$AQ$2:$AQ$579,'Por foco'!$A$2:$A$579,$A21,'Por foco'!$B$2:$B$579,$B21)</f>
        <v>0</v>
      </c>
      <c r="AP21" s="3" t="n">
        <f aca="false">SUMIFS('Por foco'!$AR$2:$AR$579,'Por foco'!$A$2:$A$579,$A21,'Por foco'!$B$2:$B$579,$B21)</f>
        <v>0</v>
      </c>
      <c r="AQ21" s="3" t="n">
        <f aca="false">SUMIFS('Por foco'!$AS$2:$AS$579,'Por foco'!$A$2:$A$579,$A21,'Por foco'!$B$2:$B$579,$B21)</f>
        <v>0</v>
      </c>
      <c r="AR21" s="3" t="n">
        <f aca="false">SUMIFS('Por foco'!$AT$2:$AT$579,'Por foco'!$A$2:$A$579,$A21,'Por foco'!$B$2:$B$579,$B21)</f>
        <v>0</v>
      </c>
      <c r="AS21" s="3" t="n">
        <f aca="false">SUMIFS('Por foco'!$AU$2:$AU$579,'Por foco'!$A$2:$A$579,$A21,'Por foco'!$B$2:$B$579,$B21)</f>
        <v>0</v>
      </c>
      <c r="AT21" s="3" t="n">
        <f aca="false">SUMIFS('Por foco'!$AV$2:$AV$579,'Por foco'!$A$2:$A$579,$A21,'Por foco'!$B$2:$B$579,$B21)</f>
        <v>0</v>
      </c>
      <c r="AU21" s="3" t="n">
        <f aca="false">SUMIFS('Por foco'!$AW$2:$AW$579,'Por foco'!$A$2:$A$579,$A21,'Por foco'!$B$2:$B$579,$B21)</f>
        <v>0</v>
      </c>
      <c r="AV21" s="3" t="n">
        <f aca="false">SUMIFS('Por foco'!$AX$2:$AX$579,'Por foco'!$A$2:$A$579,$A21,'Por foco'!$B$2:$B$579,$B21)</f>
        <v>0</v>
      </c>
      <c r="AW21" s="3" t="n">
        <f aca="false">SUMIFS('Por foco'!$AY$2:$AY$579,'Por foco'!$A$2:$A$579,$A21,'Por foco'!$B$2:$B$579,$B21)</f>
        <v>0</v>
      </c>
      <c r="AX21" s="3" t="n">
        <f aca="false">SUMIFS('Por foco'!$AZ$2:$AZ$579,'Por foco'!$A$2:$A$579,$A21,'Por foco'!$B$2:$B$579,$B21)</f>
        <v>0</v>
      </c>
      <c r="AY21" s="3" t="n">
        <f aca="false">SUMIFS('Por foco'!$BA$2:$BA$579,'Por foco'!$A$2:$A$579,$A21,'Por foco'!$B$2:$B$579,$B21)</f>
        <v>0</v>
      </c>
      <c r="AZ21" s="3" t="n">
        <f aca="false">SUMIFS('Por foco'!$BB$2:$BB$579,'Por foco'!$A$2:$A$579,$A21,'Por foco'!$B$2:$B$579,$B21)</f>
        <v>0</v>
      </c>
      <c r="BA21" s="3" t="n">
        <f aca="false">SUMIFS('Por foco'!$BC$2:$BC$579,'Por foco'!$A$2:$A$579,$A21,'Por foco'!$B$2:$B$579,$B21)</f>
        <v>0</v>
      </c>
      <c r="BB21" s="3" t="n">
        <f aca="false">SUMIFS('Por foco'!$BD$2:$BD$579,'Por foco'!$A$2:$A$579,$A21,'Por foco'!$B$2:$B$579,$B21)</f>
        <v>0</v>
      </c>
      <c r="BC21" s="3" t="n">
        <f aca="false">SUMIFS('Por foco'!$BE$2:$BE$579,'Por foco'!$A$2:$A$579,$A21,'Por foco'!$B$2:$B$579,$B21)</f>
        <v>0</v>
      </c>
      <c r="BD21" s="3" t="n">
        <f aca="false">SUMIFS('Por foco'!$BF$2:$BF$579,'Por foco'!$A$2:$A$579,$A21,'Por foco'!$B$2:$B$579,$B21)</f>
        <v>0</v>
      </c>
      <c r="BE21" s="3" t="n">
        <f aca="false">SUMIFS('Por foco'!$BG$2:$BG$579,'Por foco'!$A$2:$A$579,$A21,'Por foco'!$B$2:$B$579,$B21)</f>
        <v>0</v>
      </c>
    </row>
    <row r="22" customFormat="false" ht="15" hidden="false" customHeight="false" outlineLevel="0" collapsed="false">
      <c r="A22" s="3" t="s">
        <v>62</v>
      </c>
      <c r="B22" s="3" t="s">
        <v>97</v>
      </c>
      <c r="C22" s="3" t="n">
        <f aca="false">COUNTIFS('Por foco'!$A$2:$A$579,$A22,'Por foco'!$B$2:$B$579,$B22)</f>
        <v>11</v>
      </c>
      <c r="D22" s="6" t="n">
        <f aca="false">SUMIFS('Por foco'!$F$2:$F$579,'Por foco'!$A$2:$A$579,$A22,'Por foco'!$B$2:$B$579,$B22)</f>
        <v>1389.9</v>
      </c>
      <c r="E22" s="3" t="n">
        <f aca="false">IF(C22=0,0,SUMIFS('Por foco'!$E$2:$E$579,'Por foco'!$A$2:$A$579,$A22,'Por foco'!$B$2:$B$579,$B22)/C22)</f>
        <v>0.590909090909091</v>
      </c>
      <c r="F22" s="3" t="n">
        <f aca="false">SUMIFS('Por foco'!$H$2:$H$579,'Por foco'!$A$2:$A$579,$A22,'Por foco'!$B$2:$B$579,$B22)</f>
        <v>644</v>
      </c>
      <c r="G22" s="3" t="n">
        <f aca="false">SUMIFS('Por foco'!$I$2:$I$579,'Por foco'!$A$2:$A$579,$A22,'Por foco'!$B$2:$B$579,$B22)</f>
        <v>550</v>
      </c>
      <c r="H22" s="3" t="n">
        <f aca="false">SUMIFS('Por foco'!$J$2:$J$579,'Por foco'!$A$2:$A$579,$A22,'Por foco'!$B$2:$B$579,$B22)</f>
        <v>5</v>
      </c>
      <c r="I22" s="3" t="n">
        <f aca="false">SUMIFS('Por foco'!$K$2:$K$579,'Por foco'!$A$2:$A$579,$A22,'Por foco'!$B$2:$B$579,$B22)</f>
        <v>5</v>
      </c>
      <c r="J22" s="3" t="n">
        <f aca="false">SUMIFS('Por foco'!$L$2:$L$579,'Por foco'!$A$2:$A$579,$A22,'Por foco'!$B$2:$B$579,$B22)</f>
        <v>0</v>
      </c>
      <c r="K22" s="3" t="n">
        <f aca="false">SUMIFS('Por foco'!$M$2:$M$579,'Por foco'!$A$2:$A$579,$A22,'Por foco'!$B$2:$B$579,$B22)</f>
        <v>0</v>
      </c>
      <c r="L22" s="3" t="n">
        <f aca="false">SUMIFS('Por foco'!$N$2:$N$579,'Por foco'!$A$2:$A$579,$A22,'Por foco'!$B$2:$B$579,$B22)</f>
        <v>0</v>
      </c>
      <c r="M22" s="3" t="n">
        <f aca="false">SUMIFS('Por foco'!$O$2:$O$579,'Por foco'!$A$2:$A$579,$A22,'Por foco'!$B$2:$B$579,$B22)</f>
        <v>0</v>
      </c>
      <c r="N22" s="3" t="n">
        <f aca="false">SUMIFS('Por foco'!$P$2:$P$579,'Por foco'!$A$2:$A$579,$A22,'Por foco'!$B$2:$B$579,$B22)</f>
        <v>0</v>
      </c>
      <c r="O22" s="3" t="n">
        <f aca="false">SUMIFS('Por foco'!$Q$2:$Q$579,'Por foco'!$A$2:$A$579,$A22,'Por foco'!$B$2:$B$579,$B22)</f>
        <v>1</v>
      </c>
      <c r="P22" s="3" t="n">
        <f aca="false">SUMIFS('Por foco'!$R$2:$R$579,'Por foco'!$A$2:$A$579,$A22,'Por foco'!$B$2:$B$579,$B22)</f>
        <v>2</v>
      </c>
      <c r="Q22" s="3" t="n">
        <f aca="false">SUMIFS('Por foco'!$S$2:$S$579,'Por foco'!$A$2:$A$579,$A22,'Por foco'!$B$2:$B$579,$B22)</f>
        <v>0</v>
      </c>
      <c r="R22" s="3" t="n">
        <f aca="false">SUMIFS('Por foco'!$T$2:$T$579,'Por foco'!$A$2:$A$579,$A22,'Por foco'!$B$2:$B$579,$B22)</f>
        <v>0</v>
      </c>
      <c r="S22" s="3" t="n">
        <f aca="false">SUMIFS('Por foco'!$U$2:$U$579,'Por foco'!$A$2:$A$579,$A22,'Por foco'!$B$2:$B$579,$B22)</f>
        <v>0</v>
      </c>
      <c r="T22" s="3" t="n">
        <f aca="false">SUMIFS('Por foco'!$V$2:$V$579,'Por foco'!$A$2:$A$579,$A22,'Por foco'!$B$2:$B$579,$B22)</f>
        <v>0</v>
      </c>
      <c r="U22" s="3" t="n">
        <f aca="false">SUMIFS('Por foco'!$W$2:$W$579,'Por foco'!$A$2:$A$579,$A22,'Por foco'!$B$2:$B$579,$B22)</f>
        <v>0</v>
      </c>
      <c r="V22" s="3" t="n">
        <f aca="false">SUMIFS('Por foco'!$X$2:$X$579,'Por foco'!$A$2:$A$579,$A22,'Por foco'!$B$2:$B$579,$B22)</f>
        <v>0</v>
      </c>
      <c r="W22" s="3" t="n">
        <f aca="false">SUMIFS('Por foco'!$Y$2:$Y$579,'Por foco'!$A$2:$A$579,$A22,'Por foco'!$B$2:$B$579,$B22)</f>
        <v>0</v>
      </c>
      <c r="X22" s="3" t="n">
        <f aca="false">SUMIFS('Por foco'!$Z$2:$Z$579,'Por foco'!$A$2:$A$579,$A22,'Por foco'!$B$2:$B$579,$B22)</f>
        <v>0</v>
      </c>
      <c r="Y22" s="3" t="n">
        <f aca="false">SUMIFS('Por foco'!$AA$2:$AA$579,'Por foco'!$A$2:$A$579,$A22,'Por foco'!$B$2:$B$579,$B22)</f>
        <v>0.23</v>
      </c>
      <c r="Z22" s="3" t="n">
        <f aca="false">SUMIFS('Por foco'!$AB$2:$AB$579,'Por foco'!$A$2:$A$579,$A22,'Por foco'!$B$2:$B$579,$B22)</f>
        <v>16.2</v>
      </c>
      <c r="AA22" s="3" t="n">
        <f aca="false">SUMIFS('Por foco'!$AC$2:$AC$579,'Por foco'!$A$2:$A$579,$A22,'Por foco'!$B$2:$B$579,$B22)</f>
        <v>0</v>
      </c>
      <c r="AB22" s="3" t="n">
        <f aca="false">SUMIFS('Por foco'!$AD$2:$AD$579,'Por foco'!$A$2:$A$579,$A22,'Por foco'!$B$2:$B$579,$B22)</f>
        <v>0</v>
      </c>
      <c r="AC22" s="3" t="n">
        <f aca="false">SUMIFS('Por foco'!$AE$2:$AE$579,'Por foco'!$A$2:$A$579,$A22,'Por foco'!$B$2:$B$579,$B22)</f>
        <v>0</v>
      </c>
      <c r="AD22" s="3" t="n">
        <f aca="false">SUMIFS('Por foco'!$AF$2:$AF$579,'Por foco'!$A$2:$A$579,$A22,'Por foco'!$B$2:$B$579,$B22)</f>
        <v>0</v>
      </c>
      <c r="AE22" s="3" t="n">
        <f aca="false">SUMIFS('Por foco'!$AG$2:$AG$579,'Por foco'!$A$2:$A$579,$A22,'Por foco'!$B$2:$B$579,$B22)</f>
        <v>4.6</v>
      </c>
      <c r="AF22" s="3" t="n">
        <f aca="false">SUMIFS('Por foco'!$AH$2:$AH$579,'Por foco'!$A$2:$A$579,$A22,'Por foco'!$B$2:$B$579,$B22)</f>
        <v>0</v>
      </c>
      <c r="AG22" s="3" t="n">
        <f aca="false">SUMIFS('Por foco'!$AI$2:$AI$579,'Por foco'!$A$2:$A$579,$A22,'Por foco'!$B$2:$B$579,$B22)</f>
        <v>0</v>
      </c>
      <c r="AH22" s="3" t="n">
        <f aca="false">SUMIFS('Por foco'!$AJ$2:$AJ$579,'Por foco'!$A$2:$A$579,$A22,'Por foco'!$B$2:$B$579,$B22)</f>
        <v>0</v>
      </c>
      <c r="AI22" s="3" t="n">
        <f aca="false">SUMIFS('Por foco'!$AK$2:$AK$579,'Por foco'!$A$2:$A$579,$A22,'Por foco'!$B$2:$B$579,$B22)</f>
        <v>0</v>
      </c>
      <c r="AJ22" s="3" t="n">
        <f aca="false">SUMIFS('Por foco'!$AL$2:$AL$579,'Por foco'!$A$2:$A$579,$A22,'Por foco'!$B$2:$B$579,$B22)</f>
        <v>0.6</v>
      </c>
      <c r="AK22" s="3" t="n">
        <f aca="false">SUMIFS('Por foco'!$AM$2:$AM$579,'Por foco'!$A$2:$A$579,$A22,'Por foco'!$B$2:$B$579,$B22)</f>
        <v>0</v>
      </c>
      <c r="AL22" s="3" t="n">
        <f aca="false">SUMIFS('Por foco'!$AN$2:$AN$579,'Por foco'!$A$2:$A$579,$A22,'Por foco'!$B$2:$B$579,$B22)</f>
        <v>5</v>
      </c>
      <c r="AM22" s="3" t="n">
        <f aca="false">SUMIFS('Por foco'!$AO$2:$AO$579,'Por foco'!$A$2:$A$579,$A22,'Por foco'!$B$2:$B$579,$B22)</f>
        <v>0</v>
      </c>
      <c r="AN22" s="3" t="n">
        <f aca="false">SUMIFS('Por foco'!$AP$2:$AP$579,'Por foco'!$A$2:$A$579,$A22,'Por foco'!$B$2:$B$579,$B22)</f>
        <v>0</v>
      </c>
      <c r="AO22" s="3" t="n">
        <f aca="false">SUMIFS('Por foco'!$AQ$2:$AQ$579,'Por foco'!$A$2:$A$579,$A22,'Por foco'!$B$2:$B$579,$B22)</f>
        <v>0</v>
      </c>
      <c r="AP22" s="3" t="n">
        <f aca="false">SUMIFS('Por foco'!$AR$2:$AR$579,'Por foco'!$A$2:$A$579,$A22,'Por foco'!$B$2:$B$579,$B22)</f>
        <v>0</v>
      </c>
      <c r="AQ22" s="3" t="n">
        <f aca="false">SUMIFS('Por foco'!$AS$2:$AS$579,'Por foco'!$A$2:$A$579,$A22,'Por foco'!$B$2:$B$579,$B22)</f>
        <v>0</v>
      </c>
      <c r="AR22" s="3" t="n">
        <f aca="false">SUMIFS('Por foco'!$AT$2:$AT$579,'Por foco'!$A$2:$A$579,$A22,'Por foco'!$B$2:$B$579,$B22)</f>
        <v>0</v>
      </c>
      <c r="AS22" s="3" t="n">
        <f aca="false">SUMIFS('Por foco'!$AU$2:$AU$579,'Por foco'!$A$2:$A$579,$A22,'Por foco'!$B$2:$B$579,$B22)</f>
        <v>0</v>
      </c>
      <c r="AT22" s="3" t="n">
        <f aca="false">SUMIFS('Por foco'!$AV$2:$AV$579,'Por foco'!$A$2:$A$579,$A22,'Por foco'!$B$2:$B$579,$B22)</f>
        <v>0</v>
      </c>
      <c r="AU22" s="3" t="n">
        <f aca="false">SUMIFS('Por foco'!$AW$2:$AW$579,'Por foco'!$A$2:$A$579,$A22,'Por foco'!$B$2:$B$579,$B22)</f>
        <v>0</v>
      </c>
      <c r="AV22" s="3" t="n">
        <f aca="false">SUMIFS('Por foco'!$AX$2:$AX$579,'Por foco'!$A$2:$A$579,$A22,'Por foco'!$B$2:$B$579,$B22)</f>
        <v>0</v>
      </c>
      <c r="AW22" s="3" t="n">
        <f aca="false">SUMIFS('Por foco'!$AY$2:$AY$579,'Por foco'!$A$2:$A$579,$A22,'Por foco'!$B$2:$B$579,$B22)</f>
        <v>0</v>
      </c>
      <c r="AX22" s="3" t="n">
        <f aca="false">SUMIFS('Por foco'!$AZ$2:$AZ$579,'Por foco'!$A$2:$A$579,$A22,'Por foco'!$B$2:$B$579,$B22)</f>
        <v>0</v>
      </c>
      <c r="AY22" s="3" t="n">
        <f aca="false">SUMIFS('Por foco'!$BA$2:$BA$579,'Por foco'!$A$2:$A$579,$A22,'Por foco'!$B$2:$B$579,$B22)</f>
        <v>0</v>
      </c>
      <c r="AZ22" s="3" t="n">
        <f aca="false">SUMIFS('Por foco'!$BB$2:$BB$579,'Por foco'!$A$2:$A$579,$A22,'Por foco'!$B$2:$B$579,$B22)</f>
        <v>0</v>
      </c>
      <c r="BA22" s="3" t="n">
        <f aca="false">SUMIFS('Por foco'!$BC$2:$BC$579,'Por foco'!$A$2:$A$579,$A22,'Por foco'!$B$2:$B$579,$B22)</f>
        <v>0</v>
      </c>
      <c r="BB22" s="3" t="n">
        <f aca="false">SUMIFS('Por foco'!$BD$2:$BD$579,'Por foco'!$A$2:$A$579,$A22,'Por foco'!$B$2:$B$579,$B22)</f>
        <v>0</v>
      </c>
      <c r="BC22" s="3" t="n">
        <f aca="false">SUMIFS('Por foco'!$BE$2:$BE$579,'Por foco'!$A$2:$A$579,$A22,'Por foco'!$B$2:$B$579,$B22)</f>
        <v>0</v>
      </c>
      <c r="BD22" s="3" t="n">
        <f aca="false">SUMIFS('Por foco'!$BF$2:$BF$579,'Por foco'!$A$2:$A$579,$A22,'Por foco'!$B$2:$B$579,$B22)</f>
        <v>0</v>
      </c>
      <c r="BE22" s="3" t="n">
        <f aca="false">SUMIFS('Por foco'!$BG$2:$BG$579,'Por foco'!$A$2:$A$579,$A22,'Por foco'!$B$2:$B$579,$B22)</f>
        <v>0</v>
      </c>
    </row>
    <row r="23" customFormat="false" ht="15" hidden="false" customHeight="false" outlineLevel="0" collapsed="false">
      <c r="A23" s="3" t="s">
        <v>62</v>
      </c>
      <c r="B23" s="3" t="s">
        <v>98</v>
      </c>
      <c r="C23" s="3" t="n">
        <f aca="false">COUNTIFS('Por foco'!$A$2:$A$579,$A23,'Por foco'!$B$2:$B$579,$B23)</f>
        <v>7</v>
      </c>
      <c r="D23" s="6" t="n">
        <f aca="false">SUMIFS('Por foco'!$F$2:$F$579,'Por foco'!$A$2:$A$579,$A23,'Por foco'!$B$2:$B$579,$B23)</f>
        <v>1092.6</v>
      </c>
      <c r="E23" s="3" t="n">
        <f aca="false">IF(C23=0,0,SUMIFS('Por foco'!$E$2:$E$579,'Por foco'!$A$2:$A$579,$A23,'Por foco'!$B$2:$B$579,$B23)/C23)</f>
        <v>0.5</v>
      </c>
      <c r="F23" s="3" t="n">
        <f aca="false">SUMIFS('Por foco'!$H$2:$H$579,'Por foco'!$A$2:$A$579,$A23,'Por foco'!$B$2:$B$579,$B23)</f>
        <v>434</v>
      </c>
      <c r="G23" s="3" t="n">
        <f aca="false">SUMIFS('Por foco'!$I$2:$I$579,'Por foco'!$A$2:$A$579,$A23,'Por foco'!$B$2:$B$579,$B23)</f>
        <v>200</v>
      </c>
      <c r="H23" s="3" t="n">
        <f aca="false">SUMIFS('Por foco'!$J$2:$J$579,'Por foco'!$A$2:$A$579,$A23,'Por foco'!$B$2:$B$579,$B23)</f>
        <v>0</v>
      </c>
      <c r="I23" s="3" t="n">
        <f aca="false">SUMIFS('Por foco'!$K$2:$K$579,'Por foco'!$A$2:$A$579,$A23,'Por foco'!$B$2:$B$579,$B23)</f>
        <v>5</v>
      </c>
      <c r="J23" s="3" t="n">
        <f aca="false">SUMIFS('Por foco'!$L$2:$L$579,'Por foco'!$A$2:$A$579,$A23,'Por foco'!$B$2:$B$579,$B23)</f>
        <v>0</v>
      </c>
      <c r="K23" s="3" t="n">
        <f aca="false">SUMIFS('Por foco'!$M$2:$M$579,'Por foco'!$A$2:$A$579,$A23,'Por foco'!$B$2:$B$579,$B23)</f>
        <v>0</v>
      </c>
      <c r="L23" s="3" t="n">
        <f aca="false">SUMIFS('Por foco'!$N$2:$N$579,'Por foco'!$A$2:$A$579,$A23,'Por foco'!$B$2:$B$579,$B23)</f>
        <v>0</v>
      </c>
      <c r="M23" s="3" t="n">
        <f aca="false">SUMIFS('Por foco'!$O$2:$O$579,'Por foco'!$A$2:$A$579,$A23,'Por foco'!$B$2:$B$579,$B23)</f>
        <v>0</v>
      </c>
      <c r="N23" s="3" t="n">
        <f aca="false">SUMIFS('Por foco'!$P$2:$P$579,'Por foco'!$A$2:$A$579,$A23,'Por foco'!$B$2:$B$579,$B23)</f>
        <v>0</v>
      </c>
      <c r="O23" s="3" t="n">
        <f aca="false">SUMIFS('Por foco'!$Q$2:$Q$579,'Por foco'!$A$2:$A$579,$A23,'Por foco'!$B$2:$B$579,$B23)</f>
        <v>0</v>
      </c>
      <c r="P23" s="3" t="n">
        <f aca="false">SUMIFS('Por foco'!$R$2:$R$579,'Por foco'!$A$2:$A$579,$A23,'Por foco'!$B$2:$B$579,$B23)</f>
        <v>0</v>
      </c>
      <c r="Q23" s="3" t="n">
        <f aca="false">SUMIFS('Por foco'!$S$2:$S$579,'Por foco'!$A$2:$A$579,$A23,'Por foco'!$B$2:$B$579,$B23)</f>
        <v>2</v>
      </c>
      <c r="R23" s="3" t="n">
        <f aca="false">SUMIFS('Por foco'!$T$2:$T$579,'Por foco'!$A$2:$A$579,$A23,'Por foco'!$B$2:$B$579,$B23)</f>
        <v>2</v>
      </c>
      <c r="S23" s="3" t="n">
        <f aca="false">SUMIFS('Por foco'!$U$2:$U$579,'Por foco'!$A$2:$A$579,$A23,'Por foco'!$B$2:$B$579,$B23)</f>
        <v>0</v>
      </c>
      <c r="T23" s="3" t="n">
        <f aca="false">SUMIFS('Por foco'!$V$2:$V$579,'Por foco'!$A$2:$A$579,$A23,'Por foco'!$B$2:$B$579,$B23)</f>
        <v>0</v>
      </c>
      <c r="U23" s="3" t="n">
        <f aca="false">SUMIFS('Por foco'!$W$2:$W$579,'Por foco'!$A$2:$A$579,$A23,'Por foco'!$B$2:$B$579,$B23)</f>
        <v>0</v>
      </c>
      <c r="V23" s="3" t="n">
        <f aca="false">SUMIFS('Por foco'!$X$2:$X$579,'Por foco'!$A$2:$A$579,$A23,'Por foco'!$B$2:$B$579,$B23)</f>
        <v>0</v>
      </c>
      <c r="W23" s="3" t="n">
        <f aca="false">SUMIFS('Por foco'!$Y$2:$Y$579,'Por foco'!$A$2:$A$579,$A23,'Por foco'!$B$2:$B$579,$B23)</f>
        <v>0</v>
      </c>
      <c r="X23" s="3" t="n">
        <f aca="false">SUMIFS('Por foco'!$Z$2:$Z$579,'Por foco'!$A$2:$A$579,$A23,'Por foco'!$B$2:$B$579,$B23)</f>
        <v>0</v>
      </c>
      <c r="Y23" s="3" t="n">
        <f aca="false">SUMIFS('Por foco'!$AA$2:$AA$579,'Por foco'!$A$2:$A$579,$A23,'Por foco'!$B$2:$B$579,$B23)</f>
        <v>-0.48</v>
      </c>
      <c r="Z23" s="3" t="n">
        <f aca="false">SUMIFS('Por foco'!$AB$2:$AB$579,'Por foco'!$A$2:$A$579,$A23,'Por foco'!$B$2:$B$579,$B23)</f>
        <v>-21.7</v>
      </c>
      <c r="AA23" s="3" t="n">
        <f aca="false">SUMIFS('Por foco'!$AC$2:$AC$579,'Por foco'!$A$2:$A$579,$A23,'Por foco'!$B$2:$B$579,$B23)</f>
        <v>20</v>
      </c>
      <c r="AB23" s="3" t="n">
        <f aca="false">SUMIFS('Por foco'!$AD$2:$AD$579,'Por foco'!$A$2:$A$579,$A23,'Por foco'!$B$2:$B$579,$B23)</f>
        <v>0</v>
      </c>
      <c r="AC23" s="3" t="n">
        <f aca="false">SUMIFS('Por foco'!$AE$2:$AE$579,'Por foco'!$A$2:$A$579,$A23,'Por foco'!$B$2:$B$579,$B23)</f>
        <v>0</v>
      </c>
      <c r="AD23" s="3" t="n">
        <f aca="false">SUMIFS('Por foco'!$AF$2:$AF$579,'Por foco'!$A$2:$A$579,$A23,'Por foco'!$B$2:$B$579,$B23)</f>
        <v>0</v>
      </c>
      <c r="AE23" s="3" t="n">
        <f aca="false">SUMIFS('Por foco'!$AG$2:$AG$579,'Por foco'!$A$2:$A$579,$A23,'Por foco'!$B$2:$B$579,$B23)</f>
        <v>42.4</v>
      </c>
      <c r="AF23" s="3" t="n">
        <f aca="false">SUMIFS('Por foco'!$AH$2:$AH$579,'Por foco'!$A$2:$A$579,$A23,'Por foco'!$B$2:$B$579,$B23)</f>
        <v>0</v>
      </c>
      <c r="AG23" s="3" t="n">
        <f aca="false">SUMIFS('Por foco'!$AI$2:$AI$579,'Por foco'!$A$2:$A$579,$A23,'Por foco'!$B$2:$B$579,$B23)</f>
        <v>-10</v>
      </c>
      <c r="AH23" s="3" t="n">
        <f aca="false">SUMIFS('Por foco'!$AJ$2:$AJ$579,'Por foco'!$A$2:$A$579,$A23,'Por foco'!$B$2:$B$579,$B23)</f>
        <v>20</v>
      </c>
      <c r="AI23" s="3" t="n">
        <f aca="false">SUMIFS('Por foco'!$AK$2:$AK$579,'Por foco'!$A$2:$A$579,$A23,'Por foco'!$B$2:$B$579,$B23)</f>
        <v>0</v>
      </c>
      <c r="AJ23" s="3" t="n">
        <f aca="false">SUMIFS('Por foco'!$AL$2:$AL$579,'Por foco'!$A$2:$A$579,$A23,'Por foco'!$B$2:$B$579,$B23)</f>
        <v>14.9</v>
      </c>
      <c r="AK23" s="3" t="n">
        <f aca="false">SUMIFS('Por foco'!$AM$2:$AM$579,'Por foco'!$A$2:$A$579,$A23,'Por foco'!$B$2:$B$579,$B23)</f>
        <v>0</v>
      </c>
      <c r="AL23" s="3" t="n">
        <f aca="false">SUMIFS('Por foco'!$AN$2:$AN$579,'Por foco'!$A$2:$A$579,$A23,'Por foco'!$B$2:$B$579,$B23)</f>
        <v>-5</v>
      </c>
      <c r="AM23" s="3" t="n">
        <f aca="false">SUMIFS('Por foco'!$AO$2:$AO$579,'Por foco'!$A$2:$A$579,$A23,'Por foco'!$B$2:$B$579,$B23)</f>
        <v>0</v>
      </c>
      <c r="AN23" s="3" t="n">
        <f aca="false">SUMIFS('Por foco'!$AP$2:$AP$579,'Por foco'!$A$2:$A$579,$A23,'Por foco'!$B$2:$B$579,$B23)</f>
        <v>0</v>
      </c>
      <c r="AO23" s="3" t="n">
        <f aca="false">SUMIFS('Por foco'!$AQ$2:$AQ$579,'Por foco'!$A$2:$A$579,$A23,'Por foco'!$B$2:$B$579,$B23)</f>
        <v>10</v>
      </c>
      <c r="AP23" s="3" t="n">
        <f aca="false">SUMIFS('Por foco'!$AR$2:$AR$579,'Por foco'!$A$2:$A$579,$A23,'Por foco'!$B$2:$B$579,$B23)</f>
        <v>0</v>
      </c>
      <c r="AQ23" s="3" t="n">
        <f aca="false">SUMIFS('Por foco'!$AS$2:$AS$579,'Por foco'!$A$2:$A$579,$A23,'Por foco'!$B$2:$B$579,$B23)</f>
        <v>10</v>
      </c>
      <c r="AR23" s="3" t="n">
        <f aca="false">SUMIFS('Por foco'!$AT$2:$AT$579,'Por foco'!$A$2:$A$579,$A23,'Por foco'!$B$2:$B$579,$B23)</f>
        <v>0</v>
      </c>
      <c r="AS23" s="3" t="n">
        <f aca="false">SUMIFS('Por foco'!$AU$2:$AU$579,'Por foco'!$A$2:$A$579,$A23,'Por foco'!$B$2:$B$579,$B23)</f>
        <v>0</v>
      </c>
      <c r="AT23" s="3" t="n">
        <f aca="false">SUMIFS('Por foco'!$AV$2:$AV$579,'Por foco'!$A$2:$A$579,$A23,'Por foco'!$B$2:$B$579,$B23)</f>
        <v>10</v>
      </c>
      <c r="AU23" s="3" t="n">
        <f aca="false">SUMIFS('Por foco'!$AW$2:$AW$579,'Por foco'!$A$2:$A$579,$A23,'Por foco'!$B$2:$B$579,$B23)</f>
        <v>0</v>
      </c>
      <c r="AV23" s="3" t="n">
        <f aca="false">SUMIFS('Por foco'!$AX$2:$AX$579,'Por foco'!$A$2:$A$579,$A23,'Por foco'!$B$2:$B$579,$B23)</f>
        <v>0</v>
      </c>
      <c r="AW23" s="3" t="n">
        <f aca="false">SUMIFS('Por foco'!$AY$2:$AY$579,'Por foco'!$A$2:$A$579,$A23,'Por foco'!$B$2:$B$579,$B23)</f>
        <v>0</v>
      </c>
      <c r="AX23" s="3" t="n">
        <f aca="false">SUMIFS('Por foco'!$AZ$2:$AZ$579,'Por foco'!$A$2:$A$579,$A23,'Por foco'!$B$2:$B$579,$B23)</f>
        <v>0</v>
      </c>
      <c r="AY23" s="3" t="n">
        <f aca="false">SUMIFS('Por foco'!$BA$2:$BA$579,'Por foco'!$A$2:$A$579,$A23,'Por foco'!$B$2:$B$579,$B23)</f>
        <v>0</v>
      </c>
      <c r="AZ23" s="3" t="n">
        <f aca="false">SUMIFS('Por foco'!$BB$2:$BB$579,'Por foco'!$A$2:$A$579,$A23,'Por foco'!$B$2:$B$579,$B23)</f>
        <v>0</v>
      </c>
      <c r="BA23" s="3" t="n">
        <f aca="false">SUMIFS('Por foco'!$BC$2:$BC$579,'Por foco'!$A$2:$A$579,$A23,'Por foco'!$B$2:$B$579,$B23)</f>
        <v>0</v>
      </c>
      <c r="BB23" s="3" t="n">
        <f aca="false">SUMIFS('Por foco'!$BD$2:$BD$579,'Por foco'!$A$2:$A$579,$A23,'Por foco'!$B$2:$B$579,$B23)</f>
        <v>0</v>
      </c>
      <c r="BC23" s="3" t="n">
        <f aca="false">SUMIFS('Por foco'!$BE$2:$BE$579,'Por foco'!$A$2:$A$579,$A23,'Por foco'!$B$2:$B$579,$B23)</f>
        <v>0</v>
      </c>
      <c r="BD23" s="3" t="n">
        <f aca="false">SUMIFS('Por foco'!$BF$2:$BF$579,'Por foco'!$A$2:$A$579,$A23,'Por foco'!$B$2:$B$579,$B23)</f>
        <v>0</v>
      </c>
      <c r="BE23" s="3" t="n">
        <f aca="false">SUMIFS('Por foco'!$BG$2:$BG$579,'Por foco'!$A$2:$A$579,$A23,'Por foco'!$B$2:$B$579,$B23)</f>
        <v>0</v>
      </c>
    </row>
    <row r="24" customFormat="false" ht="15" hidden="false" customHeight="false" outlineLevel="0" collapsed="false">
      <c r="A24" s="3" t="s">
        <v>62</v>
      </c>
      <c r="B24" s="3" t="s">
        <v>80</v>
      </c>
      <c r="C24" s="3" t="n">
        <f aca="false">COUNTIFS('Por foco'!$A$2:$A$579,$A24,'Por foco'!$B$2:$B$579,$B24)</f>
        <v>4</v>
      </c>
      <c r="D24" s="6" t="n">
        <f aca="false">SUMIFS('Por foco'!$F$2:$F$579,'Por foco'!$A$2:$A$579,$A24,'Por foco'!$B$2:$B$579,$B24)</f>
        <v>533.3</v>
      </c>
      <c r="E24" s="3" t="n">
        <f aca="false">IF(C24=0,0,SUMIFS('Por foco'!$E$2:$E$579,'Por foco'!$A$2:$A$579,$A24,'Por foco'!$B$2:$B$579,$B24)/C24)</f>
        <v>1</v>
      </c>
      <c r="F24" s="3" t="n">
        <f aca="false">SUMIFS('Por foco'!$H$2:$H$579,'Por foco'!$A$2:$A$579,$A24,'Por foco'!$B$2:$B$579,$B24)</f>
        <v>315</v>
      </c>
      <c r="G24" s="3" t="n">
        <f aca="false">SUMIFS('Por foco'!$I$2:$I$579,'Por foco'!$A$2:$A$579,$A24,'Por foco'!$B$2:$B$579,$B24)</f>
        <v>170</v>
      </c>
      <c r="H24" s="3" t="n">
        <f aca="false">SUMIFS('Por foco'!$J$2:$J$579,'Por foco'!$A$2:$A$579,$A24,'Por foco'!$B$2:$B$579,$B24)</f>
        <v>5</v>
      </c>
      <c r="I24" s="3" t="n">
        <f aca="false">SUMIFS('Por foco'!$K$2:$K$579,'Por foco'!$A$2:$A$579,$A24,'Por foco'!$B$2:$B$579,$B24)</f>
        <v>5</v>
      </c>
      <c r="J24" s="3" t="n">
        <f aca="false">SUMIFS('Por foco'!$L$2:$L$579,'Por foco'!$A$2:$A$579,$A24,'Por foco'!$B$2:$B$579,$B24)</f>
        <v>0</v>
      </c>
      <c r="K24" s="3" t="n">
        <f aca="false">SUMIFS('Por foco'!$M$2:$M$579,'Por foco'!$A$2:$A$579,$A24,'Por foco'!$B$2:$B$579,$B24)</f>
        <v>25</v>
      </c>
      <c r="L24" s="3" t="n">
        <f aca="false">SUMIFS('Por foco'!$N$2:$N$579,'Por foco'!$A$2:$A$579,$A24,'Por foco'!$B$2:$B$579,$B24)</f>
        <v>0</v>
      </c>
      <c r="M24" s="3" t="n">
        <f aca="false">SUMIFS('Por foco'!$O$2:$O$579,'Por foco'!$A$2:$A$579,$A24,'Por foco'!$B$2:$B$579,$B24)</f>
        <v>0</v>
      </c>
      <c r="N24" s="3" t="n">
        <f aca="false">SUMIFS('Por foco'!$P$2:$P$579,'Por foco'!$A$2:$A$579,$A24,'Por foco'!$B$2:$B$579,$B24)</f>
        <v>0</v>
      </c>
      <c r="O24" s="3" t="n">
        <f aca="false">SUMIFS('Por foco'!$Q$2:$Q$579,'Por foco'!$A$2:$A$579,$A24,'Por foco'!$B$2:$B$579,$B24)</f>
        <v>0</v>
      </c>
      <c r="P24" s="3" t="n">
        <f aca="false">SUMIFS('Por foco'!$R$2:$R$579,'Por foco'!$A$2:$A$579,$A24,'Por foco'!$B$2:$B$579,$B24)</f>
        <v>0</v>
      </c>
      <c r="Q24" s="3" t="n">
        <f aca="false">SUMIFS('Por foco'!$S$2:$S$579,'Por foco'!$A$2:$A$579,$A24,'Por foco'!$B$2:$B$579,$B24)</f>
        <v>0</v>
      </c>
      <c r="R24" s="3" t="n">
        <f aca="false">SUMIFS('Por foco'!$T$2:$T$579,'Por foco'!$A$2:$A$579,$A24,'Por foco'!$B$2:$B$579,$B24)</f>
        <v>0</v>
      </c>
      <c r="S24" s="3" t="n">
        <f aca="false">SUMIFS('Por foco'!$U$2:$U$579,'Por foco'!$A$2:$A$579,$A24,'Por foco'!$B$2:$B$579,$B24)</f>
        <v>0</v>
      </c>
      <c r="T24" s="3" t="n">
        <f aca="false">SUMIFS('Por foco'!$V$2:$V$579,'Por foco'!$A$2:$A$579,$A24,'Por foco'!$B$2:$B$579,$B24)</f>
        <v>0</v>
      </c>
      <c r="U24" s="3" t="n">
        <f aca="false">SUMIFS('Por foco'!$W$2:$W$579,'Por foco'!$A$2:$A$579,$A24,'Por foco'!$B$2:$B$579,$B24)</f>
        <v>0</v>
      </c>
      <c r="V24" s="3" t="n">
        <f aca="false">SUMIFS('Por foco'!$X$2:$X$579,'Por foco'!$A$2:$A$579,$A24,'Por foco'!$B$2:$B$579,$B24)</f>
        <v>0</v>
      </c>
      <c r="W24" s="3" t="n">
        <f aca="false">SUMIFS('Por foco'!$Y$2:$Y$579,'Por foco'!$A$2:$A$579,$A24,'Por foco'!$B$2:$B$579,$B24)</f>
        <v>0</v>
      </c>
      <c r="X24" s="3" t="n">
        <f aca="false">SUMIFS('Por foco'!$Z$2:$Z$579,'Por foco'!$A$2:$A$579,$A24,'Por foco'!$B$2:$B$579,$B24)</f>
        <v>7</v>
      </c>
      <c r="Y24" s="3" t="n">
        <f aca="false">SUMIFS('Por foco'!$AA$2:$AA$579,'Por foco'!$A$2:$A$579,$A24,'Por foco'!$B$2:$B$579,$B24)</f>
        <v>0.51</v>
      </c>
      <c r="Z24" s="3" t="n">
        <f aca="false">SUMIFS('Por foco'!$AB$2:$AB$579,'Por foco'!$A$2:$A$579,$A24,'Por foco'!$B$2:$B$579,$B24)</f>
        <v>8.4</v>
      </c>
      <c r="AA24" s="3" t="n">
        <f aca="false">SUMIFS('Por foco'!$AC$2:$AC$579,'Por foco'!$A$2:$A$579,$A24,'Por foco'!$B$2:$B$579,$B24)</f>
        <v>0</v>
      </c>
      <c r="AB24" s="3" t="n">
        <f aca="false">SUMIFS('Por foco'!$AD$2:$AD$579,'Por foco'!$A$2:$A$579,$A24,'Por foco'!$B$2:$B$579,$B24)</f>
        <v>0</v>
      </c>
      <c r="AC24" s="3" t="n">
        <f aca="false">SUMIFS('Por foco'!$AE$2:$AE$579,'Por foco'!$A$2:$A$579,$A24,'Por foco'!$B$2:$B$579,$B24)</f>
        <v>0</v>
      </c>
      <c r="AD24" s="3" t="n">
        <f aca="false">SUMIFS('Por foco'!$AF$2:$AF$579,'Por foco'!$A$2:$A$579,$A24,'Por foco'!$B$2:$B$579,$B24)</f>
        <v>0</v>
      </c>
      <c r="AE24" s="3" t="n">
        <f aca="false">SUMIFS('Por foco'!$AG$2:$AG$579,'Por foco'!$A$2:$A$579,$A24,'Por foco'!$B$2:$B$579,$B24)</f>
        <v>-22</v>
      </c>
      <c r="AF24" s="3" t="n">
        <f aca="false">SUMIFS('Por foco'!$AH$2:$AH$579,'Por foco'!$A$2:$A$579,$A24,'Por foco'!$B$2:$B$579,$B24)</f>
        <v>0</v>
      </c>
      <c r="AG24" s="3" t="n">
        <f aca="false">SUMIFS('Por foco'!$AI$2:$AI$579,'Por foco'!$A$2:$A$579,$A24,'Por foco'!$B$2:$B$579,$B24)</f>
        <v>0</v>
      </c>
      <c r="AH24" s="3" t="n">
        <f aca="false">SUMIFS('Por foco'!$AJ$2:$AJ$579,'Por foco'!$A$2:$A$579,$A24,'Por foco'!$B$2:$B$579,$B24)</f>
        <v>0</v>
      </c>
      <c r="AI24" s="3" t="n">
        <f aca="false">SUMIFS('Por foco'!$AK$2:$AK$579,'Por foco'!$A$2:$A$579,$A24,'Por foco'!$B$2:$B$579,$B24)</f>
        <v>0</v>
      </c>
      <c r="AJ24" s="3" t="n">
        <f aca="false">SUMIFS('Por foco'!$AL$2:$AL$579,'Por foco'!$A$2:$A$579,$A24,'Por foco'!$B$2:$B$579,$B24)</f>
        <v>-10.4</v>
      </c>
      <c r="AK24" s="3" t="n">
        <f aca="false">SUMIFS('Por foco'!$AM$2:$AM$579,'Por foco'!$A$2:$A$579,$A24,'Por foco'!$B$2:$B$579,$B24)</f>
        <v>0</v>
      </c>
      <c r="AL24" s="3" t="n">
        <f aca="false">SUMIFS('Por foco'!$AN$2:$AN$579,'Por foco'!$A$2:$A$579,$A24,'Por foco'!$B$2:$B$579,$B24)</f>
        <v>0</v>
      </c>
      <c r="AM24" s="3" t="n">
        <f aca="false">SUMIFS('Por foco'!$AO$2:$AO$579,'Por foco'!$A$2:$A$579,$A24,'Por foco'!$B$2:$B$579,$B24)</f>
        <v>0</v>
      </c>
      <c r="AN24" s="3" t="n">
        <f aca="false">SUMIFS('Por foco'!$AP$2:$AP$579,'Por foco'!$A$2:$A$579,$A24,'Por foco'!$B$2:$B$579,$B24)</f>
        <v>0</v>
      </c>
      <c r="AO24" s="3" t="n">
        <f aca="false">SUMIFS('Por foco'!$AQ$2:$AQ$579,'Por foco'!$A$2:$A$579,$A24,'Por foco'!$B$2:$B$579,$B24)</f>
        <v>0</v>
      </c>
      <c r="AP24" s="3" t="n">
        <f aca="false">SUMIFS('Por foco'!$AR$2:$AR$579,'Por foco'!$A$2:$A$579,$A24,'Por foco'!$B$2:$B$579,$B24)</f>
        <v>0</v>
      </c>
      <c r="AQ24" s="3" t="n">
        <f aca="false">SUMIFS('Por foco'!$AS$2:$AS$579,'Por foco'!$A$2:$A$579,$A24,'Por foco'!$B$2:$B$579,$B24)</f>
        <v>0</v>
      </c>
      <c r="AR24" s="3" t="n">
        <f aca="false">SUMIFS('Por foco'!$AT$2:$AT$579,'Por foco'!$A$2:$A$579,$A24,'Por foco'!$B$2:$B$579,$B24)</f>
        <v>0</v>
      </c>
      <c r="AS24" s="3" t="n">
        <f aca="false">SUMIFS('Por foco'!$AU$2:$AU$579,'Por foco'!$A$2:$A$579,$A24,'Por foco'!$B$2:$B$579,$B24)</f>
        <v>0</v>
      </c>
      <c r="AT24" s="3" t="n">
        <f aca="false">SUMIFS('Por foco'!$AV$2:$AV$579,'Por foco'!$A$2:$A$579,$A24,'Por foco'!$B$2:$B$579,$B24)</f>
        <v>0</v>
      </c>
      <c r="AU24" s="3" t="n">
        <f aca="false">SUMIFS('Por foco'!$AW$2:$AW$579,'Por foco'!$A$2:$A$579,$A24,'Por foco'!$B$2:$B$579,$B24)</f>
        <v>0</v>
      </c>
      <c r="AV24" s="3" t="n">
        <f aca="false">SUMIFS('Por foco'!$AX$2:$AX$579,'Por foco'!$A$2:$A$579,$A24,'Por foco'!$B$2:$B$579,$B24)</f>
        <v>0</v>
      </c>
      <c r="AW24" s="3" t="n">
        <f aca="false">SUMIFS('Por foco'!$AY$2:$AY$579,'Por foco'!$A$2:$A$579,$A24,'Por foco'!$B$2:$B$579,$B24)</f>
        <v>0</v>
      </c>
      <c r="AX24" s="3" t="n">
        <f aca="false">SUMIFS('Por foco'!$AZ$2:$AZ$579,'Por foco'!$A$2:$A$579,$A24,'Por foco'!$B$2:$B$579,$B24)</f>
        <v>0</v>
      </c>
      <c r="AY24" s="3" t="n">
        <f aca="false">SUMIFS('Por foco'!$BA$2:$BA$579,'Por foco'!$A$2:$A$579,$A24,'Por foco'!$B$2:$B$579,$B24)</f>
        <v>0</v>
      </c>
      <c r="AZ24" s="3" t="n">
        <f aca="false">SUMIFS('Por foco'!$BB$2:$BB$579,'Por foco'!$A$2:$A$579,$A24,'Por foco'!$B$2:$B$579,$B24)</f>
        <v>0</v>
      </c>
      <c r="BA24" s="3" t="n">
        <f aca="false">SUMIFS('Por foco'!$BC$2:$BC$579,'Por foco'!$A$2:$A$579,$A24,'Por foco'!$B$2:$B$579,$B24)</f>
        <v>0</v>
      </c>
      <c r="BB24" s="3" t="n">
        <f aca="false">SUMIFS('Por foco'!$BD$2:$BD$579,'Por foco'!$A$2:$A$579,$A24,'Por foco'!$B$2:$B$579,$B24)</f>
        <v>0</v>
      </c>
      <c r="BC24" s="3" t="n">
        <f aca="false">SUMIFS('Por foco'!$BE$2:$BE$579,'Por foco'!$A$2:$A$579,$A24,'Por foco'!$B$2:$B$579,$B24)</f>
        <v>0</v>
      </c>
      <c r="BD24" s="3" t="n">
        <f aca="false">SUMIFS('Por foco'!$BF$2:$BF$579,'Por foco'!$A$2:$A$579,$A24,'Por foco'!$B$2:$B$579,$B24)</f>
        <v>0</v>
      </c>
      <c r="BE24" s="3" t="n">
        <f aca="false">SUMIFS('Por foco'!$BG$2:$BG$579,'Por foco'!$A$2:$A$579,$A24,'Por foco'!$B$2:$B$579,$B24)</f>
        <v>0</v>
      </c>
    </row>
    <row r="25" customFormat="false" ht="15" hidden="false" customHeight="false" outlineLevel="0" collapsed="false">
      <c r="A25" s="3" t="s">
        <v>62</v>
      </c>
      <c r="B25" s="3" t="s">
        <v>99</v>
      </c>
      <c r="C25" s="3" t="n">
        <f aca="false">COUNTIFS('Por foco'!$A$2:$A$579,$A25,'Por foco'!$B$2:$B$579,$B25)</f>
        <v>8</v>
      </c>
      <c r="D25" s="6" t="n">
        <f aca="false">SUMIFS('Por foco'!$F$2:$F$579,'Por foco'!$A$2:$A$579,$A25,'Por foco'!$B$2:$B$579,$B25)</f>
        <v>1198</v>
      </c>
      <c r="E25" s="3" t="n">
        <f aca="false">IF(C25=0,0,SUMIFS('Por foco'!$E$2:$E$579,'Por foco'!$A$2:$A$579,$A25,'Por foco'!$B$2:$B$579,$B25)/C25)</f>
        <v>0.5625</v>
      </c>
      <c r="F25" s="3" t="n">
        <f aca="false">SUMIFS('Por foco'!$H$2:$H$579,'Por foco'!$A$2:$A$579,$A25,'Por foco'!$B$2:$B$579,$B25)</f>
        <v>518</v>
      </c>
      <c r="G25" s="3" t="n">
        <f aca="false">SUMIFS('Por foco'!$I$2:$I$579,'Por foco'!$A$2:$A$579,$A25,'Por foco'!$B$2:$B$579,$B25)</f>
        <v>150</v>
      </c>
      <c r="H25" s="3" t="n">
        <f aca="false">SUMIFS('Por foco'!$J$2:$J$579,'Por foco'!$A$2:$A$579,$A25,'Por foco'!$B$2:$B$579,$B25)</f>
        <v>5</v>
      </c>
      <c r="I25" s="3" t="n">
        <f aca="false">SUMIFS('Por foco'!$K$2:$K$579,'Por foco'!$A$2:$A$579,$A25,'Por foco'!$B$2:$B$579,$B25)</f>
        <v>0</v>
      </c>
      <c r="J25" s="3" t="n">
        <f aca="false">SUMIFS('Por foco'!$L$2:$L$579,'Por foco'!$A$2:$A$579,$A25,'Por foco'!$B$2:$B$579,$B25)</f>
        <v>0</v>
      </c>
      <c r="K25" s="3" t="n">
        <f aca="false">SUMIFS('Por foco'!$M$2:$M$579,'Por foco'!$A$2:$A$579,$A25,'Por foco'!$B$2:$B$579,$B25)</f>
        <v>0</v>
      </c>
      <c r="L25" s="3" t="n">
        <f aca="false">SUMIFS('Por foco'!$N$2:$N$579,'Por foco'!$A$2:$A$579,$A25,'Por foco'!$B$2:$B$579,$B25)</f>
        <v>0</v>
      </c>
      <c r="M25" s="3" t="n">
        <f aca="false">SUMIFS('Por foco'!$O$2:$O$579,'Por foco'!$A$2:$A$579,$A25,'Por foco'!$B$2:$B$579,$B25)</f>
        <v>0</v>
      </c>
      <c r="N25" s="3" t="n">
        <f aca="false">SUMIFS('Por foco'!$P$2:$P$579,'Por foco'!$A$2:$A$579,$A25,'Por foco'!$B$2:$B$579,$B25)</f>
        <v>0</v>
      </c>
      <c r="O25" s="3" t="n">
        <f aca="false">SUMIFS('Por foco'!$Q$2:$Q$579,'Por foco'!$A$2:$A$579,$A25,'Por foco'!$B$2:$B$579,$B25)</f>
        <v>0</v>
      </c>
      <c r="P25" s="3" t="n">
        <f aca="false">SUMIFS('Por foco'!$R$2:$R$579,'Por foco'!$A$2:$A$579,$A25,'Por foco'!$B$2:$B$579,$B25)</f>
        <v>4</v>
      </c>
      <c r="Q25" s="3" t="n">
        <f aca="false">SUMIFS('Por foco'!$S$2:$S$579,'Por foco'!$A$2:$A$579,$A25,'Por foco'!$B$2:$B$579,$B25)</f>
        <v>0</v>
      </c>
      <c r="R25" s="3" t="n">
        <f aca="false">SUMIFS('Por foco'!$T$2:$T$579,'Por foco'!$A$2:$A$579,$A25,'Por foco'!$B$2:$B$579,$B25)</f>
        <v>0</v>
      </c>
      <c r="S25" s="3" t="n">
        <f aca="false">SUMIFS('Por foco'!$U$2:$U$579,'Por foco'!$A$2:$A$579,$A25,'Por foco'!$B$2:$B$579,$B25)</f>
        <v>0</v>
      </c>
      <c r="T25" s="3" t="n">
        <f aca="false">SUMIFS('Por foco'!$V$2:$V$579,'Por foco'!$A$2:$A$579,$A25,'Por foco'!$B$2:$B$579,$B25)</f>
        <v>0</v>
      </c>
      <c r="U25" s="3" t="n">
        <f aca="false">SUMIFS('Por foco'!$W$2:$W$579,'Por foco'!$A$2:$A$579,$A25,'Por foco'!$B$2:$B$579,$B25)</f>
        <v>0</v>
      </c>
      <c r="V25" s="3" t="n">
        <f aca="false">SUMIFS('Por foco'!$X$2:$X$579,'Por foco'!$A$2:$A$579,$A25,'Por foco'!$B$2:$B$579,$B25)</f>
        <v>0</v>
      </c>
      <c r="W25" s="3" t="n">
        <f aca="false">SUMIFS('Por foco'!$Y$2:$Y$579,'Por foco'!$A$2:$A$579,$A25,'Por foco'!$B$2:$B$579,$B25)</f>
        <v>0</v>
      </c>
      <c r="X25" s="3" t="n">
        <f aca="false">SUMIFS('Por foco'!$Z$2:$Z$579,'Por foco'!$A$2:$A$579,$A25,'Por foco'!$B$2:$B$579,$B25)</f>
        <v>0</v>
      </c>
      <c r="Y25" s="3" t="n">
        <f aca="false">SUMIFS('Por foco'!$AA$2:$AA$579,'Por foco'!$A$2:$A$579,$A25,'Por foco'!$B$2:$B$579,$B25)</f>
        <v>0.1</v>
      </c>
      <c r="Z25" s="3" t="n">
        <f aca="false">SUMIFS('Por foco'!$AB$2:$AB$579,'Por foco'!$A$2:$A$579,$A25,'Por foco'!$B$2:$B$579,$B25)</f>
        <v>15</v>
      </c>
      <c r="AA25" s="3" t="n">
        <f aca="false">SUMIFS('Por foco'!$AC$2:$AC$579,'Por foco'!$A$2:$A$579,$A25,'Por foco'!$B$2:$B$579,$B25)</f>
        <v>-10</v>
      </c>
      <c r="AB25" s="3" t="n">
        <f aca="false">SUMIFS('Por foco'!$AD$2:$AD$579,'Por foco'!$A$2:$A$579,$A25,'Por foco'!$B$2:$B$579,$B25)</f>
        <v>0</v>
      </c>
      <c r="AC25" s="3" t="n">
        <f aca="false">SUMIFS('Por foco'!$AE$2:$AE$579,'Por foco'!$A$2:$A$579,$A25,'Por foco'!$B$2:$B$579,$B25)</f>
        <v>20</v>
      </c>
      <c r="AD25" s="3" t="n">
        <f aca="false">SUMIFS('Por foco'!$AF$2:$AF$579,'Por foco'!$A$2:$A$579,$A25,'Por foco'!$B$2:$B$579,$B25)</f>
        <v>0</v>
      </c>
      <c r="AE25" s="3" t="n">
        <f aca="false">SUMIFS('Por foco'!$AG$2:$AG$579,'Por foco'!$A$2:$A$579,$A25,'Por foco'!$B$2:$B$579,$B25)</f>
        <v>4</v>
      </c>
      <c r="AF25" s="3" t="n">
        <f aca="false">SUMIFS('Por foco'!$AH$2:$AH$579,'Por foco'!$A$2:$A$579,$A25,'Por foco'!$B$2:$B$579,$B25)</f>
        <v>0</v>
      </c>
      <c r="AG25" s="3" t="n">
        <f aca="false">SUMIFS('Por foco'!$AI$2:$AI$579,'Por foco'!$A$2:$A$579,$A25,'Por foco'!$B$2:$B$579,$B25)</f>
        <v>5</v>
      </c>
      <c r="AH25" s="3" t="n">
        <f aca="false">SUMIFS('Por foco'!$AJ$2:$AJ$579,'Por foco'!$A$2:$A$579,$A25,'Por foco'!$B$2:$B$579,$B25)</f>
        <v>0</v>
      </c>
      <c r="AI25" s="3" t="n">
        <f aca="false">SUMIFS('Por foco'!$AK$2:$AK$579,'Por foco'!$A$2:$A$579,$A25,'Por foco'!$B$2:$B$579,$B25)</f>
        <v>0</v>
      </c>
      <c r="AJ25" s="3" t="n">
        <f aca="false">SUMIFS('Por foco'!$AL$2:$AL$579,'Por foco'!$A$2:$A$579,$A25,'Por foco'!$B$2:$B$579,$B25)</f>
        <v>-18</v>
      </c>
      <c r="AK25" s="3" t="n">
        <f aca="false">SUMIFS('Por foco'!$AM$2:$AM$579,'Por foco'!$A$2:$A$579,$A25,'Por foco'!$B$2:$B$579,$B25)</f>
        <v>0</v>
      </c>
      <c r="AL25" s="3" t="n">
        <f aca="false">SUMIFS('Por foco'!$AN$2:$AN$579,'Por foco'!$A$2:$A$579,$A25,'Por foco'!$B$2:$B$579,$B25)</f>
        <v>0</v>
      </c>
      <c r="AM25" s="3" t="n">
        <f aca="false">SUMIFS('Por foco'!$AO$2:$AO$579,'Por foco'!$A$2:$A$579,$A25,'Por foco'!$B$2:$B$579,$B25)</f>
        <v>0</v>
      </c>
      <c r="AN25" s="3" t="n">
        <f aca="false">SUMIFS('Por foco'!$AP$2:$AP$579,'Por foco'!$A$2:$A$579,$A25,'Por foco'!$B$2:$B$579,$B25)</f>
        <v>-10</v>
      </c>
      <c r="AO25" s="3" t="n">
        <f aca="false">SUMIFS('Por foco'!$AQ$2:$AQ$579,'Por foco'!$A$2:$A$579,$A25,'Por foco'!$B$2:$B$579,$B25)</f>
        <v>0</v>
      </c>
      <c r="AP25" s="3" t="n">
        <f aca="false">SUMIFS('Por foco'!$AR$2:$AR$579,'Por foco'!$A$2:$A$579,$A25,'Por foco'!$B$2:$B$579,$B25)</f>
        <v>0</v>
      </c>
      <c r="AQ25" s="3" t="n">
        <f aca="false">SUMIFS('Por foco'!$AS$2:$AS$579,'Por foco'!$A$2:$A$579,$A25,'Por foco'!$B$2:$B$579,$B25)</f>
        <v>0</v>
      </c>
      <c r="AR25" s="3" t="n">
        <f aca="false">SUMIFS('Por foco'!$AT$2:$AT$579,'Por foco'!$A$2:$A$579,$A25,'Por foco'!$B$2:$B$579,$B25)</f>
        <v>0</v>
      </c>
      <c r="AS25" s="3" t="n">
        <f aca="false">SUMIFS('Por foco'!$AU$2:$AU$579,'Por foco'!$A$2:$A$579,$A25,'Por foco'!$B$2:$B$579,$B25)</f>
        <v>0</v>
      </c>
      <c r="AT25" s="3" t="n">
        <f aca="false">SUMIFS('Por foco'!$AV$2:$AV$579,'Por foco'!$A$2:$A$579,$A25,'Por foco'!$B$2:$B$579,$B25)</f>
        <v>0</v>
      </c>
      <c r="AU25" s="3" t="n">
        <f aca="false">SUMIFS('Por foco'!$AW$2:$AW$579,'Por foco'!$A$2:$A$579,$A25,'Por foco'!$B$2:$B$579,$B25)</f>
        <v>0</v>
      </c>
      <c r="AV25" s="3" t="n">
        <f aca="false">SUMIFS('Por foco'!$AX$2:$AX$579,'Por foco'!$A$2:$A$579,$A25,'Por foco'!$B$2:$B$579,$B25)</f>
        <v>0</v>
      </c>
      <c r="AW25" s="3" t="n">
        <f aca="false">SUMIFS('Por foco'!$AY$2:$AY$579,'Por foco'!$A$2:$A$579,$A25,'Por foco'!$B$2:$B$579,$B25)</f>
        <v>0</v>
      </c>
      <c r="AX25" s="3" t="n">
        <f aca="false">SUMIFS('Por foco'!$AZ$2:$AZ$579,'Por foco'!$A$2:$A$579,$A25,'Por foco'!$B$2:$B$579,$B25)</f>
        <v>0</v>
      </c>
      <c r="AY25" s="3" t="n">
        <f aca="false">SUMIFS('Por foco'!$BA$2:$BA$579,'Por foco'!$A$2:$A$579,$A25,'Por foco'!$B$2:$B$579,$B25)</f>
        <v>0</v>
      </c>
      <c r="AZ25" s="3" t="n">
        <f aca="false">SUMIFS('Por foco'!$BB$2:$BB$579,'Por foco'!$A$2:$A$579,$A25,'Por foco'!$B$2:$B$579,$B25)</f>
        <v>0</v>
      </c>
      <c r="BA25" s="3" t="n">
        <f aca="false">SUMIFS('Por foco'!$BC$2:$BC$579,'Por foco'!$A$2:$A$579,$A25,'Por foco'!$B$2:$B$579,$B25)</f>
        <v>0</v>
      </c>
      <c r="BB25" s="3" t="n">
        <f aca="false">SUMIFS('Por foco'!$BD$2:$BD$579,'Por foco'!$A$2:$A$579,$A25,'Por foco'!$B$2:$B$579,$B25)</f>
        <v>0</v>
      </c>
      <c r="BC25" s="3" t="n">
        <f aca="false">SUMIFS('Por foco'!$BE$2:$BE$579,'Por foco'!$A$2:$A$579,$A25,'Por foco'!$B$2:$B$579,$B25)</f>
        <v>0</v>
      </c>
      <c r="BD25" s="3" t="n">
        <f aca="false">SUMIFS('Por foco'!$BF$2:$BF$579,'Por foco'!$A$2:$A$579,$A25,'Por foco'!$B$2:$B$579,$B25)</f>
        <v>0</v>
      </c>
      <c r="BE25" s="3" t="n">
        <f aca="false">SUMIFS('Por foco'!$BG$2:$BG$579,'Por foco'!$A$2:$A$579,$A25,'Por foco'!$B$2:$B$579,$B25)</f>
        <v>0</v>
      </c>
    </row>
    <row r="26" customFormat="false" ht="15" hidden="false" customHeight="false" outlineLevel="0" collapsed="false">
      <c r="A26" s="3" t="s">
        <v>62</v>
      </c>
      <c r="B26" s="3" t="s">
        <v>100</v>
      </c>
      <c r="C26" s="3" t="n">
        <f aca="false">COUNTIFS('Por foco'!$A$2:$A$579,$A26,'Por foco'!$B$2:$B$579,$B26)</f>
        <v>7</v>
      </c>
      <c r="D26" s="6" t="n">
        <f aca="false">SUMIFS('Por foco'!$F$2:$F$579,'Por foco'!$A$2:$A$579,$A26,'Por foco'!$B$2:$B$579,$B26)</f>
        <v>898.1</v>
      </c>
      <c r="E26" s="3" t="n">
        <f aca="false">IF(C26=0,0,SUMIFS('Por foco'!$E$2:$E$579,'Por foco'!$A$2:$A$579,$A26,'Por foco'!$B$2:$B$579,$B26)/C26)</f>
        <v>0.5</v>
      </c>
      <c r="F26" s="3" t="n">
        <f aca="false">SUMIFS('Por foco'!$H$2:$H$579,'Por foco'!$A$2:$A$579,$A26,'Por foco'!$B$2:$B$579,$B26)</f>
        <v>469</v>
      </c>
      <c r="G26" s="3" t="n">
        <f aca="false">SUMIFS('Por foco'!$I$2:$I$579,'Por foco'!$A$2:$A$579,$A26,'Por foco'!$B$2:$B$579,$B26)</f>
        <v>300</v>
      </c>
      <c r="H26" s="3" t="n">
        <f aca="false">SUMIFS('Por foco'!$J$2:$J$579,'Por foco'!$A$2:$A$579,$A26,'Por foco'!$B$2:$B$579,$B26)</f>
        <v>0</v>
      </c>
      <c r="I26" s="3" t="n">
        <f aca="false">SUMIFS('Por foco'!$K$2:$K$579,'Por foco'!$A$2:$A$579,$A26,'Por foco'!$B$2:$B$579,$B26)</f>
        <v>0</v>
      </c>
      <c r="J26" s="3" t="n">
        <f aca="false">SUMIFS('Por foco'!$L$2:$L$579,'Por foco'!$A$2:$A$579,$A26,'Por foco'!$B$2:$B$579,$B26)</f>
        <v>0</v>
      </c>
      <c r="K26" s="3" t="n">
        <f aca="false">SUMIFS('Por foco'!$M$2:$M$579,'Por foco'!$A$2:$A$579,$A26,'Por foco'!$B$2:$B$579,$B26)</f>
        <v>0</v>
      </c>
      <c r="L26" s="3" t="n">
        <f aca="false">SUMIFS('Por foco'!$N$2:$N$579,'Por foco'!$A$2:$A$579,$A26,'Por foco'!$B$2:$B$579,$B26)</f>
        <v>0</v>
      </c>
      <c r="M26" s="3" t="n">
        <f aca="false">SUMIFS('Por foco'!$O$2:$O$579,'Por foco'!$A$2:$A$579,$A26,'Por foco'!$B$2:$B$579,$B26)</f>
        <v>0</v>
      </c>
      <c r="N26" s="3" t="n">
        <f aca="false">SUMIFS('Por foco'!$P$2:$P$579,'Por foco'!$A$2:$A$579,$A26,'Por foco'!$B$2:$B$579,$B26)</f>
        <v>0</v>
      </c>
      <c r="O26" s="3" t="n">
        <f aca="false">SUMIFS('Por foco'!$Q$2:$Q$579,'Por foco'!$A$2:$A$579,$A26,'Por foco'!$B$2:$B$579,$B26)</f>
        <v>0</v>
      </c>
      <c r="P26" s="3" t="n">
        <f aca="false">SUMIFS('Por foco'!$R$2:$R$579,'Por foco'!$A$2:$A$579,$A26,'Por foco'!$B$2:$B$579,$B26)</f>
        <v>4</v>
      </c>
      <c r="Q26" s="3" t="n">
        <f aca="false">SUMIFS('Por foco'!$S$2:$S$579,'Por foco'!$A$2:$A$579,$A26,'Por foco'!$B$2:$B$579,$B26)</f>
        <v>0</v>
      </c>
      <c r="R26" s="3" t="n">
        <f aca="false">SUMIFS('Por foco'!$T$2:$T$579,'Por foco'!$A$2:$A$579,$A26,'Por foco'!$B$2:$B$579,$B26)</f>
        <v>0</v>
      </c>
      <c r="S26" s="3" t="n">
        <f aca="false">SUMIFS('Por foco'!$U$2:$U$579,'Por foco'!$A$2:$A$579,$A26,'Por foco'!$B$2:$B$579,$B26)</f>
        <v>0</v>
      </c>
      <c r="T26" s="3" t="n">
        <f aca="false">SUMIFS('Por foco'!$V$2:$V$579,'Por foco'!$A$2:$A$579,$A26,'Por foco'!$B$2:$B$579,$B26)</f>
        <v>0</v>
      </c>
      <c r="U26" s="3" t="n">
        <f aca="false">SUMIFS('Por foco'!$W$2:$W$579,'Por foco'!$A$2:$A$579,$A26,'Por foco'!$B$2:$B$579,$B26)</f>
        <v>0</v>
      </c>
      <c r="V26" s="3" t="n">
        <f aca="false">SUMIFS('Por foco'!$X$2:$X$579,'Por foco'!$A$2:$A$579,$A26,'Por foco'!$B$2:$B$579,$B26)</f>
        <v>0</v>
      </c>
      <c r="W26" s="3" t="n">
        <f aca="false">SUMIFS('Por foco'!$Y$2:$Y$579,'Por foco'!$A$2:$A$579,$A26,'Por foco'!$B$2:$B$579,$B26)</f>
        <v>0</v>
      </c>
      <c r="X26" s="3" t="n">
        <f aca="false">SUMIFS('Por foco'!$Z$2:$Z$579,'Por foco'!$A$2:$A$579,$A26,'Por foco'!$B$2:$B$579,$B26)</f>
        <v>0</v>
      </c>
      <c r="Y26" s="3" t="n">
        <f aca="false">SUMIFS('Por foco'!$AA$2:$AA$579,'Por foco'!$A$2:$A$579,$A26,'Por foco'!$B$2:$B$579,$B26)</f>
        <v>0.17</v>
      </c>
      <c r="Z26" s="3" t="n">
        <f aca="false">SUMIFS('Por foco'!$AB$2:$AB$579,'Por foco'!$A$2:$A$579,$A26,'Por foco'!$B$2:$B$579,$B26)</f>
        <v>-0.2</v>
      </c>
      <c r="AA26" s="3" t="n">
        <f aca="false">SUMIFS('Por foco'!$AC$2:$AC$579,'Por foco'!$A$2:$A$579,$A26,'Por foco'!$B$2:$B$579,$B26)</f>
        <v>0</v>
      </c>
      <c r="AB26" s="3" t="n">
        <f aca="false">SUMIFS('Por foco'!$AD$2:$AD$579,'Por foco'!$A$2:$A$579,$A26,'Por foco'!$B$2:$B$579,$B26)</f>
        <v>0</v>
      </c>
      <c r="AC26" s="3" t="n">
        <f aca="false">SUMIFS('Por foco'!$AE$2:$AE$579,'Por foco'!$A$2:$A$579,$A26,'Por foco'!$B$2:$B$579,$B26)</f>
        <v>-30</v>
      </c>
      <c r="AD26" s="3" t="n">
        <f aca="false">SUMIFS('Por foco'!$AF$2:$AF$579,'Por foco'!$A$2:$A$579,$A26,'Por foco'!$B$2:$B$579,$B26)</f>
        <v>0</v>
      </c>
      <c r="AE26" s="3" t="n">
        <f aca="false">SUMIFS('Por foco'!$AG$2:$AG$579,'Por foco'!$A$2:$A$579,$A26,'Por foco'!$B$2:$B$579,$B26)</f>
        <v>-3.6</v>
      </c>
      <c r="AF26" s="3" t="n">
        <f aca="false">SUMIFS('Por foco'!$AH$2:$AH$579,'Por foco'!$A$2:$A$579,$A26,'Por foco'!$B$2:$B$579,$B26)</f>
        <v>0</v>
      </c>
      <c r="AG26" s="3" t="n">
        <f aca="false">SUMIFS('Por foco'!$AI$2:$AI$579,'Por foco'!$A$2:$A$579,$A26,'Por foco'!$B$2:$B$579,$B26)</f>
        <v>10</v>
      </c>
      <c r="AH26" s="3" t="n">
        <f aca="false">SUMIFS('Por foco'!$AJ$2:$AJ$579,'Por foco'!$A$2:$A$579,$A26,'Por foco'!$B$2:$B$579,$B26)</f>
        <v>0</v>
      </c>
      <c r="AI26" s="3" t="n">
        <f aca="false">SUMIFS('Por foco'!$AK$2:$AK$579,'Por foco'!$A$2:$A$579,$A26,'Por foco'!$B$2:$B$579,$B26)</f>
        <v>0</v>
      </c>
      <c r="AJ26" s="3" t="n">
        <f aca="false">SUMIFS('Por foco'!$AL$2:$AL$579,'Por foco'!$A$2:$A$579,$A26,'Por foco'!$B$2:$B$579,$B26)</f>
        <v>1.2</v>
      </c>
      <c r="AK26" s="3" t="n">
        <f aca="false">SUMIFS('Por foco'!$AM$2:$AM$579,'Por foco'!$A$2:$A$579,$A26,'Por foco'!$B$2:$B$579,$B26)</f>
        <v>10</v>
      </c>
      <c r="AL26" s="3" t="n">
        <f aca="false">SUMIFS('Por foco'!$AN$2:$AN$579,'Por foco'!$A$2:$A$579,$A26,'Por foco'!$B$2:$B$579,$B26)</f>
        <v>0</v>
      </c>
      <c r="AM26" s="3" t="n">
        <f aca="false">SUMIFS('Por foco'!$AO$2:$AO$579,'Por foco'!$A$2:$A$579,$A26,'Por foco'!$B$2:$B$579,$B26)</f>
        <v>0</v>
      </c>
      <c r="AN26" s="3" t="n">
        <f aca="false">SUMIFS('Por foco'!$AP$2:$AP$579,'Por foco'!$A$2:$A$579,$A26,'Por foco'!$B$2:$B$579,$B26)</f>
        <v>0</v>
      </c>
      <c r="AO26" s="3" t="n">
        <f aca="false">SUMIFS('Por foco'!$AQ$2:$AQ$579,'Por foco'!$A$2:$A$579,$A26,'Por foco'!$B$2:$B$579,$B26)</f>
        <v>0</v>
      </c>
      <c r="AP26" s="3" t="n">
        <f aca="false">SUMIFS('Por foco'!$AR$2:$AR$579,'Por foco'!$A$2:$A$579,$A26,'Por foco'!$B$2:$B$579,$B26)</f>
        <v>0</v>
      </c>
      <c r="AQ26" s="3" t="n">
        <f aca="false">SUMIFS('Por foco'!$AS$2:$AS$579,'Por foco'!$A$2:$A$579,$A26,'Por foco'!$B$2:$B$579,$B26)</f>
        <v>0</v>
      </c>
      <c r="AR26" s="3" t="n">
        <f aca="false">SUMIFS('Por foco'!$AT$2:$AT$579,'Por foco'!$A$2:$A$579,$A26,'Por foco'!$B$2:$B$579,$B26)</f>
        <v>0</v>
      </c>
      <c r="AS26" s="3" t="n">
        <f aca="false">SUMIFS('Por foco'!$AU$2:$AU$579,'Por foco'!$A$2:$A$579,$A26,'Por foco'!$B$2:$B$579,$B26)</f>
        <v>0</v>
      </c>
      <c r="AT26" s="3" t="n">
        <f aca="false">SUMIFS('Por foco'!$AV$2:$AV$579,'Por foco'!$A$2:$A$579,$A26,'Por foco'!$B$2:$B$579,$B26)</f>
        <v>0</v>
      </c>
      <c r="AU26" s="3" t="n">
        <f aca="false">SUMIFS('Por foco'!$AW$2:$AW$579,'Por foco'!$A$2:$A$579,$A26,'Por foco'!$B$2:$B$579,$B26)</f>
        <v>0</v>
      </c>
      <c r="AV26" s="3" t="n">
        <f aca="false">SUMIFS('Por foco'!$AX$2:$AX$579,'Por foco'!$A$2:$A$579,$A26,'Por foco'!$B$2:$B$579,$B26)</f>
        <v>0</v>
      </c>
      <c r="AW26" s="3" t="n">
        <f aca="false">SUMIFS('Por foco'!$AY$2:$AY$579,'Por foco'!$A$2:$A$579,$A26,'Por foco'!$B$2:$B$579,$B26)</f>
        <v>0</v>
      </c>
      <c r="AX26" s="3" t="n">
        <f aca="false">SUMIFS('Por foco'!$AZ$2:$AZ$579,'Por foco'!$A$2:$A$579,$A26,'Por foco'!$B$2:$B$579,$B26)</f>
        <v>0</v>
      </c>
      <c r="AY26" s="3" t="n">
        <f aca="false">SUMIFS('Por foco'!$BA$2:$BA$579,'Por foco'!$A$2:$A$579,$A26,'Por foco'!$B$2:$B$579,$B26)</f>
        <v>0</v>
      </c>
      <c r="AZ26" s="3" t="n">
        <f aca="false">SUMIFS('Por foco'!$BB$2:$BB$579,'Por foco'!$A$2:$A$579,$A26,'Por foco'!$B$2:$B$579,$B26)</f>
        <v>0</v>
      </c>
      <c r="BA26" s="3" t="n">
        <f aca="false">SUMIFS('Por foco'!$BC$2:$BC$579,'Por foco'!$A$2:$A$579,$A26,'Por foco'!$B$2:$B$579,$B26)</f>
        <v>0</v>
      </c>
      <c r="BB26" s="3" t="n">
        <f aca="false">SUMIFS('Por foco'!$BD$2:$BD$579,'Por foco'!$A$2:$A$579,$A26,'Por foco'!$B$2:$B$579,$B26)</f>
        <v>0</v>
      </c>
      <c r="BC26" s="3" t="n">
        <f aca="false">SUMIFS('Por foco'!$BE$2:$BE$579,'Por foco'!$A$2:$A$579,$A26,'Por foco'!$B$2:$B$579,$B26)</f>
        <v>0</v>
      </c>
      <c r="BD26" s="3" t="n">
        <f aca="false">SUMIFS('Por foco'!$BF$2:$BF$579,'Por foco'!$A$2:$A$579,$A26,'Por foco'!$B$2:$B$579,$B26)</f>
        <v>0</v>
      </c>
      <c r="BE26" s="3" t="n">
        <f aca="false">SUMIFS('Por foco'!$BG$2:$BG$579,'Por foco'!$A$2:$A$579,$A26,'Por foco'!$B$2:$B$579,$B26)</f>
        <v>0</v>
      </c>
    </row>
    <row r="27" customFormat="false" ht="15" hidden="false" customHeight="false" outlineLevel="0" collapsed="false">
      <c r="A27" s="3" t="s">
        <v>62</v>
      </c>
      <c r="B27" s="3" t="s">
        <v>101</v>
      </c>
      <c r="C27" s="3" t="n">
        <f aca="false">COUNTIFS('Por foco'!$A$2:$A$579,$A27,'Por foco'!$B$2:$B$579,$B27)</f>
        <v>6</v>
      </c>
      <c r="D27" s="6" t="n">
        <f aca="false">SUMIFS('Por foco'!$F$2:$F$579,'Por foco'!$A$2:$A$579,$A27,'Por foco'!$B$2:$B$579,$B27)</f>
        <v>1511.2</v>
      </c>
      <c r="E27" s="3" t="n">
        <f aca="false">IF(C27=0,0,SUMIFS('Por foco'!$E$2:$E$579,'Por foco'!$A$2:$A$579,$A27,'Por foco'!$B$2:$B$579,$B27)/C27)</f>
        <v>1</v>
      </c>
      <c r="F27" s="3" t="n">
        <f aca="false">SUMIFS('Por foco'!$H$2:$H$579,'Por foco'!$A$2:$A$579,$A27,'Por foco'!$B$2:$B$579,$B27)</f>
        <v>364</v>
      </c>
      <c r="G27" s="3" t="n">
        <f aca="false">SUMIFS('Por foco'!$I$2:$I$579,'Por foco'!$A$2:$A$579,$A27,'Por foco'!$B$2:$B$579,$B27)</f>
        <v>0</v>
      </c>
      <c r="H27" s="3" t="n">
        <f aca="false">SUMIFS('Por foco'!$J$2:$J$579,'Por foco'!$A$2:$A$579,$A27,'Por foco'!$B$2:$B$579,$B27)</f>
        <v>0</v>
      </c>
      <c r="I27" s="3" t="n">
        <f aca="false">SUMIFS('Por foco'!$K$2:$K$579,'Por foco'!$A$2:$A$579,$A27,'Por foco'!$B$2:$B$579,$B27)</f>
        <v>0</v>
      </c>
      <c r="J27" s="3" t="n">
        <f aca="false">SUMIFS('Por foco'!$L$2:$L$579,'Por foco'!$A$2:$A$579,$A27,'Por foco'!$B$2:$B$579,$B27)</f>
        <v>0</v>
      </c>
      <c r="K27" s="3" t="n">
        <f aca="false">SUMIFS('Por foco'!$M$2:$M$579,'Por foco'!$A$2:$A$579,$A27,'Por foco'!$B$2:$B$579,$B27)</f>
        <v>0</v>
      </c>
      <c r="L27" s="3" t="n">
        <f aca="false">SUMIFS('Por foco'!$N$2:$N$579,'Por foco'!$A$2:$A$579,$A27,'Por foco'!$B$2:$B$579,$B27)</f>
        <v>0</v>
      </c>
      <c r="M27" s="3" t="n">
        <f aca="false">SUMIFS('Por foco'!$O$2:$O$579,'Por foco'!$A$2:$A$579,$A27,'Por foco'!$B$2:$B$579,$B27)</f>
        <v>0</v>
      </c>
      <c r="N27" s="3" t="n">
        <f aca="false">SUMIFS('Por foco'!$P$2:$P$579,'Por foco'!$A$2:$A$579,$A27,'Por foco'!$B$2:$B$579,$B27)</f>
        <v>1</v>
      </c>
      <c r="O27" s="3" t="n">
        <f aca="false">SUMIFS('Por foco'!$Q$2:$Q$579,'Por foco'!$A$2:$A$579,$A27,'Por foco'!$B$2:$B$579,$B27)</f>
        <v>3</v>
      </c>
      <c r="P27" s="3" t="n">
        <f aca="false">SUMIFS('Por foco'!$R$2:$R$579,'Por foco'!$A$2:$A$579,$A27,'Por foco'!$B$2:$B$579,$B27)</f>
        <v>2</v>
      </c>
      <c r="Q27" s="3" t="n">
        <f aca="false">SUMIFS('Por foco'!$S$2:$S$579,'Por foco'!$A$2:$A$579,$A27,'Por foco'!$B$2:$B$579,$B27)</f>
        <v>2</v>
      </c>
      <c r="R27" s="3" t="n">
        <f aca="false">SUMIFS('Por foco'!$T$2:$T$579,'Por foco'!$A$2:$A$579,$A27,'Por foco'!$B$2:$B$579,$B27)</f>
        <v>2</v>
      </c>
      <c r="S27" s="3" t="n">
        <f aca="false">SUMIFS('Por foco'!$U$2:$U$579,'Por foco'!$A$2:$A$579,$A27,'Por foco'!$B$2:$B$579,$B27)</f>
        <v>4</v>
      </c>
      <c r="T27" s="3" t="n">
        <f aca="false">SUMIFS('Por foco'!$V$2:$V$579,'Por foco'!$A$2:$A$579,$A27,'Por foco'!$B$2:$B$579,$B27)</f>
        <v>0</v>
      </c>
      <c r="U27" s="3" t="n">
        <f aca="false">SUMIFS('Por foco'!$W$2:$W$579,'Por foco'!$A$2:$A$579,$A27,'Por foco'!$B$2:$B$579,$B27)</f>
        <v>0</v>
      </c>
      <c r="V27" s="3" t="n">
        <f aca="false">SUMIFS('Por foco'!$X$2:$X$579,'Por foco'!$A$2:$A$579,$A27,'Por foco'!$B$2:$B$579,$B27)</f>
        <v>0</v>
      </c>
      <c r="W27" s="3" t="n">
        <f aca="false">SUMIFS('Por foco'!$Y$2:$Y$579,'Por foco'!$A$2:$A$579,$A27,'Por foco'!$B$2:$B$579,$B27)</f>
        <v>0</v>
      </c>
      <c r="X27" s="3" t="n">
        <f aca="false">SUMIFS('Por foco'!$Z$2:$Z$579,'Por foco'!$A$2:$A$579,$A27,'Por foco'!$B$2:$B$579,$B27)</f>
        <v>0</v>
      </c>
      <c r="Y27" s="3" t="n">
        <f aca="false">SUMIFS('Por foco'!$AA$2:$AA$579,'Por foco'!$A$2:$A$579,$A27,'Por foco'!$B$2:$B$579,$B27)</f>
        <v>0.04</v>
      </c>
      <c r="Z27" s="3" t="n">
        <f aca="false">SUMIFS('Por foco'!$AB$2:$AB$579,'Por foco'!$A$2:$A$579,$A27,'Por foco'!$B$2:$B$579,$B27)</f>
        <v>-0.9</v>
      </c>
      <c r="AA27" s="3" t="n">
        <f aca="false">SUMIFS('Por foco'!$AC$2:$AC$579,'Por foco'!$A$2:$A$579,$A27,'Por foco'!$B$2:$B$579,$B27)</f>
        <v>0</v>
      </c>
      <c r="AB27" s="3" t="n">
        <f aca="false">SUMIFS('Por foco'!$AD$2:$AD$579,'Por foco'!$A$2:$A$579,$A27,'Por foco'!$B$2:$B$579,$B27)</f>
        <v>0</v>
      </c>
      <c r="AC27" s="3" t="n">
        <f aca="false">SUMIFS('Por foco'!$AE$2:$AE$579,'Por foco'!$A$2:$A$579,$A27,'Por foco'!$B$2:$B$579,$B27)</f>
        <v>0</v>
      </c>
      <c r="AD27" s="3" t="n">
        <f aca="false">SUMIFS('Por foco'!$AF$2:$AF$579,'Por foco'!$A$2:$A$579,$A27,'Por foco'!$B$2:$B$579,$B27)</f>
        <v>0</v>
      </c>
      <c r="AE27" s="3" t="n">
        <f aca="false">SUMIFS('Por foco'!$AG$2:$AG$579,'Por foco'!$A$2:$A$579,$A27,'Por foco'!$B$2:$B$579,$B27)</f>
        <v>6.6</v>
      </c>
      <c r="AF27" s="3" t="n">
        <f aca="false">SUMIFS('Por foco'!$AH$2:$AH$579,'Por foco'!$A$2:$A$579,$A27,'Por foco'!$B$2:$B$579,$B27)</f>
        <v>0</v>
      </c>
      <c r="AG27" s="3" t="n">
        <f aca="false">SUMIFS('Por foco'!$AI$2:$AI$579,'Por foco'!$A$2:$A$579,$A27,'Por foco'!$B$2:$B$579,$B27)</f>
        <v>20</v>
      </c>
      <c r="AH27" s="3" t="n">
        <f aca="false">SUMIFS('Por foco'!$AJ$2:$AJ$579,'Por foco'!$A$2:$A$579,$A27,'Por foco'!$B$2:$B$579,$B27)</f>
        <v>0</v>
      </c>
      <c r="AI27" s="3" t="n">
        <f aca="false">SUMIFS('Por foco'!$AK$2:$AK$579,'Por foco'!$A$2:$A$579,$A27,'Por foco'!$B$2:$B$579,$B27)</f>
        <v>10</v>
      </c>
      <c r="AJ27" s="3" t="n">
        <f aca="false">SUMIFS('Por foco'!$AL$2:$AL$579,'Por foco'!$A$2:$A$579,$A27,'Por foco'!$B$2:$B$579,$B27)</f>
        <v>0.9</v>
      </c>
      <c r="AK27" s="3" t="n">
        <f aca="false">SUMIFS('Por foco'!$AM$2:$AM$579,'Por foco'!$A$2:$A$579,$A27,'Por foco'!$B$2:$B$579,$B27)</f>
        <v>0</v>
      </c>
      <c r="AL27" s="3" t="n">
        <f aca="false">SUMIFS('Por foco'!$AN$2:$AN$579,'Por foco'!$A$2:$A$579,$A27,'Por foco'!$B$2:$B$579,$B27)</f>
        <v>5</v>
      </c>
      <c r="AM27" s="3" t="n">
        <f aca="false">SUMIFS('Por foco'!$AO$2:$AO$579,'Por foco'!$A$2:$A$579,$A27,'Por foco'!$B$2:$B$579,$B27)</f>
        <v>0</v>
      </c>
      <c r="AN27" s="3" t="n">
        <f aca="false">SUMIFS('Por foco'!$AP$2:$AP$579,'Por foco'!$A$2:$A$579,$A27,'Por foco'!$B$2:$B$579,$B27)</f>
        <v>0</v>
      </c>
      <c r="AO27" s="3" t="n">
        <f aca="false">SUMIFS('Por foco'!$AQ$2:$AQ$579,'Por foco'!$A$2:$A$579,$A27,'Por foco'!$B$2:$B$579,$B27)</f>
        <v>0</v>
      </c>
      <c r="AP27" s="3" t="n">
        <f aca="false">SUMIFS('Por foco'!$AR$2:$AR$579,'Por foco'!$A$2:$A$579,$A27,'Por foco'!$B$2:$B$579,$B27)</f>
        <v>0</v>
      </c>
      <c r="AQ27" s="3" t="n">
        <f aca="false">SUMIFS('Por foco'!$AS$2:$AS$579,'Por foco'!$A$2:$A$579,$A27,'Por foco'!$B$2:$B$579,$B27)</f>
        <v>0</v>
      </c>
      <c r="AR27" s="3" t="n">
        <f aca="false">SUMIFS('Por foco'!$AT$2:$AT$579,'Por foco'!$A$2:$A$579,$A27,'Por foco'!$B$2:$B$579,$B27)</f>
        <v>0</v>
      </c>
      <c r="AS27" s="3" t="n">
        <f aca="false">SUMIFS('Por foco'!$AU$2:$AU$579,'Por foco'!$A$2:$A$579,$A27,'Por foco'!$B$2:$B$579,$B27)</f>
        <v>0</v>
      </c>
      <c r="AT27" s="3" t="n">
        <f aca="false">SUMIFS('Por foco'!$AV$2:$AV$579,'Por foco'!$A$2:$A$579,$A27,'Por foco'!$B$2:$B$579,$B27)</f>
        <v>0</v>
      </c>
      <c r="AU27" s="3" t="n">
        <f aca="false">SUMIFS('Por foco'!$AW$2:$AW$579,'Por foco'!$A$2:$A$579,$A27,'Por foco'!$B$2:$B$579,$B27)</f>
        <v>0</v>
      </c>
      <c r="AV27" s="3" t="n">
        <f aca="false">SUMIFS('Por foco'!$AX$2:$AX$579,'Por foco'!$A$2:$A$579,$A27,'Por foco'!$B$2:$B$579,$B27)</f>
        <v>0</v>
      </c>
      <c r="AW27" s="3" t="n">
        <f aca="false">SUMIFS('Por foco'!$AY$2:$AY$579,'Por foco'!$A$2:$A$579,$A27,'Por foco'!$B$2:$B$579,$B27)</f>
        <v>0</v>
      </c>
      <c r="AX27" s="3" t="n">
        <f aca="false">SUMIFS('Por foco'!$AZ$2:$AZ$579,'Por foco'!$A$2:$A$579,$A27,'Por foco'!$B$2:$B$579,$B27)</f>
        <v>0</v>
      </c>
      <c r="AY27" s="3" t="n">
        <f aca="false">SUMIFS('Por foco'!$BA$2:$BA$579,'Por foco'!$A$2:$A$579,$A27,'Por foco'!$B$2:$B$579,$B27)</f>
        <v>0</v>
      </c>
      <c r="AZ27" s="3" t="n">
        <f aca="false">SUMIFS('Por foco'!$BB$2:$BB$579,'Por foco'!$A$2:$A$579,$A27,'Por foco'!$B$2:$B$579,$B27)</f>
        <v>0</v>
      </c>
      <c r="BA27" s="3" t="n">
        <f aca="false">SUMIFS('Por foco'!$BC$2:$BC$579,'Por foco'!$A$2:$A$579,$A27,'Por foco'!$B$2:$B$579,$B27)</f>
        <v>0</v>
      </c>
      <c r="BB27" s="3" t="n">
        <f aca="false">SUMIFS('Por foco'!$BD$2:$BD$579,'Por foco'!$A$2:$A$579,$A27,'Por foco'!$B$2:$B$579,$B27)</f>
        <v>0</v>
      </c>
      <c r="BC27" s="3" t="n">
        <f aca="false">SUMIFS('Por foco'!$BE$2:$BE$579,'Por foco'!$A$2:$A$579,$A27,'Por foco'!$B$2:$B$579,$B27)</f>
        <v>0</v>
      </c>
      <c r="BD27" s="3" t="n">
        <f aca="false">SUMIFS('Por foco'!$BF$2:$BF$579,'Por foco'!$A$2:$A$579,$A27,'Por foco'!$B$2:$B$579,$B27)</f>
        <v>0</v>
      </c>
      <c r="BE27" s="3" t="n">
        <f aca="false">SUMIFS('Por foco'!$BG$2:$BG$579,'Por foco'!$A$2:$A$579,$A27,'Por foco'!$B$2:$B$579,$B27)</f>
        <v>0</v>
      </c>
    </row>
    <row r="28" customFormat="false" ht="15" hidden="false" customHeight="false" outlineLevel="0" collapsed="false">
      <c r="A28" s="3" t="s">
        <v>62</v>
      </c>
      <c r="B28" s="3" t="s">
        <v>102</v>
      </c>
      <c r="C28" s="3" t="n">
        <f aca="false">COUNTIFS('Por foco'!$A$2:$A$579,$A28,'Por foco'!$B$2:$B$579,$B28)</f>
        <v>6</v>
      </c>
      <c r="D28" s="6" t="n">
        <f aca="false">SUMIFS('Por foco'!$F$2:$F$579,'Por foco'!$A$2:$A$579,$A28,'Por foco'!$B$2:$B$579,$B28)</f>
        <v>964.4</v>
      </c>
      <c r="E28" s="3" t="n">
        <f aca="false">IF(C28=0,0,SUMIFS('Por foco'!$E$2:$E$579,'Por foco'!$A$2:$A$579,$A28,'Por foco'!$B$2:$B$579,$B28)/C28)</f>
        <v>1</v>
      </c>
      <c r="F28" s="3" t="n">
        <f aca="false">SUMIFS('Por foco'!$H$2:$H$579,'Por foco'!$A$2:$A$579,$A28,'Por foco'!$B$2:$B$579,$B28)</f>
        <v>357</v>
      </c>
      <c r="G28" s="3" t="n">
        <f aca="false">SUMIFS('Por foco'!$I$2:$I$579,'Por foco'!$A$2:$A$579,$A28,'Por foco'!$B$2:$B$579,$B28)</f>
        <v>0</v>
      </c>
      <c r="H28" s="3" t="n">
        <f aca="false">SUMIFS('Por foco'!$J$2:$J$579,'Por foco'!$A$2:$A$579,$A28,'Por foco'!$B$2:$B$579,$B28)</f>
        <v>0</v>
      </c>
      <c r="I28" s="3" t="n">
        <f aca="false">SUMIFS('Por foco'!$K$2:$K$579,'Por foco'!$A$2:$A$579,$A28,'Por foco'!$B$2:$B$579,$B28)</f>
        <v>0</v>
      </c>
      <c r="J28" s="3" t="n">
        <f aca="false">SUMIFS('Por foco'!$L$2:$L$579,'Por foco'!$A$2:$A$579,$A28,'Por foco'!$B$2:$B$579,$B28)</f>
        <v>100000</v>
      </c>
      <c r="K28" s="3" t="n">
        <f aca="false">SUMIFS('Por foco'!$M$2:$M$579,'Por foco'!$A$2:$A$579,$A28,'Por foco'!$B$2:$B$579,$B28)</f>
        <v>50</v>
      </c>
      <c r="L28" s="3" t="n">
        <f aca="false">SUMIFS('Por foco'!$N$2:$N$579,'Por foco'!$A$2:$A$579,$A28,'Por foco'!$B$2:$B$579,$B28)</f>
        <v>0</v>
      </c>
      <c r="M28" s="3" t="n">
        <f aca="false">SUMIFS('Por foco'!$O$2:$O$579,'Por foco'!$A$2:$A$579,$A28,'Por foco'!$B$2:$B$579,$B28)</f>
        <v>0</v>
      </c>
      <c r="N28" s="3" t="n">
        <f aca="false">SUMIFS('Por foco'!$P$2:$P$579,'Por foco'!$A$2:$A$579,$A28,'Por foco'!$B$2:$B$579,$B28)</f>
        <v>0</v>
      </c>
      <c r="O28" s="3" t="n">
        <f aca="false">SUMIFS('Por foco'!$Q$2:$Q$579,'Por foco'!$A$2:$A$579,$A28,'Por foco'!$B$2:$B$579,$B28)</f>
        <v>3</v>
      </c>
      <c r="P28" s="3" t="n">
        <f aca="false">SUMIFS('Por foco'!$R$2:$R$579,'Por foco'!$A$2:$A$579,$A28,'Por foco'!$B$2:$B$579,$B28)</f>
        <v>0</v>
      </c>
      <c r="Q28" s="3" t="n">
        <f aca="false">SUMIFS('Por foco'!$S$2:$S$579,'Por foco'!$A$2:$A$579,$A28,'Por foco'!$B$2:$B$579,$B28)</f>
        <v>2</v>
      </c>
      <c r="R28" s="3" t="n">
        <f aca="false">SUMIFS('Por foco'!$T$2:$T$579,'Por foco'!$A$2:$A$579,$A28,'Por foco'!$B$2:$B$579,$B28)</f>
        <v>0</v>
      </c>
      <c r="S28" s="3" t="n">
        <f aca="false">SUMIFS('Por foco'!$U$2:$U$579,'Por foco'!$A$2:$A$579,$A28,'Por foco'!$B$2:$B$579,$B28)</f>
        <v>0</v>
      </c>
      <c r="T28" s="3" t="n">
        <f aca="false">SUMIFS('Por foco'!$V$2:$V$579,'Por foco'!$A$2:$A$579,$A28,'Por foco'!$B$2:$B$579,$B28)</f>
        <v>0</v>
      </c>
      <c r="U28" s="3" t="n">
        <f aca="false">SUMIFS('Por foco'!$W$2:$W$579,'Por foco'!$A$2:$A$579,$A28,'Por foco'!$B$2:$B$579,$B28)</f>
        <v>0</v>
      </c>
      <c r="V28" s="3" t="n">
        <f aca="false">SUMIFS('Por foco'!$X$2:$X$579,'Por foco'!$A$2:$A$579,$A28,'Por foco'!$B$2:$B$579,$B28)</f>
        <v>0</v>
      </c>
      <c r="W28" s="3" t="n">
        <f aca="false">SUMIFS('Por foco'!$Y$2:$Y$579,'Por foco'!$A$2:$A$579,$A28,'Por foco'!$B$2:$B$579,$B28)</f>
        <v>0</v>
      </c>
      <c r="X28" s="3" t="n">
        <f aca="false">SUMIFS('Por foco'!$Z$2:$Z$579,'Por foco'!$A$2:$A$579,$A28,'Por foco'!$B$2:$B$579,$B28)</f>
        <v>0</v>
      </c>
      <c r="Y28" s="3" t="n">
        <f aca="false">SUMIFS('Por foco'!$AA$2:$AA$579,'Por foco'!$A$2:$A$579,$A28,'Por foco'!$B$2:$B$579,$B28)</f>
        <v>-0.02</v>
      </c>
      <c r="Z28" s="3" t="n">
        <f aca="false">SUMIFS('Por foco'!$AB$2:$AB$579,'Por foco'!$A$2:$A$579,$A28,'Por foco'!$B$2:$B$579,$B28)</f>
        <v>-0.3</v>
      </c>
      <c r="AA28" s="3" t="n">
        <f aca="false">SUMIFS('Por foco'!$AC$2:$AC$579,'Por foco'!$A$2:$A$579,$A28,'Por foco'!$B$2:$B$579,$B28)</f>
        <v>5</v>
      </c>
      <c r="AB28" s="3" t="n">
        <f aca="false">SUMIFS('Por foco'!$AD$2:$AD$579,'Por foco'!$A$2:$A$579,$A28,'Por foco'!$B$2:$B$579,$B28)</f>
        <v>0</v>
      </c>
      <c r="AC28" s="3" t="n">
        <f aca="false">SUMIFS('Por foco'!$AE$2:$AE$579,'Por foco'!$A$2:$A$579,$A28,'Por foco'!$B$2:$B$579,$B28)</f>
        <v>0</v>
      </c>
      <c r="AD28" s="3" t="n">
        <f aca="false">SUMIFS('Por foco'!$AF$2:$AF$579,'Por foco'!$A$2:$A$579,$A28,'Por foco'!$B$2:$B$579,$B28)</f>
        <v>0</v>
      </c>
      <c r="AE28" s="3" t="n">
        <f aca="false">SUMIFS('Por foco'!$AG$2:$AG$579,'Por foco'!$A$2:$A$579,$A28,'Por foco'!$B$2:$B$579,$B28)</f>
        <v>1.2</v>
      </c>
      <c r="AF28" s="3" t="n">
        <f aca="false">SUMIFS('Por foco'!$AH$2:$AH$579,'Por foco'!$A$2:$A$579,$A28,'Por foco'!$B$2:$B$579,$B28)</f>
        <v>0</v>
      </c>
      <c r="AG28" s="3" t="n">
        <f aca="false">SUMIFS('Por foco'!$AI$2:$AI$579,'Por foco'!$A$2:$A$579,$A28,'Por foco'!$B$2:$B$579,$B28)</f>
        <v>0</v>
      </c>
      <c r="AH28" s="3" t="n">
        <f aca="false">SUMIFS('Por foco'!$AJ$2:$AJ$579,'Por foco'!$A$2:$A$579,$A28,'Por foco'!$B$2:$B$579,$B28)</f>
        <v>0</v>
      </c>
      <c r="AI28" s="3" t="n">
        <f aca="false">SUMIFS('Por foco'!$AK$2:$AK$579,'Por foco'!$A$2:$A$579,$A28,'Por foco'!$B$2:$B$579,$B28)</f>
        <v>0</v>
      </c>
      <c r="AJ28" s="3" t="n">
        <f aca="false">SUMIFS('Por foco'!$AL$2:$AL$579,'Por foco'!$A$2:$A$579,$A28,'Por foco'!$B$2:$B$579,$B28)</f>
        <v>0.3</v>
      </c>
      <c r="AK28" s="3" t="n">
        <f aca="false">SUMIFS('Por foco'!$AM$2:$AM$579,'Por foco'!$A$2:$A$579,$A28,'Por foco'!$B$2:$B$579,$B28)</f>
        <v>0</v>
      </c>
      <c r="AL28" s="3" t="n">
        <f aca="false">SUMIFS('Por foco'!$AN$2:$AN$579,'Por foco'!$A$2:$A$579,$A28,'Por foco'!$B$2:$B$579,$B28)</f>
        <v>0</v>
      </c>
      <c r="AM28" s="3" t="n">
        <f aca="false">SUMIFS('Por foco'!$AO$2:$AO$579,'Por foco'!$A$2:$A$579,$A28,'Por foco'!$B$2:$B$579,$B28)</f>
        <v>0</v>
      </c>
      <c r="AN28" s="3" t="n">
        <f aca="false">SUMIFS('Por foco'!$AP$2:$AP$579,'Por foco'!$A$2:$A$579,$A28,'Por foco'!$B$2:$B$579,$B28)</f>
        <v>0</v>
      </c>
      <c r="AO28" s="3" t="n">
        <f aca="false">SUMIFS('Por foco'!$AQ$2:$AQ$579,'Por foco'!$A$2:$A$579,$A28,'Por foco'!$B$2:$B$579,$B28)</f>
        <v>10</v>
      </c>
      <c r="AP28" s="3" t="n">
        <f aca="false">SUMIFS('Por foco'!$AR$2:$AR$579,'Por foco'!$A$2:$A$579,$A28,'Por foco'!$B$2:$B$579,$B28)</f>
        <v>10</v>
      </c>
      <c r="AQ28" s="3" t="n">
        <f aca="false">SUMIFS('Por foco'!$AS$2:$AS$579,'Por foco'!$A$2:$A$579,$A28,'Por foco'!$B$2:$B$579,$B28)</f>
        <v>13</v>
      </c>
      <c r="AR28" s="3" t="n">
        <f aca="false">SUMIFS('Por foco'!$AT$2:$AT$579,'Por foco'!$A$2:$A$579,$A28,'Por foco'!$B$2:$B$579,$B28)</f>
        <v>0</v>
      </c>
      <c r="AS28" s="3" t="n">
        <f aca="false">SUMIFS('Por foco'!$AU$2:$AU$579,'Por foco'!$A$2:$A$579,$A28,'Por foco'!$B$2:$B$579,$B28)</f>
        <v>0</v>
      </c>
      <c r="AT28" s="3" t="n">
        <f aca="false">SUMIFS('Por foco'!$AV$2:$AV$579,'Por foco'!$A$2:$A$579,$A28,'Por foco'!$B$2:$B$579,$B28)</f>
        <v>10</v>
      </c>
      <c r="AU28" s="3" t="n">
        <f aca="false">SUMIFS('Por foco'!$AW$2:$AW$579,'Por foco'!$A$2:$A$579,$A28,'Por foco'!$B$2:$B$579,$B28)</f>
        <v>0</v>
      </c>
      <c r="AV28" s="3" t="n">
        <f aca="false">SUMIFS('Por foco'!$AX$2:$AX$579,'Por foco'!$A$2:$A$579,$A28,'Por foco'!$B$2:$B$579,$B28)</f>
        <v>0</v>
      </c>
      <c r="AW28" s="3" t="n">
        <f aca="false">SUMIFS('Por foco'!$AY$2:$AY$579,'Por foco'!$A$2:$A$579,$A28,'Por foco'!$B$2:$B$579,$B28)</f>
        <v>0</v>
      </c>
      <c r="AX28" s="3" t="n">
        <f aca="false">SUMIFS('Por foco'!$AZ$2:$AZ$579,'Por foco'!$A$2:$A$579,$A28,'Por foco'!$B$2:$B$579,$B28)</f>
        <v>0</v>
      </c>
      <c r="AY28" s="3" t="n">
        <f aca="false">SUMIFS('Por foco'!$BA$2:$BA$579,'Por foco'!$A$2:$A$579,$A28,'Por foco'!$B$2:$B$579,$B28)</f>
        <v>0</v>
      </c>
      <c r="AZ28" s="3" t="n">
        <f aca="false">SUMIFS('Por foco'!$BB$2:$BB$579,'Por foco'!$A$2:$A$579,$A28,'Por foco'!$B$2:$B$579,$B28)</f>
        <v>0</v>
      </c>
      <c r="BA28" s="3" t="n">
        <f aca="false">SUMIFS('Por foco'!$BC$2:$BC$579,'Por foco'!$A$2:$A$579,$A28,'Por foco'!$B$2:$B$579,$B28)</f>
        <v>0</v>
      </c>
      <c r="BB28" s="3" t="n">
        <f aca="false">SUMIFS('Por foco'!$BD$2:$BD$579,'Por foco'!$A$2:$A$579,$A28,'Por foco'!$B$2:$B$579,$B28)</f>
        <v>0</v>
      </c>
      <c r="BC28" s="3" t="n">
        <f aca="false">SUMIFS('Por foco'!$BE$2:$BE$579,'Por foco'!$A$2:$A$579,$A28,'Por foco'!$B$2:$B$579,$B28)</f>
        <v>0</v>
      </c>
      <c r="BD28" s="3" t="n">
        <f aca="false">SUMIFS('Por foco'!$BF$2:$BF$579,'Por foco'!$A$2:$A$579,$A28,'Por foco'!$B$2:$B$579,$B28)</f>
        <v>0</v>
      </c>
      <c r="BE28" s="3" t="n">
        <f aca="false">SUMIFS('Por foco'!$BG$2:$BG$579,'Por foco'!$A$2:$A$579,$A28,'Por foco'!$B$2:$B$579,$B28)</f>
        <v>0</v>
      </c>
    </row>
    <row r="29" customFormat="false" ht="15" hidden="false" customHeight="false" outlineLevel="0" collapsed="false">
      <c r="A29" s="3" t="s">
        <v>62</v>
      </c>
      <c r="B29" s="3" t="s">
        <v>103</v>
      </c>
      <c r="C29" s="3" t="n">
        <f aca="false">COUNTIFS('Por foco'!$A$2:$A$579,$A29,'Por foco'!$B$2:$B$579,$B29)</f>
        <v>6</v>
      </c>
      <c r="D29" s="6" t="n">
        <f aca="false">SUMIFS('Por foco'!$F$2:$F$579,'Por foco'!$A$2:$A$579,$A29,'Por foco'!$B$2:$B$579,$B29)</f>
        <v>750</v>
      </c>
      <c r="E29" s="3" t="n">
        <f aca="false">IF(C29=0,0,SUMIFS('Por foco'!$E$2:$E$579,'Por foco'!$A$2:$A$579,$A29,'Por foco'!$B$2:$B$579,$B29)/C29)</f>
        <v>1</v>
      </c>
      <c r="F29" s="3" t="n">
        <f aca="false">SUMIFS('Por foco'!$H$2:$H$579,'Por foco'!$A$2:$A$579,$A29,'Por foco'!$B$2:$B$579,$B29)</f>
        <v>378</v>
      </c>
      <c r="G29" s="3" t="n">
        <f aca="false">SUMIFS('Por foco'!$I$2:$I$579,'Por foco'!$A$2:$A$579,$A29,'Por foco'!$B$2:$B$579,$B29)</f>
        <v>0</v>
      </c>
      <c r="H29" s="3" t="n">
        <f aca="false">SUMIFS('Por foco'!$J$2:$J$579,'Por foco'!$A$2:$A$579,$A29,'Por foco'!$B$2:$B$579,$B29)</f>
        <v>0</v>
      </c>
      <c r="I29" s="3" t="n">
        <f aca="false">SUMIFS('Por foco'!$K$2:$K$579,'Por foco'!$A$2:$A$579,$A29,'Por foco'!$B$2:$B$579,$B29)</f>
        <v>0</v>
      </c>
      <c r="J29" s="3" t="n">
        <f aca="false">SUMIFS('Por foco'!$L$2:$L$579,'Por foco'!$A$2:$A$579,$A29,'Por foco'!$B$2:$B$579,$B29)</f>
        <v>0</v>
      </c>
      <c r="K29" s="3" t="n">
        <f aca="false">SUMIFS('Por foco'!$M$2:$M$579,'Por foco'!$A$2:$A$579,$A29,'Por foco'!$B$2:$B$579,$B29)</f>
        <v>0</v>
      </c>
      <c r="L29" s="3" t="n">
        <f aca="false">SUMIFS('Por foco'!$N$2:$N$579,'Por foco'!$A$2:$A$579,$A29,'Por foco'!$B$2:$B$579,$B29)</f>
        <v>50</v>
      </c>
      <c r="M29" s="3" t="n">
        <f aca="false">SUMIFS('Por foco'!$O$2:$O$579,'Por foco'!$A$2:$A$579,$A29,'Por foco'!$B$2:$B$579,$B29)</f>
        <v>0</v>
      </c>
      <c r="N29" s="3" t="n">
        <f aca="false">SUMIFS('Por foco'!$P$2:$P$579,'Por foco'!$A$2:$A$579,$A29,'Por foco'!$B$2:$B$579,$B29)</f>
        <v>0</v>
      </c>
      <c r="O29" s="3" t="n">
        <f aca="false">SUMIFS('Por foco'!$Q$2:$Q$579,'Por foco'!$A$2:$A$579,$A29,'Por foco'!$B$2:$B$579,$B29)</f>
        <v>3</v>
      </c>
      <c r="P29" s="3" t="n">
        <f aca="false">SUMIFS('Por foco'!$R$2:$R$579,'Por foco'!$A$2:$A$579,$A29,'Por foco'!$B$2:$B$579,$B29)</f>
        <v>0</v>
      </c>
      <c r="Q29" s="3" t="n">
        <f aca="false">SUMIFS('Por foco'!$S$2:$S$579,'Por foco'!$A$2:$A$579,$A29,'Por foco'!$B$2:$B$579,$B29)</f>
        <v>0</v>
      </c>
      <c r="R29" s="3" t="n">
        <f aca="false">SUMIFS('Por foco'!$T$2:$T$579,'Por foco'!$A$2:$A$579,$A29,'Por foco'!$B$2:$B$579,$B29)</f>
        <v>5</v>
      </c>
      <c r="S29" s="3" t="n">
        <f aca="false">SUMIFS('Por foco'!$U$2:$U$579,'Por foco'!$A$2:$A$579,$A29,'Por foco'!$B$2:$B$579,$B29)</f>
        <v>0</v>
      </c>
      <c r="T29" s="3" t="n">
        <f aca="false">SUMIFS('Por foco'!$V$2:$V$579,'Por foco'!$A$2:$A$579,$A29,'Por foco'!$B$2:$B$579,$B29)</f>
        <v>0</v>
      </c>
      <c r="U29" s="3" t="n">
        <f aca="false">SUMIFS('Por foco'!$W$2:$W$579,'Por foco'!$A$2:$A$579,$A29,'Por foco'!$B$2:$B$579,$B29)</f>
        <v>0</v>
      </c>
      <c r="V29" s="3" t="n">
        <f aca="false">SUMIFS('Por foco'!$X$2:$X$579,'Por foco'!$A$2:$A$579,$A29,'Por foco'!$B$2:$B$579,$B29)</f>
        <v>0</v>
      </c>
      <c r="W29" s="3" t="n">
        <f aca="false">SUMIFS('Por foco'!$Y$2:$Y$579,'Por foco'!$A$2:$A$579,$A29,'Por foco'!$B$2:$B$579,$B29)</f>
        <v>120</v>
      </c>
      <c r="X29" s="3" t="n">
        <f aca="false">SUMIFS('Por foco'!$Z$2:$Z$579,'Por foco'!$A$2:$A$579,$A29,'Por foco'!$B$2:$B$579,$B29)</f>
        <v>0</v>
      </c>
      <c r="Y29" s="3" t="n">
        <f aca="false">SUMIFS('Por foco'!$AA$2:$AA$579,'Por foco'!$A$2:$A$579,$A29,'Por foco'!$B$2:$B$579,$B29)</f>
        <v>0</v>
      </c>
      <c r="Z29" s="3" t="n">
        <f aca="false">SUMIFS('Por foco'!$AB$2:$AB$579,'Por foco'!$A$2:$A$579,$A29,'Por foco'!$B$2:$B$579,$B29)</f>
        <v>0</v>
      </c>
      <c r="AA29" s="3" t="n">
        <f aca="false">SUMIFS('Por foco'!$AC$2:$AC$579,'Por foco'!$A$2:$A$579,$A29,'Por foco'!$B$2:$B$579,$B29)</f>
        <v>5</v>
      </c>
      <c r="AB29" s="3" t="n">
        <f aca="false">SUMIFS('Por foco'!$AD$2:$AD$579,'Por foco'!$A$2:$A$579,$A29,'Por foco'!$B$2:$B$579,$B29)</f>
        <v>0</v>
      </c>
      <c r="AC29" s="3" t="n">
        <f aca="false">SUMIFS('Por foco'!$AE$2:$AE$579,'Por foco'!$A$2:$A$579,$A29,'Por foco'!$B$2:$B$579,$B29)</f>
        <v>0</v>
      </c>
      <c r="AD29" s="3" t="n">
        <f aca="false">SUMIFS('Por foco'!$AF$2:$AF$579,'Por foco'!$A$2:$A$579,$A29,'Por foco'!$B$2:$B$579,$B29)</f>
        <v>0</v>
      </c>
      <c r="AE29" s="3" t="n">
        <f aca="false">SUMIFS('Por foco'!$AG$2:$AG$579,'Por foco'!$A$2:$A$579,$A29,'Por foco'!$B$2:$B$579,$B29)</f>
        <v>0</v>
      </c>
      <c r="AF29" s="3" t="n">
        <f aca="false">SUMIFS('Por foco'!$AH$2:$AH$579,'Por foco'!$A$2:$A$579,$A29,'Por foco'!$B$2:$B$579,$B29)</f>
        <v>15</v>
      </c>
      <c r="AG29" s="3" t="n">
        <f aca="false">SUMIFS('Por foco'!$AI$2:$AI$579,'Por foco'!$A$2:$A$579,$A29,'Por foco'!$B$2:$B$579,$B29)</f>
        <v>0</v>
      </c>
      <c r="AH29" s="3" t="n">
        <f aca="false">SUMIFS('Por foco'!$AJ$2:$AJ$579,'Por foco'!$A$2:$A$579,$A29,'Por foco'!$B$2:$B$579,$B29)</f>
        <v>0</v>
      </c>
      <c r="AI29" s="3" t="n">
        <f aca="false">SUMIFS('Por foco'!$AK$2:$AK$579,'Por foco'!$A$2:$A$579,$A29,'Por foco'!$B$2:$B$579,$B29)</f>
        <v>0</v>
      </c>
      <c r="AJ29" s="3" t="n">
        <f aca="false">SUMIFS('Por foco'!$AL$2:$AL$579,'Por foco'!$A$2:$A$579,$A29,'Por foco'!$B$2:$B$579,$B29)</f>
        <v>0</v>
      </c>
      <c r="AK29" s="3" t="n">
        <f aca="false">SUMIFS('Por foco'!$AM$2:$AM$579,'Por foco'!$A$2:$A$579,$A29,'Por foco'!$B$2:$B$579,$B29)</f>
        <v>0</v>
      </c>
      <c r="AL29" s="3" t="n">
        <f aca="false">SUMIFS('Por foco'!$AN$2:$AN$579,'Por foco'!$A$2:$A$579,$A29,'Por foco'!$B$2:$B$579,$B29)</f>
        <v>0</v>
      </c>
      <c r="AM29" s="3" t="n">
        <f aca="false">SUMIFS('Por foco'!$AO$2:$AO$579,'Por foco'!$A$2:$A$579,$A29,'Por foco'!$B$2:$B$579,$B29)</f>
        <v>0</v>
      </c>
      <c r="AN29" s="3" t="n">
        <f aca="false">SUMIFS('Por foco'!$AP$2:$AP$579,'Por foco'!$A$2:$A$579,$A29,'Por foco'!$B$2:$B$579,$B29)</f>
        <v>0</v>
      </c>
      <c r="AO29" s="3" t="n">
        <f aca="false">SUMIFS('Por foco'!$AQ$2:$AQ$579,'Por foco'!$A$2:$A$579,$A29,'Por foco'!$B$2:$B$579,$B29)</f>
        <v>0</v>
      </c>
      <c r="AP29" s="3" t="n">
        <f aca="false">SUMIFS('Por foco'!$AR$2:$AR$579,'Por foco'!$A$2:$A$579,$A29,'Por foco'!$B$2:$B$579,$B29)</f>
        <v>0</v>
      </c>
      <c r="AQ29" s="3" t="n">
        <f aca="false">SUMIFS('Por foco'!$AS$2:$AS$579,'Por foco'!$A$2:$A$579,$A29,'Por foco'!$B$2:$B$579,$B29)</f>
        <v>0</v>
      </c>
      <c r="AR29" s="3" t="n">
        <f aca="false">SUMIFS('Por foco'!$AT$2:$AT$579,'Por foco'!$A$2:$A$579,$A29,'Por foco'!$B$2:$B$579,$B29)</f>
        <v>0</v>
      </c>
      <c r="AS29" s="3" t="n">
        <f aca="false">SUMIFS('Por foco'!$AU$2:$AU$579,'Por foco'!$A$2:$A$579,$A29,'Por foco'!$B$2:$B$579,$B29)</f>
        <v>0</v>
      </c>
      <c r="AT29" s="3" t="n">
        <f aca="false">SUMIFS('Por foco'!$AV$2:$AV$579,'Por foco'!$A$2:$A$579,$A29,'Por foco'!$B$2:$B$579,$B29)</f>
        <v>0</v>
      </c>
      <c r="AU29" s="3" t="n">
        <f aca="false">SUMIFS('Por foco'!$AW$2:$AW$579,'Por foco'!$A$2:$A$579,$A29,'Por foco'!$B$2:$B$579,$B29)</f>
        <v>0</v>
      </c>
      <c r="AV29" s="3" t="n">
        <f aca="false">SUMIFS('Por foco'!$AX$2:$AX$579,'Por foco'!$A$2:$A$579,$A29,'Por foco'!$B$2:$B$579,$B29)</f>
        <v>0</v>
      </c>
      <c r="AW29" s="3" t="n">
        <f aca="false">SUMIFS('Por foco'!$AY$2:$AY$579,'Por foco'!$A$2:$A$579,$A29,'Por foco'!$B$2:$B$579,$B29)</f>
        <v>0</v>
      </c>
      <c r="AX29" s="3" t="n">
        <f aca="false">SUMIFS('Por foco'!$AZ$2:$AZ$579,'Por foco'!$A$2:$A$579,$A29,'Por foco'!$B$2:$B$579,$B29)</f>
        <v>0</v>
      </c>
      <c r="AY29" s="3" t="n">
        <f aca="false">SUMIFS('Por foco'!$BA$2:$BA$579,'Por foco'!$A$2:$A$579,$A29,'Por foco'!$B$2:$B$579,$B29)</f>
        <v>0</v>
      </c>
      <c r="AZ29" s="3" t="n">
        <f aca="false">SUMIFS('Por foco'!$BB$2:$BB$579,'Por foco'!$A$2:$A$579,$A29,'Por foco'!$B$2:$B$579,$B29)</f>
        <v>0</v>
      </c>
      <c r="BA29" s="3" t="n">
        <f aca="false">SUMIFS('Por foco'!$BC$2:$BC$579,'Por foco'!$A$2:$A$579,$A29,'Por foco'!$B$2:$B$579,$B29)</f>
        <v>0</v>
      </c>
      <c r="BB29" s="3" t="n">
        <f aca="false">SUMIFS('Por foco'!$BD$2:$BD$579,'Por foco'!$A$2:$A$579,$A29,'Por foco'!$B$2:$B$579,$B29)</f>
        <v>0</v>
      </c>
      <c r="BC29" s="3" t="n">
        <f aca="false">SUMIFS('Por foco'!$BE$2:$BE$579,'Por foco'!$A$2:$A$579,$A29,'Por foco'!$B$2:$B$579,$B29)</f>
        <v>0</v>
      </c>
      <c r="BD29" s="3" t="n">
        <f aca="false">SUMIFS('Por foco'!$BF$2:$BF$579,'Por foco'!$A$2:$A$579,$A29,'Por foco'!$B$2:$B$579,$B29)</f>
        <v>0</v>
      </c>
      <c r="BE29" s="3" t="n">
        <f aca="false">SUMIFS('Por foco'!$BG$2:$BG$579,'Por foco'!$A$2:$A$579,$A29,'Por foco'!$B$2:$B$579,$B29)</f>
        <v>0</v>
      </c>
    </row>
    <row r="30" customFormat="false" ht="15" hidden="false" customHeight="false" outlineLevel="0" collapsed="false">
      <c r="A30" s="3" t="s">
        <v>62</v>
      </c>
      <c r="B30" s="3" t="s">
        <v>104</v>
      </c>
      <c r="C30" s="3" t="n">
        <f aca="false">COUNTIFS('Por foco'!$A$2:$A$579,$A30,'Por foco'!$B$2:$B$579,$B30)</f>
        <v>6</v>
      </c>
      <c r="D30" s="6" t="n">
        <f aca="false">SUMIFS('Por foco'!$F$2:$F$579,'Por foco'!$A$2:$A$579,$A30,'Por foco'!$B$2:$B$579,$B30)</f>
        <v>761.2</v>
      </c>
      <c r="E30" s="3" t="n">
        <f aca="false">IF(C30=0,0,SUMIFS('Por foco'!$E$2:$E$579,'Por foco'!$A$2:$A$579,$A30,'Por foco'!$B$2:$B$579,$B30)/C30)</f>
        <v>0.833333333333333</v>
      </c>
      <c r="F30" s="3" t="n">
        <f aca="false">SUMIFS('Por foco'!$H$2:$H$579,'Por foco'!$A$2:$A$579,$A30,'Por foco'!$B$2:$B$579,$B30)</f>
        <v>329</v>
      </c>
      <c r="G30" s="3" t="n">
        <f aca="false">SUMIFS('Por foco'!$I$2:$I$579,'Por foco'!$A$2:$A$579,$A30,'Por foco'!$B$2:$B$579,$B30)</f>
        <v>150</v>
      </c>
      <c r="H30" s="3" t="n">
        <f aca="false">SUMIFS('Por foco'!$J$2:$J$579,'Por foco'!$A$2:$A$579,$A30,'Por foco'!$B$2:$B$579,$B30)</f>
        <v>0</v>
      </c>
      <c r="I30" s="3" t="n">
        <f aca="false">SUMIFS('Por foco'!$K$2:$K$579,'Por foco'!$A$2:$A$579,$A30,'Por foco'!$B$2:$B$579,$B30)</f>
        <v>0</v>
      </c>
      <c r="J30" s="3" t="n">
        <f aca="false">SUMIFS('Por foco'!$L$2:$L$579,'Por foco'!$A$2:$A$579,$A30,'Por foco'!$B$2:$B$579,$B30)</f>
        <v>0</v>
      </c>
      <c r="K30" s="3" t="n">
        <f aca="false">SUMIFS('Por foco'!$M$2:$M$579,'Por foco'!$A$2:$A$579,$A30,'Por foco'!$B$2:$B$579,$B30)</f>
        <v>0</v>
      </c>
      <c r="L30" s="3" t="n">
        <f aca="false">SUMIFS('Por foco'!$N$2:$N$579,'Por foco'!$A$2:$A$579,$A30,'Por foco'!$B$2:$B$579,$B30)</f>
        <v>0</v>
      </c>
      <c r="M30" s="3" t="n">
        <f aca="false">SUMIFS('Por foco'!$O$2:$O$579,'Por foco'!$A$2:$A$579,$A30,'Por foco'!$B$2:$B$579,$B30)</f>
        <v>0</v>
      </c>
      <c r="N30" s="3" t="n">
        <f aca="false">SUMIFS('Por foco'!$P$2:$P$579,'Por foco'!$A$2:$A$579,$A30,'Por foco'!$B$2:$B$579,$B30)</f>
        <v>0</v>
      </c>
      <c r="O30" s="3" t="n">
        <f aca="false">SUMIFS('Por foco'!$Q$2:$Q$579,'Por foco'!$A$2:$A$579,$A30,'Por foco'!$B$2:$B$579,$B30)</f>
        <v>0</v>
      </c>
      <c r="P30" s="3" t="n">
        <f aca="false">SUMIFS('Por foco'!$R$2:$R$579,'Por foco'!$A$2:$A$579,$A30,'Por foco'!$B$2:$B$579,$B30)</f>
        <v>2</v>
      </c>
      <c r="Q30" s="3" t="n">
        <f aca="false">SUMIFS('Por foco'!$S$2:$S$579,'Por foco'!$A$2:$A$579,$A30,'Por foco'!$B$2:$B$579,$B30)</f>
        <v>2</v>
      </c>
      <c r="R30" s="3" t="n">
        <f aca="false">SUMIFS('Por foco'!$T$2:$T$579,'Por foco'!$A$2:$A$579,$A30,'Por foco'!$B$2:$B$579,$B30)</f>
        <v>0</v>
      </c>
      <c r="S30" s="3" t="n">
        <f aca="false">SUMIFS('Por foco'!$U$2:$U$579,'Por foco'!$A$2:$A$579,$A30,'Por foco'!$B$2:$B$579,$B30)</f>
        <v>0</v>
      </c>
      <c r="T30" s="3" t="n">
        <f aca="false">SUMIFS('Por foco'!$V$2:$V$579,'Por foco'!$A$2:$A$579,$A30,'Por foco'!$B$2:$B$579,$B30)</f>
        <v>0</v>
      </c>
      <c r="U30" s="3" t="n">
        <f aca="false">SUMIFS('Por foco'!$W$2:$W$579,'Por foco'!$A$2:$A$579,$A30,'Por foco'!$B$2:$B$579,$B30)</f>
        <v>0</v>
      </c>
      <c r="V30" s="3" t="n">
        <f aca="false">SUMIFS('Por foco'!$X$2:$X$579,'Por foco'!$A$2:$A$579,$A30,'Por foco'!$B$2:$B$579,$B30)</f>
        <v>0</v>
      </c>
      <c r="W30" s="3" t="n">
        <f aca="false">SUMIFS('Por foco'!$Y$2:$Y$579,'Por foco'!$A$2:$A$579,$A30,'Por foco'!$B$2:$B$579,$B30)</f>
        <v>0</v>
      </c>
      <c r="X30" s="3" t="n">
        <f aca="false">SUMIFS('Por foco'!$Z$2:$Z$579,'Por foco'!$A$2:$A$579,$A30,'Por foco'!$B$2:$B$579,$B30)</f>
        <v>0</v>
      </c>
      <c r="Y30" s="3" t="n">
        <f aca="false">SUMIFS('Por foco'!$AA$2:$AA$579,'Por foco'!$A$2:$A$579,$A30,'Por foco'!$B$2:$B$579,$B30)</f>
        <v>0.34</v>
      </c>
      <c r="Z30" s="3" t="n">
        <f aca="false">SUMIFS('Por foco'!$AB$2:$AB$579,'Por foco'!$A$2:$A$579,$A30,'Por foco'!$B$2:$B$579,$B30)</f>
        <v>16.8</v>
      </c>
      <c r="AA30" s="3" t="n">
        <f aca="false">SUMIFS('Por foco'!$AC$2:$AC$579,'Por foco'!$A$2:$A$579,$A30,'Por foco'!$B$2:$B$579,$B30)</f>
        <v>0</v>
      </c>
      <c r="AB30" s="3" t="n">
        <f aca="false">SUMIFS('Por foco'!$AD$2:$AD$579,'Por foco'!$A$2:$A$579,$A30,'Por foco'!$B$2:$B$579,$B30)</f>
        <v>0</v>
      </c>
      <c r="AC30" s="3" t="n">
        <f aca="false">SUMIFS('Por foco'!$AE$2:$AE$579,'Por foco'!$A$2:$A$579,$A30,'Por foco'!$B$2:$B$579,$B30)</f>
        <v>0</v>
      </c>
      <c r="AD30" s="3" t="n">
        <f aca="false">SUMIFS('Por foco'!$AF$2:$AF$579,'Por foco'!$A$2:$A$579,$A30,'Por foco'!$B$2:$B$579,$B30)</f>
        <v>0</v>
      </c>
      <c r="AE30" s="3" t="n">
        <f aca="false">SUMIFS('Por foco'!$AG$2:$AG$579,'Por foco'!$A$2:$A$579,$A30,'Por foco'!$B$2:$B$579,$B30)</f>
        <v>-7.6</v>
      </c>
      <c r="AF30" s="3" t="n">
        <f aca="false">SUMIFS('Por foco'!$AH$2:$AH$579,'Por foco'!$A$2:$A$579,$A30,'Por foco'!$B$2:$B$579,$B30)</f>
        <v>0</v>
      </c>
      <c r="AG30" s="3" t="n">
        <f aca="false">SUMIFS('Por foco'!$AI$2:$AI$579,'Por foco'!$A$2:$A$579,$A30,'Por foco'!$B$2:$B$579,$B30)</f>
        <v>0</v>
      </c>
      <c r="AH30" s="3" t="n">
        <f aca="false">SUMIFS('Por foco'!$AJ$2:$AJ$579,'Por foco'!$A$2:$A$579,$A30,'Por foco'!$B$2:$B$579,$B30)</f>
        <v>0</v>
      </c>
      <c r="AI30" s="3" t="n">
        <f aca="false">SUMIFS('Por foco'!$AK$2:$AK$579,'Por foco'!$A$2:$A$579,$A30,'Por foco'!$B$2:$B$579,$B30)</f>
        <v>0</v>
      </c>
      <c r="AJ30" s="3" t="n">
        <f aca="false">SUMIFS('Por foco'!$AL$2:$AL$579,'Por foco'!$A$2:$A$579,$A30,'Por foco'!$B$2:$B$579,$B30)</f>
        <v>-2.1</v>
      </c>
      <c r="AK30" s="3" t="n">
        <f aca="false">SUMIFS('Por foco'!$AM$2:$AM$579,'Por foco'!$A$2:$A$579,$A30,'Por foco'!$B$2:$B$579,$B30)</f>
        <v>0</v>
      </c>
      <c r="AL30" s="3" t="n">
        <f aca="false">SUMIFS('Por foco'!$AN$2:$AN$579,'Por foco'!$A$2:$A$579,$A30,'Por foco'!$B$2:$B$579,$B30)</f>
        <v>0</v>
      </c>
      <c r="AM30" s="3" t="n">
        <f aca="false">SUMIFS('Por foco'!$AO$2:$AO$579,'Por foco'!$A$2:$A$579,$A30,'Por foco'!$B$2:$B$579,$B30)</f>
        <v>0</v>
      </c>
      <c r="AN30" s="3" t="n">
        <f aca="false">SUMIFS('Por foco'!$AP$2:$AP$579,'Por foco'!$A$2:$A$579,$A30,'Por foco'!$B$2:$B$579,$B30)</f>
        <v>0</v>
      </c>
      <c r="AO30" s="3" t="n">
        <f aca="false">SUMIFS('Por foco'!$AQ$2:$AQ$579,'Por foco'!$A$2:$A$579,$A30,'Por foco'!$B$2:$B$579,$B30)</f>
        <v>0</v>
      </c>
      <c r="AP30" s="3" t="n">
        <f aca="false">SUMIFS('Por foco'!$AR$2:$AR$579,'Por foco'!$A$2:$A$579,$A30,'Por foco'!$B$2:$B$579,$B30)</f>
        <v>0</v>
      </c>
      <c r="AQ30" s="3" t="n">
        <f aca="false">SUMIFS('Por foco'!$AS$2:$AS$579,'Por foco'!$A$2:$A$579,$A30,'Por foco'!$B$2:$B$579,$B30)</f>
        <v>0</v>
      </c>
      <c r="AR30" s="3" t="n">
        <f aca="false">SUMIFS('Por foco'!$AT$2:$AT$579,'Por foco'!$A$2:$A$579,$A30,'Por foco'!$B$2:$B$579,$B30)</f>
        <v>0</v>
      </c>
      <c r="AS30" s="3" t="n">
        <f aca="false">SUMIFS('Por foco'!$AU$2:$AU$579,'Por foco'!$A$2:$A$579,$A30,'Por foco'!$B$2:$B$579,$B30)</f>
        <v>0</v>
      </c>
      <c r="AT30" s="3" t="n">
        <f aca="false">SUMIFS('Por foco'!$AV$2:$AV$579,'Por foco'!$A$2:$A$579,$A30,'Por foco'!$B$2:$B$579,$B30)</f>
        <v>0</v>
      </c>
      <c r="AU30" s="3" t="n">
        <f aca="false">SUMIFS('Por foco'!$AW$2:$AW$579,'Por foco'!$A$2:$A$579,$A30,'Por foco'!$B$2:$B$579,$B30)</f>
        <v>0</v>
      </c>
      <c r="AV30" s="3" t="n">
        <f aca="false">SUMIFS('Por foco'!$AX$2:$AX$579,'Por foco'!$A$2:$A$579,$A30,'Por foco'!$B$2:$B$579,$B30)</f>
        <v>0</v>
      </c>
      <c r="AW30" s="3" t="n">
        <f aca="false">SUMIFS('Por foco'!$AY$2:$AY$579,'Por foco'!$A$2:$A$579,$A30,'Por foco'!$B$2:$B$579,$B30)</f>
        <v>0</v>
      </c>
      <c r="AX30" s="3" t="n">
        <f aca="false">SUMIFS('Por foco'!$AZ$2:$AZ$579,'Por foco'!$A$2:$A$579,$A30,'Por foco'!$B$2:$B$579,$B30)</f>
        <v>0</v>
      </c>
      <c r="AY30" s="3" t="n">
        <f aca="false">SUMIFS('Por foco'!$BA$2:$BA$579,'Por foco'!$A$2:$A$579,$A30,'Por foco'!$B$2:$B$579,$B30)</f>
        <v>0</v>
      </c>
      <c r="AZ30" s="3" t="n">
        <f aca="false">SUMIFS('Por foco'!$BB$2:$BB$579,'Por foco'!$A$2:$A$579,$A30,'Por foco'!$B$2:$B$579,$B30)</f>
        <v>0</v>
      </c>
      <c r="BA30" s="3" t="n">
        <f aca="false">SUMIFS('Por foco'!$BC$2:$BC$579,'Por foco'!$A$2:$A$579,$A30,'Por foco'!$B$2:$B$579,$B30)</f>
        <v>0</v>
      </c>
      <c r="BB30" s="3" t="n">
        <f aca="false">SUMIFS('Por foco'!$BD$2:$BD$579,'Por foco'!$A$2:$A$579,$A30,'Por foco'!$B$2:$B$579,$B30)</f>
        <v>0</v>
      </c>
      <c r="BC30" s="3" t="n">
        <f aca="false">SUMIFS('Por foco'!$BE$2:$BE$579,'Por foco'!$A$2:$A$579,$A30,'Por foco'!$B$2:$B$579,$B30)</f>
        <v>0</v>
      </c>
      <c r="BD30" s="3" t="n">
        <f aca="false">SUMIFS('Por foco'!$BF$2:$BF$579,'Por foco'!$A$2:$A$579,$A30,'Por foco'!$B$2:$B$579,$B30)</f>
        <v>0</v>
      </c>
      <c r="BE30" s="3" t="n">
        <f aca="false">SUMIFS('Por foco'!$BG$2:$BG$579,'Por foco'!$A$2:$A$579,$A30,'Por foco'!$B$2:$B$579,$B30)</f>
        <v>0</v>
      </c>
    </row>
    <row r="31" customFormat="false" ht="15" hidden="false" customHeight="false" outlineLevel="0" collapsed="false">
      <c r="A31" s="3" t="s">
        <v>62</v>
      </c>
      <c r="B31" s="3" t="s">
        <v>105</v>
      </c>
      <c r="C31" s="3" t="n">
        <f aca="false">COUNTIFS('Por foco'!$A$2:$A$579,$A31,'Por foco'!$B$2:$B$579,$B31)</f>
        <v>6</v>
      </c>
      <c r="D31" s="6" t="n">
        <f aca="false">SUMIFS('Por foco'!$F$2:$F$579,'Por foco'!$A$2:$A$579,$A31,'Por foco'!$B$2:$B$579,$B31)</f>
        <v>1086.3</v>
      </c>
      <c r="E31" s="3" t="n">
        <f aca="false">IF(C31=0,0,SUMIFS('Por foco'!$E$2:$E$579,'Por foco'!$A$2:$A$579,$A31,'Por foco'!$B$2:$B$579,$B31)/C31)</f>
        <v>1</v>
      </c>
      <c r="F31" s="3" t="n">
        <f aca="false">SUMIFS('Por foco'!$H$2:$H$579,'Por foco'!$A$2:$A$579,$A31,'Por foco'!$B$2:$B$579,$B31)</f>
        <v>413</v>
      </c>
      <c r="G31" s="3" t="n">
        <f aca="false">SUMIFS('Por foco'!$I$2:$I$579,'Por foco'!$A$2:$A$579,$A31,'Por foco'!$B$2:$B$579,$B31)</f>
        <v>100</v>
      </c>
      <c r="H31" s="3" t="n">
        <f aca="false">SUMIFS('Por foco'!$J$2:$J$579,'Por foco'!$A$2:$A$579,$A31,'Por foco'!$B$2:$B$579,$B31)</f>
        <v>0</v>
      </c>
      <c r="I31" s="3" t="n">
        <f aca="false">SUMIFS('Por foco'!$K$2:$K$579,'Por foco'!$A$2:$A$579,$A31,'Por foco'!$B$2:$B$579,$B31)</f>
        <v>0</v>
      </c>
      <c r="J31" s="3" t="n">
        <f aca="false">SUMIFS('Por foco'!$L$2:$L$579,'Por foco'!$A$2:$A$579,$A31,'Por foco'!$B$2:$B$579,$B31)</f>
        <v>0</v>
      </c>
      <c r="K31" s="3" t="n">
        <f aca="false">SUMIFS('Por foco'!$M$2:$M$579,'Por foco'!$A$2:$A$579,$A31,'Por foco'!$B$2:$B$579,$B31)</f>
        <v>0</v>
      </c>
      <c r="L31" s="3" t="n">
        <f aca="false">SUMIFS('Por foco'!$N$2:$N$579,'Por foco'!$A$2:$A$579,$A31,'Por foco'!$B$2:$B$579,$B31)</f>
        <v>0</v>
      </c>
      <c r="M31" s="3" t="n">
        <f aca="false">SUMIFS('Por foco'!$O$2:$O$579,'Por foco'!$A$2:$A$579,$A31,'Por foco'!$B$2:$B$579,$B31)</f>
        <v>0</v>
      </c>
      <c r="N31" s="3" t="n">
        <f aca="false">SUMIFS('Por foco'!$P$2:$P$579,'Por foco'!$A$2:$A$579,$A31,'Por foco'!$B$2:$B$579,$B31)</f>
        <v>1</v>
      </c>
      <c r="O31" s="3" t="n">
        <f aca="false">SUMIFS('Por foco'!$Q$2:$Q$579,'Por foco'!$A$2:$A$579,$A31,'Por foco'!$B$2:$B$579,$B31)</f>
        <v>0</v>
      </c>
      <c r="P31" s="3" t="n">
        <f aca="false">SUMIFS('Por foco'!$R$2:$R$579,'Por foco'!$A$2:$A$579,$A31,'Por foco'!$B$2:$B$579,$B31)</f>
        <v>3</v>
      </c>
      <c r="Q31" s="3" t="n">
        <f aca="false">SUMIFS('Por foco'!$S$2:$S$579,'Por foco'!$A$2:$A$579,$A31,'Por foco'!$B$2:$B$579,$B31)</f>
        <v>0</v>
      </c>
      <c r="R31" s="3" t="n">
        <f aca="false">SUMIFS('Por foco'!$T$2:$T$579,'Por foco'!$A$2:$A$579,$A31,'Por foco'!$B$2:$B$579,$B31)</f>
        <v>0</v>
      </c>
      <c r="S31" s="3" t="n">
        <f aca="false">SUMIFS('Por foco'!$U$2:$U$579,'Por foco'!$A$2:$A$579,$A31,'Por foco'!$B$2:$B$579,$B31)</f>
        <v>0</v>
      </c>
      <c r="T31" s="3" t="n">
        <f aca="false">SUMIFS('Por foco'!$V$2:$V$579,'Por foco'!$A$2:$A$579,$A31,'Por foco'!$B$2:$B$579,$B31)</f>
        <v>0</v>
      </c>
      <c r="U31" s="3" t="n">
        <f aca="false">SUMIFS('Por foco'!$W$2:$W$579,'Por foco'!$A$2:$A$579,$A31,'Por foco'!$B$2:$B$579,$B31)</f>
        <v>0</v>
      </c>
      <c r="V31" s="3" t="n">
        <f aca="false">SUMIFS('Por foco'!$X$2:$X$579,'Por foco'!$A$2:$A$579,$A31,'Por foco'!$B$2:$B$579,$B31)</f>
        <v>0</v>
      </c>
      <c r="W31" s="3" t="n">
        <f aca="false">SUMIFS('Por foco'!$Y$2:$Y$579,'Por foco'!$A$2:$A$579,$A31,'Por foco'!$B$2:$B$579,$B31)</f>
        <v>0</v>
      </c>
      <c r="X31" s="3" t="n">
        <f aca="false">SUMIFS('Por foco'!$Z$2:$Z$579,'Por foco'!$A$2:$A$579,$A31,'Por foco'!$B$2:$B$579,$B31)</f>
        <v>0</v>
      </c>
      <c r="Y31" s="3" t="n">
        <f aca="false">SUMIFS('Por foco'!$AA$2:$AA$579,'Por foco'!$A$2:$A$579,$A31,'Por foco'!$B$2:$B$579,$B31)</f>
        <v>0.31</v>
      </c>
      <c r="Z31" s="3" t="n">
        <f aca="false">SUMIFS('Por foco'!$AB$2:$AB$579,'Por foco'!$A$2:$A$579,$A31,'Por foco'!$B$2:$B$579,$B31)</f>
        <v>9.4</v>
      </c>
      <c r="AA31" s="3" t="n">
        <f aca="false">SUMIFS('Por foco'!$AC$2:$AC$579,'Por foco'!$A$2:$A$579,$A31,'Por foco'!$B$2:$B$579,$B31)</f>
        <v>0</v>
      </c>
      <c r="AB31" s="3" t="n">
        <f aca="false">SUMIFS('Por foco'!$AD$2:$AD$579,'Por foco'!$A$2:$A$579,$A31,'Por foco'!$B$2:$B$579,$B31)</f>
        <v>0</v>
      </c>
      <c r="AC31" s="3" t="n">
        <f aca="false">SUMIFS('Por foco'!$AE$2:$AE$579,'Por foco'!$A$2:$A$579,$A31,'Por foco'!$B$2:$B$579,$B31)</f>
        <v>0</v>
      </c>
      <c r="AD31" s="3" t="n">
        <f aca="false">SUMIFS('Por foco'!$AF$2:$AF$579,'Por foco'!$A$2:$A$579,$A31,'Por foco'!$B$2:$B$579,$B31)</f>
        <v>0</v>
      </c>
      <c r="AE31" s="3" t="n">
        <f aca="false">SUMIFS('Por foco'!$AG$2:$AG$579,'Por foco'!$A$2:$A$579,$A31,'Por foco'!$B$2:$B$579,$B31)</f>
        <v>-0.2</v>
      </c>
      <c r="AF31" s="3" t="n">
        <f aca="false">SUMIFS('Por foco'!$AH$2:$AH$579,'Por foco'!$A$2:$A$579,$A31,'Por foco'!$B$2:$B$579,$B31)</f>
        <v>0</v>
      </c>
      <c r="AG31" s="3" t="n">
        <f aca="false">SUMIFS('Por foco'!$AI$2:$AI$579,'Por foco'!$A$2:$A$579,$A31,'Por foco'!$B$2:$B$579,$B31)</f>
        <v>0</v>
      </c>
      <c r="AH31" s="3" t="n">
        <f aca="false">SUMIFS('Por foco'!$AJ$2:$AJ$579,'Por foco'!$A$2:$A$579,$A31,'Por foco'!$B$2:$B$579,$B31)</f>
        <v>0</v>
      </c>
      <c r="AI31" s="3" t="n">
        <f aca="false">SUMIFS('Por foco'!$AK$2:$AK$579,'Por foco'!$A$2:$A$579,$A31,'Por foco'!$B$2:$B$579,$B31)</f>
        <v>0</v>
      </c>
      <c r="AJ31" s="3" t="n">
        <f aca="false">SUMIFS('Por foco'!$AL$2:$AL$579,'Por foco'!$A$2:$A$579,$A31,'Por foco'!$B$2:$B$579,$B31)</f>
        <v>-2.4</v>
      </c>
      <c r="AK31" s="3" t="n">
        <f aca="false">SUMIFS('Por foco'!$AM$2:$AM$579,'Por foco'!$A$2:$A$579,$A31,'Por foco'!$B$2:$B$579,$B31)</f>
        <v>0</v>
      </c>
      <c r="AL31" s="3" t="n">
        <f aca="false">SUMIFS('Por foco'!$AN$2:$AN$579,'Por foco'!$A$2:$A$579,$A31,'Por foco'!$B$2:$B$579,$B31)</f>
        <v>0</v>
      </c>
      <c r="AM31" s="3" t="n">
        <f aca="false">SUMIFS('Por foco'!$AO$2:$AO$579,'Por foco'!$A$2:$A$579,$A31,'Por foco'!$B$2:$B$579,$B31)</f>
        <v>0</v>
      </c>
      <c r="AN31" s="3" t="n">
        <f aca="false">SUMIFS('Por foco'!$AP$2:$AP$579,'Por foco'!$A$2:$A$579,$A31,'Por foco'!$B$2:$B$579,$B31)</f>
        <v>0</v>
      </c>
      <c r="AO31" s="3" t="n">
        <f aca="false">SUMIFS('Por foco'!$AQ$2:$AQ$579,'Por foco'!$A$2:$A$579,$A31,'Por foco'!$B$2:$B$579,$B31)</f>
        <v>0</v>
      </c>
      <c r="AP31" s="3" t="n">
        <f aca="false">SUMIFS('Por foco'!$AR$2:$AR$579,'Por foco'!$A$2:$A$579,$A31,'Por foco'!$B$2:$B$579,$B31)</f>
        <v>0</v>
      </c>
      <c r="AQ31" s="3" t="n">
        <f aca="false">SUMIFS('Por foco'!$AS$2:$AS$579,'Por foco'!$A$2:$A$579,$A31,'Por foco'!$B$2:$B$579,$B31)</f>
        <v>0</v>
      </c>
      <c r="AR31" s="3" t="n">
        <f aca="false">SUMIFS('Por foco'!$AT$2:$AT$579,'Por foco'!$A$2:$A$579,$A31,'Por foco'!$B$2:$B$579,$B31)</f>
        <v>0</v>
      </c>
      <c r="AS31" s="3" t="n">
        <f aca="false">SUMIFS('Por foco'!$AU$2:$AU$579,'Por foco'!$A$2:$A$579,$A31,'Por foco'!$B$2:$B$579,$B31)</f>
        <v>0</v>
      </c>
      <c r="AT31" s="3" t="n">
        <f aca="false">SUMIFS('Por foco'!$AV$2:$AV$579,'Por foco'!$A$2:$A$579,$A31,'Por foco'!$B$2:$B$579,$B31)</f>
        <v>0</v>
      </c>
      <c r="AU31" s="3" t="n">
        <f aca="false">SUMIFS('Por foco'!$AW$2:$AW$579,'Por foco'!$A$2:$A$579,$A31,'Por foco'!$B$2:$B$579,$B31)</f>
        <v>0</v>
      </c>
      <c r="AV31" s="3" t="n">
        <f aca="false">SUMIFS('Por foco'!$AX$2:$AX$579,'Por foco'!$A$2:$A$579,$A31,'Por foco'!$B$2:$B$579,$B31)</f>
        <v>0</v>
      </c>
      <c r="AW31" s="3" t="n">
        <f aca="false">SUMIFS('Por foco'!$AY$2:$AY$579,'Por foco'!$A$2:$A$579,$A31,'Por foco'!$B$2:$B$579,$B31)</f>
        <v>0</v>
      </c>
      <c r="AX31" s="3" t="n">
        <f aca="false">SUMIFS('Por foco'!$AZ$2:$AZ$579,'Por foco'!$A$2:$A$579,$A31,'Por foco'!$B$2:$B$579,$B31)</f>
        <v>0</v>
      </c>
      <c r="AY31" s="3" t="n">
        <f aca="false">SUMIFS('Por foco'!$BA$2:$BA$579,'Por foco'!$A$2:$A$579,$A31,'Por foco'!$B$2:$B$579,$B31)</f>
        <v>0</v>
      </c>
      <c r="AZ31" s="3" t="n">
        <f aca="false">SUMIFS('Por foco'!$BB$2:$BB$579,'Por foco'!$A$2:$A$579,$A31,'Por foco'!$B$2:$B$579,$B31)</f>
        <v>0</v>
      </c>
      <c r="BA31" s="3" t="n">
        <f aca="false">SUMIFS('Por foco'!$BC$2:$BC$579,'Por foco'!$A$2:$A$579,$A31,'Por foco'!$B$2:$B$579,$B31)</f>
        <v>0</v>
      </c>
      <c r="BB31" s="3" t="n">
        <f aca="false">SUMIFS('Por foco'!$BD$2:$BD$579,'Por foco'!$A$2:$A$579,$A31,'Por foco'!$B$2:$B$579,$B31)</f>
        <v>0</v>
      </c>
      <c r="BC31" s="3" t="n">
        <f aca="false">SUMIFS('Por foco'!$BE$2:$BE$579,'Por foco'!$A$2:$A$579,$A31,'Por foco'!$B$2:$B$579,$B31)</f>
        <v>0</v>
      </c>
      <c r="BD31" s="3" t="n">
        <f aca="false">SUMIFS('Por foco'!$BF$2:$BF$579,'Por foco'!$A$2:$A$579,$A31,'Por foco'!$B$2:$B$579,$B31)</f>
        <v>0</v>
      </c>
      <c r="BE31" s="3" t="n">
        <f aca="false">SUMIFS('Por foco'!$BG$2:$BG$579,'Por foco'!$A$2:$A$579,$A31,'Por foco'!$B$2:$B$579,$B31)</f>
        <v>0</v>
      </c>
    </row>
    <row r="32" customFormat="false" ht="15" hidden="false" customHeight="false" outlineLevel="0" collapsed="false">
      <c r="A32" s="3" t="s">
        <v>63</v>
      </c>
      <c r="B32" s="3" t="s">
        <v>106</v>
      </c>
      <c r="C32" s="3" t="n">
        <f aca="false">COUNTIFS('Por foco'!$A$2:$A$579,$A32,'Por foco'!$B$2:$B$579,$B32)</f>
        <v>9</v>
      </c>
      <c r="D32" s="6" t="n">
        <f aca="false">SUMIFS('Por foco'!$F$2:$F$579,'Por foco'!$A$2:$A$579,$A32,'Por foco'!$B$2:$B$579,$B32)</f>
        <v>1044</v>
      </c>
      <c r="E32" s="3" t="n">
        <f aca="false">IF(C32=0,0,SUMIFS('Por foco'!$E$2:$E$579,'Por foco'!$A$2:$A$579,$A32,'Por foco'!$B$2:$B$579,$B32)/C32)</f>
        <v>0.611111111111111</v>
      </c>
      <c r="F32" s="3" t="n">
        <f aca="false">SUMIFS('Por foco'!$H$2:$H$579,'Por foco'!$A$2:$A$579,$A32,'Por foco'!$B$2:$B$579,$B32)</f>
        <v>539</v>
      </c>
      <c r="G32" s="3" t="n">
        <f aca="false">SUMIFS('Por foco'!$I$2:$I$579,'Por foco'!$A$2:$A$579,$A32,'Por foco'!$B$2:$B$579,$B32)</f>
        <v>400</v>
      </c>
      <c r="H32" s="3" t="n">
        <f aca="false">SUMIFS('Por foco'!$J$2:$J$579,'Por foco'!$A$2:$A$579,$A32,'Por foco'!$B$2:$B$579,$B32)</f>
        <v>0</v>
      </c>
      <c r="I32" s="3" t="n">
        <f aca="false">SUMIFS('Por foco'!$K$2:$K$579,'Por foco'!$A$2:$A$579,$A32,'Por foco'!$B$2:$B$579,$B32)</f>
        <v>0</v>
      </c>
      <c r="J32" s="3" t="n">
        <f aca="false">SUMIFS('Por foco'!$L$2:$L$579,'Por foco'!$A$2:$A$579,$A32,'Por foco'!$B$2:$B$579,$B32)</f>
        <v>0</v>
      </c>
      <c r="K32" s="3" t="n">
        <f aca="false">SUMIFS('Por foco'!$M$2:$M$579,'Por foco'!$A$2:$A$579,$A32,'Por foco'!$B$2:$B$579,$B32)</f>
        <v>0</v>
      </c>
      <c r="L32" s="3" t="n">
        <f aca="false">SUMIFS('Por foco'!$N$2:$N$579,'Por foco'!$A$2:$A$579,$A32,'Por foco'!$B$2:$B$579,$B32)</f>
        <v>0</v>
      </c>
      <c r="M32" s="3" t="n">
        <f aca="false">SUMIFS('Por foco'!$O$2:$O$579,'Por foco'!$A$2:$A$579,$A32,'Por foco'!$B$2:$B$579,$B32)</f>
        <v>0</v>
      </c>
      <c r="N32" s="3" t="n">
        <f aca="false">SUMIFS('Por foco'!$P$2:$P$579,'Por foco'!$A$2:$A$579,$A32,'Por foco'!$B$2:$B$579,$B32)</f>
        <v>0</v>
      </c>
      <c r="O32" s="3" t="n">
        <f aca="false">SUMIFS('Por foco'!$Q$2:$Q$579,'Por foco'!$A$2:$A$579,$A32,'Por foco'!$B$2:$B$579,$B32)</f>
        <v>0</v>
      </c>
      <c r="P32" s="3" t="n">
        <f aca="false">SUMIFS('Por foco'!$R$2:$R$579,'Por foco'!$A$2:$A$579,$A32,'Por foco'!$B$2:$B$579,$B32)</f>
        <v>0</v>
      </c>
      <c r="Q32" s="3" t="n">
        <f aca="false">SUMIFS('Por foco'!$S$2:$S$579,'Por foco'!$A$2:$A$579,$A32,'Por foco'!$B$2:$B$579,$B32)</f>
        <v>0</v>
      </c>
      <c r="R32" s="3" t="n">
        <f aca="false">SUMIFS('Por foco'!$T$2:$T$579,'Por foco'!$A$2:$A$579,$A32,'Por foco'!$B$2:$B$579,$B32)</f>
        <v>2</v>
      </c>
      <c r="S32" s="3" t="n">
        <f aca="false">SUMIFS('Por foco'!$U$2:$U$579,'Por foco'!$A$2:$A$579,$A32,'Por foco'!$B$2:$B$579,$B32)</f>
        <v>0</v>
      </c>
      <c r="T32" s="3" t="n">
        <f aca="false">SUMIFS('Por foco'!$V$2:$V$579,'Por foco'!$A$2:$A$579,$A32,'Por foco'!$B$2:$B$579,$B32)</f>
        <v>0</v>
      </c>
      <c r="U32" s="3" t="n">
        <f aca="false">SUMIFS('Por foco'!$W$2:$W$579,'Por foco'!$A$2:$A$579,$A32,'Por foco'!$B$2:$B$579,$B32)</f>
        <v>0</v>
      </c>
      <c r="V32" s="3" t="n">
        <f aca="false">SUMIFS('Por foco'!$X$2:$X$579,'Por foco'!$A$2:$A$579,$A32,'Por foco'!$B$2:$B$579,$B32)</f>
        <v>0</v>
      </c>
      <c r="W32" s="3" t="n">
        <f aca="false">SUMIFS('Por foco'!$Y$2:$Y$579,'Por foco'!$A$2:$A$579,$A32,'Por foco'!$B$2:$B$579,$B32)</f>
        <v>0</v>
      </c>
      <c r="X32" s="3" t="n">
        <f aca="false">SUMIFS('Por foco'!$Z$2:$Z$579,'Por foco'!$A$2:$A$579,$A32,'Por foco'!$B$2:$B$579,$B32)</f>
        <v>0</v>
      </c>
      <c r="Y32" s="3" t="n">
        <f aca="false">SUMIFS('Por foco'!$AA$2:$AA$579,'Por foco'!$A$2:$A$579,$A32,'Por foco'!$B$2:$B$579,$B32)</f>
        <v>0.3</v>
      </c>
      <c r="Z32" s="3" t="n">
        <f aca="false">SUMIFS('Por foco'!$AB$2:$AB$579,'Por foco'!$A$2:$A$579,$A32,'Por foco'!$B$2:$B$579,$B32)</f>
        <v>8</v>
      </c>
      <c r="AA32" s="3" t="n">
        <f aca="false">SUMIFS('Por foco'!$AC$2:$AC$579,'Por foco'!$A$2:$A$579,$A32,'Por foco'!$B$2:$B$579,$B32)</f>
        <v>0</v>
      </c>
      <c r="AB32" s="3" t="n">
        <f aca="false">SUMIFS('Por foco'!$AD$2:$AD$579,'Por foco'!$A$2:$A$579,$A32,'Por foco'!$B$2:$B$579,$B32)</f>
        <v>0</v>
      </c>
      <c r="AC32" s="3" t="n">
        <f aca="false">SUMIFS('Por foco'!$AE$2:$AE$579,'Por foco'!$A$2:$A$579,$A32,'Por foco'!$B$2:$B$579,$B32)</f>
        <v>15</v>
      </c>
      <c r="AD32" s="3" t="n">
        <f aca="false">SUMIFS('Por foco'!$AF$2:$AF$579,'Por foco'!$A$2:$A$579,$A32,'Por foco'!$B$2:$B$579,$B32)</f>
        <v>0</v>
      </c>
      <c r="AE32" s="3" t="n">
        <f aca="false">SUMIFS('Por foco'!$AG$2:$AG$579,'Por foco'!$A$2:$A$579,$A32,'Por foco'!$B$2:$B$579,$B32)</f>
        <v>0</v>
      </c>
      <c r="AF32" s="3" t="n">
        <f aca="false">SUMIFS('Por foco'!$AH$2:$AH$579,'Por foco'!$A$2:$A$579,$A32,'Por foco'!$B$2:$B$579,$B32)</f>
        <v>10</v>
      </c>
      <c r="AG32" s="3" t="n">
        <f aca="false">SUMIFS('Por foco'!$AI$2:$AI$579,'Por foco'!$A$2:$A$579,$A32,'Por foco'!$B$2:$B$579,$B32)</f>
        <v>0</v>
      </c>
      <c r="AH32" s="3" t="n">
        <f aca="false">SUMIFS('Por foco'!$AJ$2:$AJ$579,'Por foco'!$A$2:$A$579,$A32,'Por foco'!$B$2:$B$579,$B32)</f>
        <v>0</v>
      </c>
      <c r="AI32" s="3" t="n">
        <f aca="false">SUMIFS('Por foco'!$AK$2:$AK$579,'Por foco'!$A$2:$A$579,$A32,'Por foco'!$B$2:$B$579,$B32)</f>
        <v>0</v>
      </c>
      <c r="AJ32" s="3" t="n">
        <f aca="false">SUMIFS('Por foco'!$AL$2:$AL$579,'Por foco'!$A$2:$A$579,$A32,'Por foco'!$B$2:$B$579,$B32)</f>
        <v>0</v>
      </c>
      <c r="AK32" s="3" t="n">
        <f aca="false">SUMIFS('Por foco'!$AM$2:$AM$579,'Por foco'!$A$2:$A$579,$A32,'Por foco'!$B$2:$B$579,$B32)</f>
        <v>0</v>
      </c>
      <c r="AL32" s="3" t="n">
        <f aca="false">SUMIFS('Por foco'!$AN$2:$AN$579,'Por foco'!$A$2:$A$579,$A32,'Por foco'!$B$2:$B$579,$B32)</f>
        <v>0</v>
      </c>
      <c r="AM32" s="3" t="n">
        <f aca="false">SUMIFS('Por foco'!$AO$2:$AO$579,'Por foco'!$A$2:$A$579,$A32,'Por foco'!$B$2:$B$579,$B32)</f>
        <v>0</v>
      </c>
      <c r="AN32" s="3" t="n">
        <f aca="false">SUMIFS('Por foco'!$AP$2:$AP$579,'Por foco'!$A$2:$A$579,$A32,'Por foco'!$B$2:$B$579,$B32)</f>
        <v>0</v>
      </c>
      <c r="AO32" s="3" t="n">
        <f aca="false">SUMIFS('Por foco'!$AQ$2:$AQ$579,'Por foco'!$A$2:$A$579,$A32,'Por foco'!$B$2:$B$579,$B32)</f>
        <v>0</v>
      </c>
      <c r="AP32" s="3" t="n">
        <f aca="false">SUMIFS('Por foco'!$AR$2:$AR$579,'Por foco'!$A$2:$A$579,$A32,'Por foco'!$B$2:$B$579,$B32)</f>
        <v>5</v>
      </c>
      <c r="AQ32" s="3" t="n">
        <f aca="false">SUMIFS('Por foco'!$AS$2:$AS$579,'Por foco'!$A$2:$A$579,$A32,'Por foco'!$B$2:$B$579,$B32)</f>
        <v>0</v>
      </c>
      <c r="AR32" s="3" t="n">
        <f aca="false">SUMIFS('Por foco'!$AT$2:$AT$579,'Por foco'!$A$2:$A$579,$A32,'Por foco'!$B$2:$B$579,$B32)</f>
        <v>0</v>
      </c>
      <c r="AS32" s="3" t="n">
        <f aca="false">SUMIFS('Por foco'!$AU$2:$AU$579,'Por foco'!$A$2:$A$579,$A32,'Por foco'!$B$2:$B$579,$B32)</f>
        <v>0</v>
      </c>
      <c r="AT32" s="3" t="n">
        <f aca="false">SUMIFS('Por foco'!$AV$2:$AV$579,'Por foco'!$A$2:$A$579,$A32,'Por foco'!$B$2:$B$579,$B32)</f>
        <v>0</v>
      </c>
      <c r="AU32" s="3" t="n">
        <f aca="false">SUMIFS('Por foco'!$AW$2:$AW$579,'Por foco'!$A$2:$A$579,$A32,'Por foco'!$B$2:$B$579,$B32)</f>
        <v>0</v>
      </c>
      <c r="AV32" s="3" t="n">
        <f aca="false">SUMIFS('Por foco'!$AX$2:$AX$579,'Por foco'!$A$2:$A$579,$A32,'Por foco'!$B$2:$B$579,$B32)</f>
        <v>0</v>
      </c>
      <c r="AW32" s="3" t="n">
        <f aca="false">SUMIFS('Por foco'!$AY$2:$AY$579,'Por foco'!$A$2:$A$579,$A32,'Por foco'!$B$2:$B$579,$B32)</f>
        <v>0</v>
      </c>
      <c r="AX32" s="3" t="n">
        <f aca="false">SUMIFS('Por foco'!$AZ$2:$AZ$579,'Por foco'!$A$2:$A$579,$A32,'Por foco'!$B$2:$B$579,$B32)</f>
        <v>0</v>
      </c>
      <c r="AY32" s="3" t="n">
        <f aca="false">SUMIFS('Por foco'!$BA$2:$BA$579,'Por foco'!$A$2:$A$579,$A32,'Por foco'!$B$2:$B$579,$B32)</f>
        <v>0</v>
      </c>
      <c r="AZ32" s="3" t="n">
        <f aca="false">SUMIFS('Por foco'!$BB$2:$BB$579,'Por foco'!$A$2:$A$579,$A32,'Por foco'!$B$2:$B$579,$B32)</f>
        <v>0</v>
      </c>
      <c r="BA32" s="3" t="n">
        <f aca="false">SUMIFS('Por foco'!$BC$2:$BC$579,'Por foco'!$A$2:$A$579,$A32,'Por foco'!$B$2:$B$579,$B32)</f>
        <v>0</v>
      </c>
      <c r="BB32" s="3" t="n">
        <f aca="false">SUMIFS('Por foco'!$BD$2:$BD$579,'Por foco'!$A$2:$A$579,$A32,'Por foco'!$B$2:$B$579,$B32)</f>
        <v>0</v>
      </c>
      <c r="BC32" s="3" t="n">
        <f aca="false">SUMIFS('Por foco'!$BE$2:$BE$579,'Por foco'!$A$2:$A$579,$A32,'Por foco'!$B$2:$B$579,$B32)</f>
        <v>0</v>
      </c>
      <c r="BD32" s="3" t="n">
        <f aca="false">SUMIFS('Por foco'!$BF$2:$BF$579,'Por foco'!$A$2:$A$579,$A32,'Por foco'!$B$2:$B$579,$B32)</f>
        <v>0</v>
      </c>
      <c r="BE32" s="3" t="n">
        <f aca="false">SUMIFS('Por foco'!$BG$2:$BG$579,'Por foco'!$A$2:$A$579,$A32,'Por foco'!$B$2:$B$579,$B32)</f>
        <v>0</v>
      </c>
    </row>
    <row r="33" customFormat="false" ht="15" hidden="false" customHeight="false" outlineLevel="0" collapsed="false">
      <c r="A33" s="3" t="s">
        <v>63</v>
      </c>
      <c r="B33" s="3" t="s">
        <v>107</v>
      </c>
      <c r="C33" s="3" t="n">
        <f aca="false">COUNTIFS('Por foco'!$A$2:$A$579,$A33,'Por foco'!$B$2:$B$579,$B33)</f>
        <v>7</v>
      </c>
      <c r="D33" s="6" t="n">
        <f aca="false">SUMIFS('Por foco'!$F$2:$F$579,'Por foco'!$A$2:$A$579,$A33,'Por foco'!$B$2:$B$579,$B33)</f>
        <v>130.5</v>
      </c>
      <c r="E33" s="3" t="n">
        <f aca="false">IF(C33=0,0,SUMIFS('Por foco'!$E$2:$E$579,'Por foco'!$A$2:$A$579,$A33,'Por foco'!$B$2:$B$579,$B33)/C33)</f>
        <v>0.5</v>
      </c>
      <c r="F33" s="3" t="n">
        <f aca="false">SUMIFS('Por foco'!$H$2:$H$579,'Por foco'!$A$2:$A$579,$A33,'Por foco'!$B$2:$B$579,$B33)</f>
        <v>448</v>
      </c>
      <c r="G33" s="3" t="n">
        <f aca="false">SUMIFS('Por foco'!$I$2:$I$579,'Por foco'!$A$2:$A$579,$A33,'Por foco'!$B$2:$B$579,$B33)</f>
        <v>100</v>
      </c>
      <c r="H33" s="3" t="n">
        <f aca="false">SUMIFS('Por foco'!$J$2:$J$579,'Por foco'!$A$2:$A$579,$A33,'Por foco'!$B$2:$B$579,$B33)</f>
        <v>0</v>
      </c>
      <c r="I33" s="3" t="n">
        <f aca="false">SUMIFS('Por foco'!$K$2:$K$579,'Por foco'!$A$2:$A$579,$A33,'Por foco'!$B$2:$B$579,$B33)</f>
        <v>20</v>
      </c>
      <c r="J33" s="3" t="n">
        <f aca="false">SUMIFS('Por foco'!$L$2:$L$579,'Por foco'!$A$2:$A$579,$A33,'Por foco'!$B$2:$B$579,$B33)</f>
        <v>0</v>
      </c>
      <c r="K33" s="3" t="n">
        <f aca="false">SUMIFS('Por foco'!$M$2:$M$579,'Por foco'!$A$2:$A$579,$A33,'Por foco'!$B$2:$B$579,$B33)</f>
        <v>0</v>
      </c>
      <c r="L33" s="3" t="n">
        <f aca="false">SUMIFS('Por foco'!$N$2:$N$579,'Por foco'!$A$2:$A$579,$A33,'Por foco'!$B$2:$B$579,$B33)</f>
        <v>25</v>
      </c>
      <c r="M33" s="3" t="n">
        <f aca="false">SUMIFS('Por foco'!$O$2:$O$579,'Por foco'!$A$2:$A$579,$A33,'Por foco'!$B$2:$B$579,$B33)</f>
        <v>0</v>
      </c>
      <c r="N33" s="3" t="n">
        <f aca="false">SUMIFS('Por foco'!$P$2:$P$579,'Por foco'!$A$2:$A$579,$A33,'Por foco'!$B$2:$B$579,$B33)</f>
        <v>0</v>
      </c>
      <c r="O33" s="3" t="n">
        <f aca="false">SUMIFS('Por foco'!$Q$2:$Q$579,'Por foco'!$A$2:$A$579,$A33,'Por foco'!$B$2:$B$579,$B33)</f>
        <v>1</v>
      </c>
      <c r="P33" s="3" t="n">
        <f aca="false">SUMIFS('Por foco'!$R$2:$R$579,'Por foco'!$A$2:$A$579,$A33,'Por foco'!$B$2:$B$579,$B33)</f>
        <v>0</v>
      </c>
      <c r="Q33" s="3" t="n">
        <f aca="false">SUMIFS('Por foco'!$S$2:$S$579,'Por foco'!$A$2:$A$579,$A33,'Por foco'!$B$2:$B$579,$B33)</f>
        <v>0</v>
      </c>
      <c r="R33" s="3" t="n">
        <f aca="false">SUMIFS('Por foco'!$T$2:$T$579,'Por foco'!$A$2:$A$579,$A33,'Por foco'!$B$2:$B$579,$B33)</f>
        <v>2</v>
      </c>
      <c r="S33" s="3" t="n">
        <f aca="false">SUMIFS('Por foco'!$U$2:$U$579,'Por foco'!$A$2:$A$579,$A33,'Por foco'!$B$2:$B$579,$B33)</f>
        <v>0</v>
      </c>
      <c r="T33" s="3" t="n">
        <f aca="false">SUMIFS('Por foco'!$V$2:$V$579,'Por foco'!$A$2:$A$579,$A33,'Por foco'!$B$2:$B$579,$B33)</f>
        <v>0</v>
      </c>
      <c r="U33" s="3" t="n">
        <f aca="false">SUMIFS('Por foco'!$W$2:$W$579,'Por foco'!$A$2:$A$579,$A33,'Por foco'!$B$2:$B$579,$B33)</f>
        <v>0</v>
      </c>
      <c r="V33" s="3" t="n">
        <f aca="false">SUMIFS('Por foco'!$X$2:$X$579,'Por foco'!$A$2:$A$579,$A33,'Por foco'!$B$2:$B$579,$B33)</f>
        <v>0</v>
      </c>
      <c r="W33" s="3" t="n">
        <f aca="false">SUMIFS('Por foco'!$Y$2:$Y$579,'Por foco'!$A$2:$A$579,$A33,'Por foco'!$B$2:$B$579,$B33)</f>
        <v>0</v>
      </c>
      <c r="X33" s="3" t="n">
        <f aca="false">SUMIFS('Por foco'!$Z$2:$Z$579,'Por foco'!$A$2:$A$579,$A33,'Por foco'!$B$2:$B$579,$B33)</f>
        <v>1</v>
      </c>
      <c r="Y33" s="3" t="n">
        <f aca="false">SUMIFS('Por foco'!$AA$2:$AA$579,'Por foco'!$A$2:$A$579,$A33,'Por foco'!$B$2:$B$579,$B33)</f>
        <v>-0.15</v>
      </c>
      <c r="Z33" s="3" t="n">
        <f aca="false">SUMIFS('Por foco'!$AB$2:$AB$579,'Por foco'!$A$2:$A$579,$A33,'Por foco'!$B$2:$B$579,$B33)</f>
        <v>-5</v>
      </c>
      <c r="AA33" s="3" t="n">
        <f aca="false">SUMIFS('Por foco'!$AC$2:$AC$579,'Por foco'!$A$2:$A$579,$A33,'Por foco'!$B$2:$B$579,$B33)</f>
        <v>20</v>
      </c>
      <c r="AB33" s="3" t="n">
        <f aca="false">SUMIFS('Por foco'!$AD$2:$AD$579,'Por foco'!$A$2:$A$579,$A33,'Por foco'!$B$2:$B$579,$B33)</f>
        <v>0</v>
      </c>
      <c r="AC33" s="3" t="n">
        <f aca="false">SUMIFS('Por foco'!$AE$2:$AE$579,'Por foco'!$A$2:$A$579,$A33,'Por foco'!$B$2:$B$579,$B33)</f>
        <v>-20</v>
      </c>
      <c r="AD33" s="3" t="n">
        <f aca="false">SUMIFS('Por foco'!$AF$2:$AF$579,'Por foco'!$A$2:$A$579,$A33,'Por foco'!$B$2:$B$579,$B33)</f>
        <v>0</v>
      </c>
      <c r="AE33" s="3" t="n">
        <f aca="false">SUMIFS('Por foco'!$AG$2:$AG$579,'Por foco'!$A$2:$A$579,$A33,'Por foco'!$B$2:$B$579,$B33)</f>
        <v>-10</v>
      </c>
      <c r="AF33" s="3" t="n">
        <f aca="false">SUMIFS('Por foco'!$AH$2:$AH$579,'Por foco'!$A$2:$A$579,$A33,'Por foco'!$B$2:$B$579,$B33)</f>
        <v>-5</v>
      </c>
      <c r="AG33" s="3" t="n">
        <f aca="false">SUMIFS('Por foco'!$AI$2:$AI$579,'Por foco'!$A$2:$A$579,$A33,'Por foco'!$B$2:$B$579,$B33)</f>
        <v>0</v>
      </c>
      <c r="AH33" s="3" t="n">
        <f aca="false">SUMIFS('Por foco'!$AJ$2:$AJ$579,'Por foco'!$A$2:$A$579,$A33,'Por foco'!$B$2:$B$579,$B33)</f>
        <v>0</v>
      </c>
      <c r="AI33" s="3" t="n">
        <f aca="false">SUMIFS('Por foco'!$AK$2:$AK$579,'Por foco'!$A$2:$A$579,$A33,'Por foco'!$B$2:$B$579,$B33)</f>
        <v>0</v>
      </c>
      <c r="AJ33" s="3" t="n">
        <f aca="false">SUMIFS('Por foco'!$AL$2:$AL$579,'Por foco'!$A$2:$A$579,$A33,'Por foco'!$B$2:$B$579,$B33)</f>
        <v>0</v>
      </c>
      <c r="AK33" s="3" t="n">
        <f aca="false">SUMIFS('Por foco'!$AM$2:$AM$579,'Por foco'!$A$2:$A$579,$A33,'Por foco'!$B$2:$B$579,$B33)</f>
        <v>0</v>
      </c>
      <c r="AL33" s="3" t="n">
        <f aca="false">SUMIFS('Por foco'!$AN$2:$AN$579,'Por foco'!$A$2:$A$579,$A33,'Por foco'!$B$2:$B$579,$B33)</f>
        <v>0</v>
      </c>
      <c r="AM33" s="3" t="n">
        <f aca="false">SUMIFS('Por foco'!$AO$2:$AO$579,'Por foco'!$A$2:$A$579,$A33,'Por foco'!$B$2:$B$579,$B33)</f>
        <v>0</v>
      </c>
      <c r="AN33" s="3" t="n">
        <f aca="false">SUMIFS('Por foco'!$AP$2:$AP$579,'Por foco'!$A$2:$A$579,$A33,'Por foco'!$B$2:$B$579,$B33)</f>
        <v>0</v>
      </c>
      <c r="AO33" s="3" t="n">
        <f aca="false">SUMIFS('Por foco'!$AQ$2:$AQ$579,'Por foco'!$A$2:$A$579,$A33,'Por foco'!$B$2:$B$579,$B33)</f>
        <v>5</v>
      </c>
      <c r="AP33" s="3" t="n">
        <f aca="false">SUMIFS('Por foco'!$AR$2:$AR$579,'Por foco'!$A$2:$A$579,$A33,'Por foco'!$B$2:$B$579,$B33)</f>
        <v>0</v>
      </c>
      <c r="AQ33" s="3" t="n">
        <f aca="false">SUMIFS('Por foco'!$AS$2:$AS$579,'Por foco'!$A$2:$A$579,$A33,'Por foco'!$B$2:$B$579,$B33)</f>
        <v>0</v>
      </c>
      <c r="AR33" s="3" t="n">
        <f aca="false">SUMIFS('Por foco'!$AT$2:$AT$579,'Por foco'!$A$2:$A$579,$A33,'Por foco'!$B$2:$B$579,$B33)</f>
        <v>0</v>
      </c>
      <c r="AS33" s="3" t="n">
        <f aca="false">SUMIFS('Por foco'!$AU$2:$AU$579,'Por foco'!$A$2:$A$579,$A33,'Por foco'!$B$2:$B$579,$B33)</f>
        <v>0</v>
      </c>
      <c r="AT33" s="3" t="n">
        <f aca="false">SUMIFS('Por foco'!$AV$2:$AV$579,'Por foco'!$A$2:$A$579,$A33,'Por foco'!$B$2:$B$579,$B33)</f>
        <v>0</v>
      </c>
      <c r="AU33" s="3" t="n">
        <f aca="false">SUMIFS('Por foco'!$AW$2:$AW$579,'Por foco'!$A$2:$A$579,$A33,'Por foco'!$B$2:$B$579,$B33)</f>
        <v>0</v>
      </c>
      <c r="AV33" s="3" t="n">
        <f aca="false">SUMIFS('Por foco'!$AX$2:$AX$579,'Por foco'!$A$2:$A$579,$A33,'Por foco'!$B$2:$B$579,$B33)</f>
        <v>0</v>
      </c>
      <c r="AW33" s="3" t="n">
        <f aca="false">SUMIFS('Por foco'!$AY$2:$AY$579,'Por foco'!$A$2:$A$579,$A33,'Por foco'!$B$2:$B$579,$B33)</f>
        <v>0</v>
      </c>
      <c r="AX33" s="3" t="n">
        <f aca="false">SUMIFS('Por foco'!$AZ$2:$AZ$579,'Por foco'!$A$2:$A$579,$A33,'Por foco'!$B$2:$B$579,$B33)</f>
        <v>0</v>
      </c>
      <c r="AY33" s="3" t="n">
        <f aca="false">SUMIFS('Por foco'!$BA$2:$BA$579,'Por foco'!$A$2:$A$579,$A33,'Por foco'!$B$2:$B$579,$B33)</f>
        <v>0</v>
      </c>
      <c r="AZ33" s="3" t="n">
        <f aca="false">SUMIFS('Por foco'!$BB$2:$BB$579,'Por foco'!$A$2:$A$579,$A33,'Por foco'!$B$2:$B$579,$B33)</f>
        <v>0</v>
      </c>
      <c r="BA33" s="3" t="n">
        <f aca="false">SUMIFS('Por foco'!$BC$2:$BC$579,'Por foco'!$A$2:$A$579,$A33,'Por foco'!$B$2:$B$579,$B33)</f>
        <v>0</v>
      </c>
      <c r="BB33" s="3" t="n">
        <f aca="false">SUMIFS('Por foco'!$BD$2:$BD$579,'Por foco'!$A$2:$A$579,$A33,'Por foco'!$B$2:$B$579,$B33)</f>
        <v>0</v>
      </c>
      <c r="BC33" s="3" t="n">
        <f aca="false">SUMIFS('Por foco'!$BE$2:$BE$579,'Por foco'!$A$2:$A$579,$A33,'Por foco'!$B$2:$B$579,$B33)</f>
        <v>0</v>
      </c>
      <c r="BD33" s="3" t="n">
        <f aca="false">SUMIFS('Por foco'!$BF$2:$BF$579,'Por foco'!$A$2:$A$579,$A33,'Por foco'!$B$2:$B$579,$B33)</f>
        <v>0</v>
      </c>
      <c r="BE33" s="3" t="n">
        <f aca="false">SUMIFS('Por foco'!$BG$2:$BG$579,'Por foco'!$A$2:$A$579,$A33,'Por foco'!$B$2:$B$579,$B33)</f>
        <v>0</v>
      </c>
    </row>
    <row r="34" customFormat="false" ht="15" hidden="false" customHeight="false" outlineLevel="0" collapsed="false">
      <c r="A34" s="3" t="s">
        <v>63</v>
      </c>
      <c r="B34" s="3" t="s">
        <v>80</v>
      </c>
      <c r="C34" s="3" t="n">
        <f aca="false">COUNTIFS('Por foco'!$A$2:$A$579,$A34,'Por foco'!$B$2:$B$579,$B34)</f>
        <v>4</v>
      </c>
      <c r="D34" s="6" t="n">
        <f aca="false">SUMIFS('Por foco'!$F$2:$F$579,'Por foco'!$A$2:$A$579,$A34,'Por foco'!$B$2:$B$579,$B34)</f>
        <v>764.5</v>
      </c>
      <c r="E34" s="3" t="n">
        <f aca="false">IF(C34=0,0,SUMIFS('Por foco'!$E$2:$E$579,'Por foco'!$A$2:$A$579,$A34,'Por foco'!$B$2:$B$579,$B34)/C34)</f>
        <v>1</v>
      </c>
      <c r="F34" s="3" t="n">
        <f aca="false">SUMIFS('Por foco'!$H$2:$H$579,'Por foco'!$A$2:$A$579,$A34,'Por foco'!$B$2:$B$579,$B34)</f>
        <v>315</v>
      </c>
      <c r="G34" s="3" t="n">
        <f aca="false">SUMIFS('Por foco'!$I$2:$I$579,'Por foco'!$A$2:$A$579,$A34,'Por foco'!$B$2:$B$579,$B34)</f>
        <v>170</v>
      </c>
      <c r="H34" s="3" t="n">
        <f aca="false">SUMIFS('Por foco'!$J$2:$J$579,'Por foco'!$A$2:$A$579,$A34,'Por foco'!$B$2:$B$579,$B34)</f>
        <v>5</v>
      </c>
      <c r="I34" s="3" t="n">
        <f aca="false">SUMIFS('Por foco'!$K$2:$K$579,'Por foco'!$A$2:$A$579,$A34,'Por foco'!$B$2:$B$579,$B34)</f>
        <v>5</v>
      </c>
      <c r="J34" s="3" t="n">
        <f aca="false">SUMIFS('Por foco'!$L$2:$L$579,'Por foco'!$A$2:$A$579,$A34,'Por foco'!$B$2:$B$579,$B34)</f>
        <v>0</v>
      </c>
      <c r="K34" s="3" t="n">
        <f aca="false">SUMIFS('Por foco'!$M$2:$M$579,'Por foco'!$A$2:$A$579,$A34,'Por foco'!$B$2:$B$579,$B34)</f>
        <v>25</v>
      </c>
      <c r="L34" s="3" t="n">
        <f aca="false">SUMIFS('Por foco'!$N$2:$N$579,'Por foco'!$A$2:$A$579,$A34,'Por foco'!$B$2:$B$579,$B34)</f>
        <v>0</v>
      </c>
      <c r="M34" s="3" t="n">
        <f aca="false">SUMIFS('Por foco'!$O$2:$O$579,'Por foco'!$A$2:$A$579,$A34,'Por foco'!$B$2:$B$579,$B34)</f>
        <v>0</v>
      </c>
      <c r="N34" s="3" t="n">
        <f aca="false">SUMIFS('Por foco'!$P$2:$P$579,'Por foco'!$A$2:$A$579,$A34,'Por foco'!$B$2:$B$579,$B34)</f>
        <v>0</v>
      </c>
      <c r="O34" s="3" t="n">
        <f aca="false">SUMIFS('Por foco'!$Q$2:$Q$579,'Por foco'!$A$2:$A$579,$A34,'Por foco'!$B$2:$B$579,$B34)</f>
        <v>0</v>
      </c>
      <c r="P34" s="3" t="n">
        <f aca="false">SUMIFS('Por foco'!$R$2:$R$579,'Por foco'!$A$2:$A$579,$A34,'Por foco'!$B$2:$B$579,$B34)</f>
        <v>0</v>
      </c>
      <c r="Q34" s="3" t="n">
        <f aca="false">SUMIFS('Por foco'!$S$2:$S$579,'Por foco'!$A$2:$A$579,$A34,'Por foco'!$B$2:$B$579,$B34)</f>
        <v>0</v>
      </c>
      <c r="R34" s="3" t="n">
        <f aca="false">SUMIFS('Por foco'!$T$2:$T$579,'Por foco'!$A$2:$A$579,$A34,'Por foco'!$B$2:$B$579,$B34)</f>
        <v>0</v>
      </c>
      <c r="S34" s="3" t="n">
        <f aca="false">SUMIFS('Por foco'!$U$2:$U$579,'Por foco'!$A$2:$A$579,$A34,'Por foco'!$B$2:$B$579,$B34)</f>
        <v>0</v>
      </c>
      <c r="T34" s="3" t="n">
        <f aca="false">SUMIFS('Por foco'!$V$2:$V$579,'Por foco'!$A$2:$A$579,$A34,'Por foco'!$B$2:$B$579,$B34)</f>
        <v>0</v>
      </c>
      <c r="U34" s="3" t="n">
        <f aca="false">SUMIFS('Por foco'!$W$2:$W$579,'Por foco'!$A$2:$A$579,$A34,'Por foco'!$B$2:$B$579,$B34)</f>
        <v>0</v>
      </c>
      <c r="V34" s="3" t="n">
        <f aca="false">SUMIFS('Por foco'!$X$2:$X$579,'Por foco'!$A$2:$A$579,$A34,'Por foco'!$B$2:$B$579,$B34)</f>
        <v>0</v>
      </c>
      <c r="W34" s="3" t="n">
        <f aca="false">SUMIFS('Por foco'!$Y$2:$Y$579,'Por foco'!$A$2:$A$579,$A34,'Por foco'!$B$2:$B$579,$B34)</f>
        <v>0</v>
      </c>
      <c r="X34" s="3" t="n">
        <f aca="false">SUMIFS('Por foco'!$Z$2:$Z$579,'Por foco'!$A$2:$A$579,$A34,'Por foco'!$B$2:$B$579,$B34)</f>
        <v>7</v>
      </c>
      <c r="Y34" s="3" t="n">
        <f aca="false">SUMIFS('Por foco'!$AA$2:$AA$579,'Por foco'!$A$2:$A$579,$A34,'Por foco'!$B$2:$B$579,$B34)</f>
        <v>0.15</v>
      </c>
      <c r="Z34" s="3" t="n">
        <f aca="false">SUMIFS('Por foco'!$AB$2:$AB$579,'Por foco'!$A$2:$A$579,$A34,'Por foco'!$B$2:$B$579,$B34)</f>
        <v>8</v>
      </c>
      <c r="AA34" s="3" t="n">
        <f aca="false">SUMIFS('Por foco'!$AC$2:$AC$579,'Por foco'!$A$2:$A$579,$A34,'Por foco'!$B$2:$B$579,$B34)</f>
        <v>0</v>
      </c>
      <c r="AB34" s="3" t="n">
        <f aca="false">SUMIFS('Por foco'!$AD$2:$AD$579,'Por foco'!$A$2:$A$579,$A34,'Por foco'!$B$2:$B$579,$B34)</f>
        <v>0</v>
      </c>
      <c r="AC34" s="3" t="n">
        <f aca="false">SUMIFS('Por foco'!$AE$2:$AE$579,'Por foco'!$A$2:$A$579,$A34,'Por foco'!$B$2:$B$579,$B34)</f>
        <v>0</v>
      </c>
      <c r="AD34" s="3" t="n">
        <f aca="false">SUMIFS('Por foco'!$AF$2:$AF$579,'Por foco'!$A$2:$A$579,$A34,'Por foco'!$B$2:$B$579,$B34)</f>
        <v>0</v>
      </c>
      <c r="AE34" s="3" t="n">
        <f aca="false">SUMIFS('Por foco'!$AG$2:$AG$579,'Por foco'!$A$2:$A$579,$A34,'Por foco'!$B$2:$B$579,$B34)</f>
        <v>0</v>
      </c>
      <c r="AF34" s="3" t="n">
        <f aca="false">SUMIFS('Por foco'!$AH$2:$AH$579,'Por foco'!$A$2:$A$579,$A34,'Por foco'!$B$2:$B$579,$B34)</f>
        <v>0</v>
      </c>
      <c r="AG34" s="3" t="n">
        <f aca="false">SUMIFS('Por foco'!$AI$2:$AI$579,'Por foco'!$A$2:$A$579,$A34,'Por foco'!$B$2:$B$579,$B34)</f>
        <v>0</v>
      </c>
      <c r="AH34" s="3" t="n">
        <f aca="false">SUMIFS('Por foco'!$AJ$2:$AJ$579,'Por foco'!$A$2:$A$579,$A34,'Por foco'!$B$2:$B$579,$B34)</f>
        <v>0</v>
      </c>
      <c r="AI34" s="3" t="n">
        <f aca="false">SUMIFS('Por foco'!$AK$2:$AK$579,'Por foco'!$A$2:$A$579,$A34,'Por foco'!$B$2:$B$579,$B34)</f>
        <v>0</v>
      </c>
      <c r="AJ34" s="3" t="n">
        <f aca="false">SUMIFS('Por foco'!$AL$2:$AL$579,'Por foco'!$A$2:$A$579,$A34,'Por foco'!$B$2:$B$579,$B34)</f>
        <v>-5</v>
      </c>
      <c r="AK34" s="3" t="n">
        <f aca="false">SUMIFS('Por foco'!$AM$2:$AM$579,'Por foco'!$A$2:$A$579,$A34,'Por foco'!$B$2:$B$579,$B34)</f>
        <v>0</v>
      </c>
      <c r="AL34" s="3" t="n">
        <f aca="false">SUMIFS('Por foco'!$AN$2:$AN$579,'Por foco'!$A$2:$A$579,$A34,'Por foco'!$B$2:$B$579,$B34)</f>
        <v>0</v>
      </c>
      <c r="AM34" s="3" t="n">
        <f aca="false">SUMIFS('Por foco'!$AO$2:$AO$579,'Por foco'!$A$2:$A$579,$A34,'Por foco'!$B$2:$B$579,$B34)</f>
        <v>0</v>
      </c>
      <c r="AN34" s="3" t="n">
        <f aca="false">SUMIFS('Por foco'!$AP$2:$AP$579,'Por foco'!$A$2:$A$579,$A34,'Por foco'!$B$2:$B$579,$B34)</f>
        <v>0</v>
      </c>
      <c r="AO34" s="3" t="n">
        <f aca="false">SUMIFS('Por foco'!$AQ$2:$AQ$579,'Por foco'!$A$2:$A$579,$A34,'Por foco'!$B$2:$B$579,$B34)</f>
        <v>0</v>
      </c>
      <c r="AP34" s="3" t="n">
        <f aca="false">SUMIFS('Por foco'!$AR$2:$AR$579,'Por foco'!$A$2:$A$579,$A34,'Por foco'!$B$2:$B$579,$B34)</f>
        <v>0</v>
      </c>
      <c r="AQ34" s="3" t="n">
        <f aca="false">SUMIFS('Por foco'!$AS$2:$AS$579,'Por foco'!$A$2:$A$579,$A34,'Por foco'!$B$2:$B$579,$B34)</f>
        <v>0</v>
      </c>
      <c r="AR34" s="3" t="n">
        <f aca="false">SUMIFS('Por foco'!$AT$2:$AT$579,'Por foco'!$A$2:$A$579,$A34,'Por foco'!$B$2:$B$579,$B34)</f>
        <v>0</v>
      </c>
      <c r="AS34" s="3" t="n">
        <f aca="false">SUMIFS('Por foco'!$AU$2:$AU$579,'Por foco'!$A$2:$A$579,$A34,'Por foco'!$B$2:$B$579,$B34)</f>
        <v>0</v>
      </c>
      <c r="AT34" s="3" t="n">
        <f aca="false">SUMIFS('Por foco'!$AV$2:$AV$579,'Por foco'!$A$2:$A$579,$A34,'Por foco'!$B$2:$B$579,$B34)</f>
        <v>0</v>
      </c>
      <c r="AU34" s="3" t="n">
        <f aca="false">SUMIFS('Por foco'!$AW$2:$AW$579,'Por foco'!$A$2:$A$579,$A34,'Por foco'!$B$2:$B$579,$B34)</f>
        <v>0</v>
      </c>
      <c r="AV34" s="3" t="n">
        <f aca="false">SUMIFS('Por foco'!$AX$2:$AX$579,'Por foco'!$A$2:$A$579,$A34,'Por foco'!$B$2:$B$579,$B34)</f>
        <v>0</v>
      </c>
      <c r="AW34" s="3" t="n">
        <f aca="false">SUMIFS('Por foco'!$AY$2:$AY$579,'Por foco'!$A$2:$A$579,$A34,'Por foco'!$B$2:$B$579,$B34)</f>
        <v>0</v>
      </c>
      <c r="AX34" s="3" t="n">
        <f aca="false">SUMIFS('Por foco'!$AZ$2:$AZ$579,'Por foco'!$A$2:$A$579,$A34,'Por foco'!$B$2:$B$579,$B34)</f>
        <v>0</v>
      </c>
      <c r="AY34" s="3" t="n">
        <f aca="false">SUMIFS('Por foco'!$BA$2:$BA$579,'Por foco'!$A$2:$A$579,$A34,'Por foco'!$B$2:$B$579,$B34)</f>
        <v>0</v>
      </c>
      <c r="AZ34" s="3" t="n">
        <f aca="false">SUMIFS('Por foco'!$BB$2:$BB$579,'Por foco'!$A$2:$A$579,$A34,'Por foco'!$B$2:$B$579,$B34)</f>
        <v>0</v>
      </c>
      <c r="BA34" s="3" t="n">
        <f aca="false">SUMIFS('Por foco'!$BC$2:$BC$579,'Por foco'!$A$2:$A$579,$A34,'Por foco'!$B$2:$B$579,$B34)</f>
        <v>0</v>
      </c>
      <c r="BB34" s="3" t="n">
        <f aca="false">SUMIFS('Por foco'!$BD$2:$BD$579,'Por foco'!$A$2:$A$579,$A34,'Por foco'!$B$2:$B$579,$B34)</f>
        <v>0</v>
      </c>
      <c r="BC34" s="3" t="n">
        <f aca="false">SUMIFS('Por foco'!$BE$2:$BE$579,'Por foco'!$A$2:$A$579,$A34,'Por foco'!$B$2:$B$579,$B34)</f>
        <v>0</v>
      </c>
      <c r="BD34" s="3" t="n">
        <f aca="false">SUMIFS('Por foco'!$BF$2:$BF$579,'Por foco'!$A$2:$A$579,$A34,'Por foco'!$B$2:$B$579,$B34)</f>
        <v>0</v>
      </c>
      <c r="BE34" s="3" t="n">
        <f aca="false">SUMIFS('Por foco'!$BG$2:$BG$579,'Por foco'!$A$2:$A$579,$A34,'Por foco'!$B$2:$B$579,$B34)</f>
        <v>0</v>
      </c>
    </row>
    <row r="35" customFormat="false" ht="15" hidden="false" customHeight="false" outlineLevel="0" collapsed="false">
      <c r="A35" s="3" t="s">
        <v>63</v>
      </c>
      <c r="B35" s="3" t="s">
        <v>108</v>
      </c>
      <c r="C35" s="3" t="n">
        <f aca="false">COUNTIFS('Por foco'!$A$2:$A$579,$A35,'Por foco'!$B$2:$B$579,$B35)</f>
        <v>7</v>
      </c>
      <c r="D35" s="6" t="n">
        <f aca="false">SUMIFS('Por foco'!$F$2:$F$579,'Por foco'!$A$2:$A$579,$A35,'Por foco'!$B$2:$B$579,$B35)</f>
        <v>1293.5</v>
      </c>
      <c r="E35" s="3" t="n">
        <f aca="false">IF(C35=0,0,SUMIFS('Por foco'!$E$2:$E$579,'Por foco'!$A$2:$A$579,$A35,'Por foco'!$B$2:$B$579,$B35)/C35)</f>
        <v>0.571428571428571</v>
      </c>
      <c r="F35" s="3" t="n">
        <f aca="false">SUMIFS('Por foco'!$H$2:$H$579,'Por foco'!$A$2:$A$579,$A35,'Por foco'!$B$2:$B$579,$B35)</f>
        <v>469</v>
      </c>
      <c r="G35" s="3" t="n">
        <f aca="false">SUMIFS('Por foco'!$I$2:$I$579,'Por foco'!$A$2:$A$579,$A35,'Por foco'!$B$2:$B$579,$B35)</f>
        <v>100</v>
      </c>
      <c r="H35" s="3" t="n">
        <f aca="false">SUMIFS('Por foco'!$J$2:$J$579,'Por foco'!$A$2:$A$579,$A35,'Por foco'!$B$2:$B$579,$B35)</f>
        <v>0</v>
      </c>
      <c r="I35" s="3" t="n">
        <f aca="false">SUMIFS('Por foco'!$K$2:$K$579,'Por foco'!$A$2:$A$579,$A35,'Por foco'!$B$2:$B$579,$B35)</f>
        <v>0</v>
      </c>
      <c r="J35" s="3" t="n">
        <f aca="false">SUMIFS('Por foco'!$L$2:$L$579,'Por foco'!$A$2:$A$579,$A35,'Por foco'!$B$2:$B$579,$B35)</f>
        <v>0</v>
      </c>
      <c r="K35" s="3" t="n">
        <f aca="false">SUMIFS('Por foco'!$M$2:$M$579,'Por foco'!$A$2:$A$579,$A35,'Por foco'!$B$2:$B$579,$B35)</f>
        <v>0</v>
      </c>
      <c r="L35" s="3" t="n">
        <f aca="false">SUMIFS('Por foco'!$N$2:$N$579,'Por foco'!$A$2:$A$579,$A35,'Por foco'!$B$2:$B$579,$B35)</f>
        <v>0</v>
      </c>
      <c r="M35" s="3" t="n">
        <f aca="false">SUMIFS('Por foco'!$O$2:$O$579,'Por foco'!$A$2:$A$579,$A35,'Por foco'!$B$2:$B$579,$B35)</f>
        <v>0</v>
      </c>
      <c r="N35" s="3" t="n">
        <f aca="false">SUMIFS('Por foco'!$P$2:$P$579,'Por foco'!$A$2:$A$579,$A35,'Por foco'!$B$2:$B$579,$B35)</f>
        <v>0</v>
      </c>
      <c r="O35" s="3" t="n">
        <f aca="false">SUMIFS('Por foco'!$Q$2:$Q$579,'Por foco'!$A$2:$A$579,$A35,'Por foco'!$B$2:$B$579,$B35)</f>
        <v>0</v>
      </c>
      <c r="P35" s="3" t="n">
        <f aca="false">SUMIFS('Por foco'!$R$2:$R$579,'Por foco'!$A$2:$A$579,$A35,'Por foco'!$B$2:$B$579,$B35)</f>
        <v>7</v>
      </c>
      <c r="Q35" s="3" t="n">
        <f aca="false">SUMIFS('Por foco'!$S$2:$S$579,'Por foco'!$A$2:$A$579,$A35,'Por foco'!$B$2:$B$579,$B35)</f>
        <v>0</v>
      </c>
      <c r="R35" s="3" t="n">
        <f aca="false">SUMIFS('Por foco'!$T$2:$T$579,'Por foco'!$A$2:$A$579,$A35,'Por foco'!$B$2:$B$579,$B35)</f>
        <v>2</v>
      </c>
      <c r="S35" s="3" t="n">
        <f aca="false">SUMIFS('Por foco'!$U$2:$U$579,'Por foco'!$A$2:$A$579,$A35,'Por foco'!$B$2:$B$579,$B35)</f>
        <v>0</v>
      </c>
      <c r="T35" s="3" t="n">
        <f aca="false">SUMIFS('Por foco'!$V$2:$V$579,'Por foco'!$A$2:$A$579,$A35,'Por foco'!$B$2:$B$579,$B35)</f>
        <v>0</v>
      </c>
      <c r="U35" s="3" t="n">
        <f aca="false">SUMIFS('Por foco'!$W$2:$W$579,'Por foco'!$A$2:$A$579,$A35,'Por foco'!$B$2:$B$579,$B35)</f>
        <v>0</v>
      </c>
      <c r="V35" s="3" t="n">
        <f aca="false">SUMIFS('Por foco'!$X$2:$X$579,'Por foco'!$A$2:$A$579,$A35,'Por foco'!$B$2:$B$579,$B35)</f>
        <v>0</v>
      </c>
      <c r="W35" s="3" t="n">
        <f aca="false">SUMIFS('Por foco'!$Y$2:$Y$579,'Por foco'!$A$2:$A$579,$A35,'Por foco'!$B$2:$B$579,$B35)</f>
        <v>0</v>
      </c>
      <c r="X35" s="3" t="n">
        <f aca="false">SUMIFS('Por foco'!$Z$2:$Z$579,'Por foco'!$A$2:$A$579,$A35,'Por foco'!$B$2:$B$579,$B35)</f>
        <v>0</v>
      </c>
      <c r="Y35" s="3" t="n">
        <f aca="false">SUMIFS('Por foco'!$AA$2:$AA$579,'Por foco'!$A$2:$A$579,$A35,'Por foco'!$B$2:$B$579,$B35)</f>
        <v>-0.05</v>
      </c>
      <c r="Z35" s="3" t="n">
        <f aca="false">SUMIFS('Por foco'!$AB$2:$AB$579,'Por foco'!$A$2:$A$579,$A35,'Por foco'!$B$2:$B$579,$B35)</f>
        <v>0</v>
      </c>
      <c r="AA35" s="3" t="n">
        <f aca="false">SUMIFS('Por foco'!$AC$2:$AC$579,'Por foco'!$A$2:$A$579,$A35,'Por foco'!$B$2:$B$579,$B35)</f>
        <v>-10</v>
      </c>
      <c r="AB35" s="3" t="n">
        <f aca="false">SUMIFS('Por foco'!$AD$2:$AD$579,'Por foco'!$A$2:$A$579,$A35,'Por foco'!$B$2:$B$579,$B35)</f>
        <v>0</v>
      </c>
      <c r="AC35" s="3" t="n">
        <f aca="false">SUMIFS('Por foco'!$AE$2:$AE$579,'Por foco'!$A$2:$A$579,$A35,'Por foco'!$B$2:$B$579,$B35)</f>
        <v>40</v>
      </c>
      <c r="AD35" s="3" t="n">
        <f aca="false">SUMIFS('Por foco'!$AF$2:$AF$579,'Por foco'!$A$2:$A$579,$A35,'Por foco'!$B$2:$B$579,$B35)</f>
        <v>0</v>
      </c>
      <c r="AE35" s="3" t="n">
        <f aca="false">SUMIFS('Por foco'!$AG$2:$AG$579,'Por foco'!$A$2:$A$579,$A35,'Por foco'!$B$2:$B$579,$B35)</f>
        <v>10</v>
      </c>
      <c r="AF35" s="3" t="n">
        <f aca="false">SUMIFS('Por foco'!$AH$2:$AH$579,'Por foco'!$A$2:$A$579,$A35,'Por foco'!$B$2:$B$579,$B35)</f>
        <v>0</v>
      </c>
      <c r="AG35" s="3" t="n">
        <f aca="false">SUMIFS('Por foco'!$AI$2:$AI$579,'Por foco'!$A$2:$A$579,$A35,'Por foco'!$B$2:$B$579,$B35)</f>
        <v>0</v>
      </c>
      <c r="AH35" s="3" t="n">
        <f aca="false">SUMIFS('Por foco'!$AJ$2:$AJ$579,'Por foco'!$A$2:$A$579,$A35,'Por foco'!$B$2:$B$579,$B35)</f>
        <v>0</v>
      </c>
      <c r="AI35" s="3" t="n">
        <f aca="false">SUMIFS('Por foco'!$AK$2:$AK$579,'Por foco'!$A$2:$A$579,$A35,'Por foco'!$B$2:$B$579,$B35)</f>
        <v>0</v>
      </c>
      <c r="AJ35" s="3" t="n">
        <f aca="false">SUMIFS('Por foco'!$AL$2:$AL$579,'Por foco'!$A$2:$A$579,$A35,'Por foco'!$B$2:$B$579,$B35)</f>
        <v>-5</v>
      </c>
      <c r="AK35" s="3" t="n">
        <f aca="false">SUMIFS('Por foco'!$AM$2:$AM$579,'Por foco'!$A$2:$A$579,$A35,'Por foco'!$B$2:$B$579,$B35)</f>
        <v>0</v>
      </c>
      <c r="AL35" s="3" t="n">
        <f aca="false">SUMIFS('Por foco'!$AN$2:$AN$579,'Por foco'!$A$2:$A$579,$A35,'Por foco'!$B$2:$B$579,$B35)</f>
        <v>0</v>
      </c>
      <c r="AM35" s="3" t="n">
        <f aca="false">SUMIFS('Por foco'!$AO$2:$AO$579,'Por foco'!$A$2:$A$579,$A35,'Por foco'!$B$2:$B$579,$B35)</f>
        <v>0</v>
      </c>
      <c r="AN35" s="3" t="n">
        <f aca="false">SUMIFS('Por foco'!$AP$2:$AP$579,'Por foco'!$A$2:$A$579,$A35,'Por foco'!$B$2:$B$579,$B35)</f>
        <v>0</v>
      </c>
      <c r="AO35" s="3" t="n">
        <f aca="false">SUMIFS('Por foco'!$AQ$2:$AQ$579,'Por foco'!$A$2:$A$579,$A35,'Por foco'!$B$2:$B$579,$B35)</f>
        <v>0</v>
      </c>
      <c r="AP35" s="3" t="n">
        <f aca="false">SUMIFS('Por foco'!$AR$2:$AR$579,'Por foco'!$A$2:$A$579,$A35,'Por foco'!$B$2:$B$579,$B35)</f>
        <v>0</v>
      </c>
      <c r="AQ35" s="3" t="n">
        <f aca="false">SUMIFS('Por foco'!$AS$2:$AS$579,'Por foco'!$A$2:$A$579,$A35,'Por foco'!$B$2:$B$579,$B35)</f>
        <v>0</v>
      </c>
      <c r="AR35" s="3" t="n">
        <f aca="false">SUMIFS('Por foco'!$AT$2:$AT$579,'Por foco'!$A$2:$A$579,$A35,'Por foco'!$B$2:$B$579,$B35)</f>
        <v>0</v>
      </c>
      <c r="AS35" s="3" t="n">
        <f aca="false">SUMIFS('Por foco'!$AU$2:$AU$579,'Por foco'!$A$2:$A$579,$A35,'Por foco'!$B$2:$B$579,$B35)</f>
        <v>0</v>
      </c>
      <c r="AT35" s="3" t="n">
        <f aca="false">SUMIFS('Por foco'!$AV$2:$AV$579,'Por foco'!$A$2:$A$579,$A35,'Por foco'!$B$2:$B$579,$B35)</f>
        <v>0</v>
      </c>
      <c r="AU35" s="3" t="n">
        <f aca="false">SUMIFS('Por foco'!$AW$2:$AW$579,'Por foco'!$A$2:$A$579,$A35,'Por foco'!$B$2:$B$579,$B35)</f>
        <v>0</v>
      </c>
      <c r="AV35" s="3" t="n">
        <f aca="false">SUMIFS('Por foco'!$AX$2:$AX$579,'Por foco'!$A$2:$A$579,$A35,'Por foco'!$B$2:$B$579,$B35)</f>
        <v>0</v>
      </c>
      <c r="AW35" s="3" t="n">
        <f aca="false">SUMIFS('Por foco'!$AY$2:$AY$579,'Por foco'!$A$2:$A$579,$A35,'Por foco'!$B$2:$B$579,$B35)</f>
        <v>0</v>
      </c>
      <c r="AX35" s="3" t="n">
        <f aca="false">SUMIFS('Por foco'!$AZ$2:$AZ$579,'Por foco'!$A$2:$A$579,$A35,'Por foco'!$B$2:$B$579,$B35)</f>
        <v>0</v>
      </c>
      <c r="AY35" s="3" t="n">
        <f aca="false">SUMIFS('Por foco'!$BA$2:$BA$579,'Por foco'!$A$2:$A$579,$A35,'Por foco'!$B$2:$B$579,$B35)</f>
        <v>0</v>
      </c>
      <c r="AZ35" s="3" t="n">
        <f aca="false">SUMIFS('Por foco'!$BB$2:$BB$579,'Por foco'!$A$2:$A$579,$A35,'Por foco'!$B$2:$B$579,$B35)</f>
        <v>0</v>
      </c>
      <c r="BA35" s="3" t="n">
        <f aca="false">SUMIFS('Por foco'!$BC$2:$BC$579,'Por foco'!$A$2:$A$579,$A35,'Por foco'!$B$2:$B$579,$B35)</f>
        <v>0</v>
      </c>
      <c r="BB35" s="3" t="n">
        <f aca="false">SUMIFS('Por foco'!$BD$2:$BD$579,'Por foco'!$A$2:$A$579,$A35,'Por foco'!$B$2:$B$579,$B35)</f>
        <v>0</v>
      </c>
      <c r="BC35" s="3" t="n">
        <f aca="false">SUMIFS('Por foco'!$BE$2:$BE$579,'Por foco'!$A$2:$A$579,$A35,'Por foco'!$B$2:$B$579,$B35)</f>
        <v>0</v>
      </c>
      <c r="BD35" s="3" t="n">
        <f aca="false">SUMIFS('Por foco'!$BF$2:$BF$579,'Por foco'!$A$2:$A$579,$A35,'Por foco'!$B$2:$B$579,$B35)</f>
        <v>0</v>
      </c>
      <c r="BE35" s="3" t="n">
        <f aca="false">SUMIFS('Por foco'!$BG$2:$BG$579,'Por foco'!$A$2:$A$579,$A35,'Por foco'!$B$2:$B$579,$B35)</f>
        <v>0</v>
      </c>
    </row>
    <row r="36" customFormat="false" ht="15" hidden="false" customHeight="false" outlineLevel="0" collapsed="false">
      <c r="A36" s="3" t="s">
        <v>63</v>
      </c>
      <c r="B36" s="3" t="s">
        <v>109</v>
      </c>
      <c r="C36" s="3" t="n">
        <f aca="false">COUNTIFS('Por foco'!$A$2:$A$579,$A36,'Por foco'!$B$2:$B$579,$B36)</f>
        <v>6</v>
      </c>
      <c r="D36" s="6" t="n">
        <f aca="false">SUMIFS('Por foco'!$F$2:$F$579,'Por foco'!$A$2:$A$579,$A36,'Por foco'!$B$2:$B$579,$B36)</f>
        <v>872.5</v>
      </c>
      <c r="E36" s="3" t="n">
        <f aca="false">IF(C36=0,0,SUMIFS('Por foco'!$E$2:$E$579,'Por foco'!$A$2:$A$579,$A36,'Por foco'!$B$2:$B$579,$B36)/C36)</f>
        <v>0.5</v>
      </c>
      <c r="F36" s="3" t="n">
        <f aca="false">SUMIFS('Por foco'!$H$2:$H$579,'Por foco'!$A$2:$A$579,$A36,'Por foco'!$B$2:$B$579,$B36)</f>
        <v>420</v>
      </c>
      <c r="G36" s="3" t="n">
        <f aca="false">SUMIFS('Por foco'!$I$2:$I$579,'Por foco'!$A$2:$A$579,$A36,'Por foco'!$B$2:$B$579,$B36)</f>
        <v>100</v>
      </c>
      <c r="H36" s="3" t="n">
        <f aca="false">SUMIFS('Por foco'!$J$2:$J$579,'Por foco'!$A$2:$A$579,$A36,'Por foco'!$B$2:$B$579,$B36)</f>
        <v>0</v>
      </c>
      <c r="I36" s="3" t="n">
        <f aca="false">SUMIFS('Por foco'!$K$2:$K$579,'Por foco'!$A$2:$A$579,$A36,'Por foco'!$B$2:$B$579,$B36)</f>
        <v>0</v>
      </c>
      <c r="J36" s="3" t="n">
        <f aca="false">SUMIFS('Por foco'!$L$2:$L$579,'Por foco'!$A$2:$A$579,$A36,'Por foco'!$B$2:$B$579,$B36)</f>
        <v>0</v>
      </c>
      <c r="K36" s="3" t="n">
        <f aca="false">SUMIFS('Por foco'!$M$2:$M$579,'Por foco'!$A$2:$A$579,$A36,'Por foco'!$B$2:$B$579,$B36)</f>
        <v>0</v>
      </c>
      <c r="L36" s="3" t="n">
        <f aca="false">SUMIFS('Por foco'!$N$2:$N$579,'Por foco'!$A$2:$A$579,$A36,'Por foco'!$B$2:$B$579,$B36)</f>
        <v>25</v>
      </c>
      <c r="M36" s="3" t="n">
        <f aca="false">SUMIFS('Por foco'!$O$2:$O$579,'Por foco'!$A$2:$A$579,$A36,'Por foco'!$B$2:$B$579,$B36)</f>
        <v>0</v>
      </c>
      <c r="N36" s="3" t="n">
        <f aca="false">SUMIFS('Por foco'!$P$2:$P$579,'Por foco'!$A$2:$A$579,$A36,'Por foco'!$B$2:$B$579,$B36)</f>
        <v>0</v>
      </c>
      <c r="O36" s="3" t="n">
        <f aca="false">SUMIFS('Por foco'!$Q$2:$Q$579,'Por foco'!$A$2:$A$579,$A36,'Por foco'!$B$2:$B$579,$B36)</f>
        <v>0</v>
      </c>
      <c r="P36" s="3" t="n">
        <f aca="false">SUMIFS('Por foco'!$R$2:$R$579,'Por foco'!$A$2:$A$579,$A36,'Por foco'!$B$2:$B$579,$B36)</f>
        <v>0</v>
      </c>
      <c r="Q36" s="3" t="n">
        <f aca="false">SUMIFS('Por foco'!$S$2:$S$579,'Por foco'!$A$2:$A$579,$A36,'Por foco'!$B$2:$B$579,$B36)</f>
        <v>3</v>
      </c>
      <c r="R36" s="3" t="n">
        <f aca="false">SUMIFS('Por foco'!$T$2:$T$579,'Por foco'!$A$2:$A$579,$A36,'Por foco'!$B$2:$B$579,$B36)</f>
        <v>3</v>
      </c>
      <c r="S36" s="3" t="n">
        <f aca="false">SUMIFS('Por foco'!$U$2:$U$579,'Por foco'!$A$2:$A$579,$A36,'Por foco'!$B$2:$B$579,$B36)</f>
        <v>0</v>
      </c>
      <c r="T36" s="3" t="n">
        <f aca="false">SUMIFS('Por foco'!$V$2:$V$579,'Por foco'!$A$2:$A$579,$A36,'Por foco'!$B$2:$B$579,$B36)</f>
        <v>0</v>
      </c>
      <c r="U36" s="3" t="n">
        <f aca="false">SUMIFS('Por foco'!$W$2:$W$579,'Por foco'!$A$2:$A$579,$A36,'Por foco'!$B$2:$B$579,$B36)</f>
        <v>0</v>
      </c>
      <c r="V36" s="3" t="n">
        <f aca="false">SUMIFS('Por foco'!$X$2:$X$579,'Por foco'!$A$2:$A$579,$A36,'Por foco'!$B$2:$B$579,$B36)</f>
        <v>0</v>
      </c>
      <c r="W36" s="3" t="n">
        <f aca="false">SUMIFS('Por foco'!$Y$2:$Y$579,'Por foco'!$A$2:$A$579,$A36,'Por foco'!$B$2:$B$579,$B36)</f>
        <v>0</v>
      </c>
      <c r="X36" s="3" t="n">
        <f aca="false">SUMIFS('Por foco'!$Z$2:$Z$579,'Por foco'!$A$2:$A$579,$A36,'Por foco'!$B$2:$B$579,$B36)</f>
        <v>0</v>
      </c>
      <c r="Y36" s="3" t="n">
        <f aca="false">SUMIFS('Por foco'!$AA$2:$AA$579,'Por foco'!$A$2:$A$579,$A36,'Por foco'!$B$2:$B$579,$B36)</f>
        <v>0.25</v>
      </c>
      <c r="Z36" s="3" t="n">
        <f aca="false">SUMIFS('Por foco'!$AB$2:$AB$579,'Por foco'!$A$2:$A$579,$A36,'Por foco'!$B$2:$B$579,$B36)</f>
        <v>-5</v>
      </c>
      <c r="AA36" s="3" t="n">
        <f aca="false">SUMIFS('Por foco'!$AC$2:$AC$579,'Por foco'!$A$2:$A$579,$A36,'Por foco'!$B$2:$B$579,$B36)</f>
        <v>10</v>
      </c>
      <c r="AB36" s="3" t="n">
        <f aca="false">SUMIFS('Por foco'!$AD$2:$AD$579,'Por foco'!$A$2:$A$579,$A36,'Por foco'!$B$2:$B$579,$B36)</f>
        <v>0</v>
      </c>
      <c r="AC36" s="3" t="n">
        <f aca="false">SUMIFS('Por foco'!$AE$2:$AE$579,'Por foco'!$A$2:$A$579,$A36,'Por foco'!$B$2:$B$579,$B36)</f>
        <v>-35</v>
      </c>
      <c r="AD36" s="3" t="n">
        <f aca="false">SUMIFS('Por foco'!$AF$2:$AF$579,'Por foco'!$A$2:$A$579,$A36,'Por foco'!$B$2:$B$579,$B36)</f>
        <v>0</v>
      </c>
      <c r="AE36" s="3" t="n">
        <f aca="false">SUMIFS('Por foco'!$AG$2:$AG$579,'Por foco'!$A$2:$A$579,$A36,'Por foco'!$B$2:$B$579,$B36)</f>
        <v>0</v>
      </c>
      <c r="AF36" s="3" t="n">
        <f aca="false">SUMIFS('Por foco'!$AH$2:$AH$579,'Por foco'!$A$2:$A$579,$A36,'Por foco'!$B$2:$B$579,$B36)</f>
        <v>10</v>
      </c>
      <c r="AG36" s="3" t="n">
        <f aca="false">SUMIFS('Por foco'!$AI$2:$AI$579,'Por foco'!$A$2:$A$579,$A36,'Por foco'!$B$2:$B$579,$B36)</f>
        <v>0</v>
      </c>
      <c r="AH36" s="3" t="n">
        <f aca="false">SUMIFS('Por foco'!$AJ$2:$AJ$579,'Por foco'!$A$2:$A$579,$A36,'Por foco'!$B$2:$B$579,$B36)</f>
        <v>0</v>
      </c>
      <c r="AI36" s="3" t="n">
        <f aca="false">SUMIFS('Por foco'!$AK$2:$AK$579,'Por foco'!$A$2:$A$579,$A36,'Por foco'!$B$2:$B$579,$B36)</f>
        <v>0</v>
      </c>
      <c r="AJ36" s="3" t="n">
        <f aca="false">SUMIFS('Por foco'!$AL$2:$AL$579,'Por foco'!$A$2:$A$579,$A36,'Por foco'!$B$2:$B$579,$B36)</f>
        <v>0</v>
      </c>
      <c r="AK36" s="3" t="n">
        <f aca="false">SUMIFS('Por foco'!$AM$2:$AM$579,'Por foco'!$A$2:$A$579,$A36,'Por foco'!$B$2:$B$579,$B36)</f>
        <v>0</v>
      </c>
      <c r="AL36" s="3" t="n">
        <f aca="false">SUMIFS('Por foco'!$AN$2:$AN$579,'Por foco'!$A$2:$A$579,$A36,'Por foco'!$B$2:$B$579,$B36)</f>
        <v>0</v>
      </c>
      <c r="AM36" s="3" t="n">
        <f aca="false">SUMIFS('Por foco'!$AO$2:$AO$579,'Por foco'!$A$2:$A$579,$A36,'Por foco'!$B$2:$B$579,$B36)</f>
        <v>0</v>
      </c>
      <c r="AN36" s="3" t="n">
        <f aca="false">SUMIFS('Por foco'!$AP$2:$AP$579,'Por foco'!$A$2:$A$579,$A36,'Por foco'!$B$2:$B$579,$B36)</f>
        <v>0</v>
      </c>
      <c r="AO36" s="3" t="n">
        <f aca="false">SUMIFS('Por foco'!$AQ$2:$AQ$579,'Por foco'!$A$2:$A$579,$A36,'Por foco'!$B$2:$B$579,$B36)</f>
        <v>0</v>
      </c>
      <c r="AP36" s="3" t="n">
        <f aca="false">SUMIFS('Por foco'!$AR$2:$AR$579,'Por foco'!$A$2:$A$579,$A36,'Por foco'!$B$2:$B$579,$B36)</f>
        <v>0</v>
      </c>
      <c r="AQ36" s="3" t="n">
        <f aca="false">SUMIFS('Por foco'!$AS$2:$AS$579,'Por foco'!$A$2:$A$579,$A36,'Por foco'!$B$2:$B$579,$B36)</f>
        <v>0</v>
      </c>
      <c r="AR36" s="3" t="n">
        <f aca="false">SUMIFS('Por foco'!$AT$2:$AT$579,'Por foco'!$A$2:$A$579,$A36,'Por foco'!$B$2:$B$579,$B36)</f>
        <v>0</v>
      </c>
      <c r="AS36" s="3" t="n">
        <f aca="false">SUMIFS('Por foco'!$AU$2:$AU$579,'Por foco'!$A$2:$A$579,$A36,'Por foco'!$B$2:$B$579,$B36)</f>
        <v>0</v>
      </c>
      <c r="AT36" s="3" t="n">
        <f aca="false">SUMIFS('Por foco'!$AV$2:$AV$579,'Por foco'!$A$2:$A$579,$A36,'Por foco'!$B$2:$B$579,$B36)</f>
        <v>0</v>
      </c>
      <c r="AU36" s="3" t="n">
        <f aca="false">SUMIFS('Por foco'!$AW$2:$AW$579,'Por foco'!$A$2:$A$579,$A36,'Por foco'!$B$2:$B$579,$B36)</f>
        <v>0</v>
      </c>
      <c r="AV36" s="3" t="n">
        <f aca="false">SUMIFS('Por foco'!$AX$2:$AX$579,'Por foco'!$A$2:$A$579,$A36,'Por foco'!$B$2:$B$579,$B36)</f>
        <v>0</v>
      </c>
      <c r="AW36" s="3" t="n">
        <f aca="false">SUMIFS('Por foco'!$AY$2:$AY$579,'Por foco'!$A$2:$A$579,$A36,'Por foco'!$B$2:$B$579,$B36)</f>
        <v>0</v>
      </c>
      <c r="AX36" s="3" t="n">
        <f aca="false">SUMIFS('Por foco'!$AZ$2:$AZ$579,'Por foco'!$A$2:$A$579,$A36,'Por foco'!$B$2:$B$579,$B36)</f>
        <v>0</v>
      </c>
      <c r="AY36" s="3" t="n">
        <f aca="false">SUMIFS('Por foco'!$BA$2:$BA$579,'Por foco'!$A$2:$A$579,$A36,'Por foco'!$B$2:$B$579,$B36)</f>
        <v>0</v>
      </c>
      <c r="AZ36" s="3" t="n">
        <f aca="false">SUMIFS('Por foco'!$BB$2:$BB$579,'Por foco'!$A$2:$A$579,$A36,'Por foco'!$B$2:$B$579,$B36)</f>
        <v>0</v>
      </c>
      <c r="BA36" s="3" t="n">
        <f aca="false">SUMIFS('Por foco'!$BC$2:$BC$579,'Por foco'!$A$2:$A$579,$A36,'Por foco'!$B$2:$B$579,$B36)</f>
        <v>0</v>
      </c>
      <c r="BB36" s="3" t="n">
        <f aca="false">SUMIFS('Por foco'!$BD$2:$BD$579,'Por foco'!$A$2:$A$579,$A36,'Por foco'!$B$2:$B$579,$B36)</f>
        <v>0</v>
      </c>
      <c r="BC36" s="3" t="n">
        <f aca="false">SUMIFS('Por foco'!$BE$2:$BE$579,'Por foco'!$A$2:$A$579,$A36,'Por foco'!$B$2:$B$579,$B36)</f>
        <v>0</v>
      </c>
      <c r="BD36" s="3" t="n">
        <f aca="false">SUMIFS('Por foco'!$BF$2:$BF$579,'Por foco'!$A$2:$A$579,$A36,'Por foco'!$B$2:$B$579,$B36)</f>
        <v>0</v>
      </c>
      <c r="BE36" s="3" t="n">
        <f aca="false">SUMIFS('Por foco'!$BG$2:$BG$579,'Por foco'!$A$2:$A$579,$A36,'Por foco'!$B$2:$B$579,$B36)</f>
        <v>0</v>
      </c>
    </row>
    <row r="37" customFormat="false" ht="15" hidden="false" customHeight="false" outlineLevel="0" collapsed="false">
      <c r="A37" s="3" t="s">
        <v>63</v>
      </c>
      <c r="B37" s="3" t="s">
        <v>110</v>
      </c>
      <c r="C37" s="3" t="n">
        <f aca="false">COUNTIFS('Por foco'!$A$2:$A$579,$A37,'Por foco'!$B$2:$B$579,$B37)</f>
        <v>6</v>
      </c>
      <c r="D37" s="6" t="n">
        <f aca="false">SUMIFS('Por foco'!$F$2:$F$579,'Por foco'!$A$2:$A$579,$A37,'Por foco'!$B$2:$B$579,$B37)</f>
        <v>1580</v>
      </c>
      <c r="E37" s="3" t="n">
        <f aca="false">IF(C37=0,0,SUMIFS('Por foco'!$E$2:$E$579,'Por foco'!$A$2:$A$579,$A37,'Por foco'!$B$2:$B$579,$B37)/C37)</f>
        <v>1</v>
      </c>
      <c r="F37" s="3" t="n">
        <f aca="false">SUMIFS('Por foco'!$H$2:$H$579,'Por foco'!$A$2:$A$579,$A37,'Por foco'!$B$2:$B$579,$B37)</f>
        <v>399</v>
      </c>
      <c r="G37" s="3" t="n">
        <f aca="false">SUMIFS('Por foco'!$I$2:$I$579,'Por foco'!$A$2:$A$579,$A37,'Por foco'!$B$2:$B$579,$B37)</f>
        <v>0</v>
      </c>
      <c r="H37" s="3" t="n">
        <f aca="false">SUMIFS('Por foco'!$J$2:$J$579,'Por foco'!$A$2:$A$579,$A37,'Por foco'!$B$2:$B$579,$B37)</f>
        <v>0</v>
      </c>
      <c r="I37" s="3" t="n">
        <f aca="false">SUMIFS('Por foco'!$K$2:$K$579,'Por foco'!$A$2:$A$579,$A37,'Por foco'!$B$2:$B$579,$B37)</f>
        <v>0</v>
      </c>
      <c r="J37" s="3" t="n">
        <f aca="false">SUMIFS('Por foco'!$L$2:$L$579,'Por foco'!$A$2:$A$579,$A37,'Por foco'!$B$2:$B$579,$B37)</f>
        <v>0</v>
      </c>
      <c r="K37" s="3" t="n">
        <f aca="false">SUMIFS('Por foco'!$M$2:$M$579,'Por foco'!$A$2:$A$579,$A37,'Por foco'!$B$2:$B$579,$B37)</f>
        <v>0</v>
      </c>
      <c r="L37" s="3" t="n">
        <f aca="false">SUMIFS('Por foco'!$N$2:$N$579,'Por foco'!$A$2:$A$579,$A37,'Por foco'!$B$2:$B$579,$B37)</f>
        <v>0</v>
      </c>
      <c r="M37" s="3" t="n">
        <f aca="false">SUMIFS('Por foco'!$O$2:$O$579,'Por foco'!$A$2:$A$579,$A37,'Por foco'!$B$2:$B$579,$B37)</f>
        <v>0</v>
      </c>
      <c r="N37" s="3" t="n">
        <f aca="false">SUMIFS('Por foco'!$P$2:$P$579,'Por foco'!$A$2:$A$579,$A37,'Por foco'!$B$2:$B$579,$B37)</f>
        <v>1</v>
      </c>
      <c r="O37" s="3" t="n">
        <f aca="false">SUMIFS('Por foco'!$Q$2:$Q$579,'Por foco'!$A$2:$A$579,$A37,'Por foco'!$B$2:$B$579,$B37)</f>
        <v>3</v>
      </c>
      <c r="P37" s="3" t="n">
        <f aca="false">SUMIFS('Por foco'!$R$2:$R$579,'Por foco'!$A$2:$A$579,$A37,'Por foco'!$B$2:$B$579,$B37)</f>
        <v>3</v>
      </c>
      <c r="Q37" s="3" t="n">
        <f aca="false">SUMIFS('Por foco'!$S$2:$S$579,'Por foco'!$A$2:$A$579,$A37,'Por foco'!$B$2:$B$579,$B37)</f>
        <v>0</v>
      </c>
      <c r="R37" s="3" t="n">
        <f aca="false">SUMIFS('Por foco'!$T$2:$T$579,'Por foco'!$A$2:$A$579,$A37,'Por foco'!$B$2:$B$579,$B37)</f>
        <v>4</v>
      </c>
      <c r="S37" s="3" t="n">
        <f aca="false">SUMIFS('Por foco'!$U$2:$U$579,'Por foco'!$A$2:$A$579,$A37,'Por foco'!$B$2:$B$579,$B37)</f>
        <v>1</v>
      </c>
      <c r="T37" s="3" t="n">
        <f aca="false">SUMIFS('Por foco'!$V$2:$V$579,'Por foco'!$A$2:$A$579,$A37,'Por foco'!$B$2:$B$579,$B37)</f>
        <v>0</v>
      </c>
      <c r="U37" s="3" t="n">
        <f aca="false">SUMIFS('Por foco'!$W$2:$W$579,'Por foco'!$A$2:$A$579,$A37,'Por foco'!$B$2:$B$579,$B37)</f>
        <v>0</v>
      </c>
      <c r="V37" s="3" t="n">
        <f aca="false">SUMIFS('Por foco'!$X$2:$X$579,'Por foco'!$A$2:$A$579,$A37,'Por foco'!$B$2:$B$579,$B37)</f>
        <v>0</v>
      </c>
      <c r="W37" s="3" t="n">
        <f aca="false">SUMIFS('Por foco'!$Y$2:$Y$579,'Por foco'!$A$2:$A$579,$A37,'Por foco'!$B$2:$B$579,$B37)</f>
        <v>0</v>
      </c>
      <c r="X37" s="3" t="n">
        <f aca="false">SUMIFS('Por foco'!$Z$2:$Z$579,'Por foco'!$A$2:$A$579,$A37,'Por foco'!$B$2:$B$579,$B37)</f>
        <v>0</v>
      </c>
      <c r="Y37" s="3" t="n">
        <f aca="false">SUMIFS('Por foco'!$AA$2:$AA$579,'Por foco'!$A$2:$A$579,$A37,'Por foco'!$B$2:$B$579,$B37)</f>
        <v>0</v>
      </c>
      <c r="Z37" s="3" t="n">
        <f aca="false">SUMIFS('Por foco'!$AB$2:$AB$579,'Por foco'!$A$2:$A$579,$A37,'Por foco'!$B$2:$B$579,$B37)</f>
        <v>0</v>
      </c>
      <c r="AA37" s="3" t="n">
        <f aca="false">SUMIFS('Por foco'!$AC$2:$AC$579,'Por foco'!$A$2:$A$579,$A37,'Por foco'!$B$2:$B$579,$B37)</f>
        <v>0</v>
      </c>
      <c r="AB37" s="3" t="n">
        <f aca="false">SUMIFS('Por foco'!$AD$2:$AD$579,'Por foco'!$A$2:$A$579,$A37,'Por foco'!$B$2:$B$579,$B37)</f>
        <v>0</v>
      </c>
      <c r="AC37" s="3" t="n">
        <f aca="false">SUMIFS('Por foco'!$AE$2:$AE$579,'Por foco'!$A$2:$A$579,$A37,'Por foco'!$B$2:$B$579,$B37)</f>
        <v>0</v>
      </c>
      <c r="AD37" s="3" t="n">
        <f aca="false">SUMIFS('Por foco'!$AF$2:$AF$579,'Por foco'!$A$2:$A$579,$A37,'Por foco'!$B$2:$B$579,$B37)</f>
        <v>0</v>
      </c>
      <c r="AE37" s="3" t="n">
        <f aca="false">SUMIFS('Por foco'!$AG$2:$AG$579,'Por foco'!$A$2:$A$579,$A37,'Por foco'!$B$2:$B$579,$B37)</f>
        <v>5</v>
      </c>
      <c r="AF37" s="3" t="n">
        <f aca="false">SUMIFS('Por foco'!$AH$2:$AH$579,'Por foco'!$A$2:$A$579,$A37,'Por foco'!$B$2:$B$579,$B37)</f>
        <v>20</v>
      </c>
      <c r="AG37" s="3" t="n">
        <f aca="false">SUMIFS('Por foco'!$AI$2:$AI$579,'Por foco'!$A$2:$A$579,$A37,'Por foco'!$B$2:$B$579,$B37)</f>
        <v>10</v>
      </c>
      <c r="AH37" s="3" t="n">
        <f aca="false">SUMIFS('Por foco'!$AJ$2:$AJ$579,'Por foco'!$A$2:$A$579,$A37,'Por foco'!$B$2:$B$579,$B37)</f>
        <v>0</v>
      </c>
      <c r="AI37" s="3" t="n">
        <f aca="false">SUMIFS('Por foco'!$AK$2:$AK$579,'Por foco'!$A$2:$A$579,$A37,'Por foco'!$B$2:$B$579,$B37)</f>
        <v>0</v>
      </c>
      <c r="AJ37" s="3" t="n">
        <f aca="false">SUMIFS('Por foco'!$AL$2:$AL$579,'Por foco'!$A$2:$A$579,$A37,'Por foco'!$B$2:$B$579,$B37)</f>
        <v>0</v>
      </c>
      <c r="AK37" s="3" t="n">
        <f aca="false">SUMIFS('Por foco'!$AM$2:$AM$579,'Por foco'!$A$2:$A$579,$A37,'Por foco'!$B$2:$B$579,$B37)</f>
        <v>0</v>
      </c>
      <c r="AL37" s="3" t="n">
        <f aca="false">SUMIFS('Por foco'!$AN$2:$AN$579,'Por foco'!$A$2:$A$579,$A37,'Por foco'!$B$2:$B$579,$B37)</f>
        <v>0</v>
      </c>
      <c r="AM37" s="3" t="n">
        <f aca="false">SUMIFS('Por foco'!$AO$2:$AO$579,'Por foco'!$A$2:$A$579,$A37,'Por foco'!$B$2:$B$579,$B37)</f>
        <v>0</v>
      </c>
      <c r="AN37" s="3" t="n">
        <f aca="false">SUMIFS('Por foco'!$AP$2:$AP$579,'Por foco'!$A$2:$A$579,$A37,'Por foco'!$B$2:$B$579,$B37)</f>
        <v>0</v>
      </c>
      <c r="AO37" s="3" t="n">
        <f aca="false">SUMIFS('Por foco'!$AQ$2:$AQ$579,'Por foco'!$A$2:$A$579,$A37,'Por foco'!$B$2:$B$579,$B37)</f>
        <v>0</v>
      </c>
      <c r="AP37" s="3" t="n">
        <f aca="false">SUMIFS('Por foco'!$AR$2:$AR$579,'Por foco'!$A$2:$A$579,$A37,'Por foco'!$B$2:$B$579,$B37)</f>
        <v>0</v>
      </c>
      <c r="AQ37" s="3" t="n">
        <f aca="false">SUMIFS('Por foco'!$AS$2:$AS$579,'Por foco'!$A$2:$A$579,$A37,'Por foco'!$B$2:$B$579,$B37)</f>
        <v>0</v>
      </c>
      <c r="AR37" s="3" t="n">
        <f aca="false">SUMIFS('Por foco'!$AT$2:$AT$579,'Por foco'!$A$2:$A$579,$A37,'Por foco'!$B$2:$B$579,$B37)</f>
        <v>0</v>
      </c>
      <c r="AS37" s="3" t="n">
        <f aca="false">SUMIFS('Por foco'!$AU$2:$AU$579,'Por foco'!$A$2:$A$579,$A37,'Por foco'!$B$2:$B$579,$B37)</f>
        <v>0</v>
      </c>
      <c r="AT37" s="3" t="n">
        <f aca="false">SUMIFS('Por foco'!$AV$2:$AV$579,'Por foco'!$A$2:$A$579,$A37,'Por foco'!$B$2:$B$579,$B37)</f>
        <v>0</v>
      </c>
      <c r="AU37" s="3" t="n">
        <f aca="false">SUMIFS('Por foco'!$AW$2:$AW$579,'Por foco'!$A$2:$A$579,$A37,'Por foco'!$B$2:$B$579,$B37)</f>
        <v>0</v>
      </c>
      <c r="AV37" s="3" t="n">
        <f aca="false">SUMIFS('Por foco'!$AX$2:$AX$579,'Por foco'!$A$2:$A$579,$A37,'Por foco'!$B$2:$B$579,$B37)</f>
        <v>0</v>
      </c>
      <c r="AW37" s="3" t="n">
        <f aca="false">SUMIFS('Por foco'!$AY$2:$AY$579,'Por foco'!$A$2:$A$579,$A37,'Por foco'!$B$2:$B$579,$B37)</f>
        <v>0</v>
      </c>
      <c r="AX37" s="3" t="n">
        <f aca="false">SUMIFS('Por foco'!$AZ$2:$AZ$579,'Por foco'!$A$2:$A$579,$A37,'Por foco'!$B$2:$B$579,$B37)</f>
        <v>0</v>
      </c>
      <c r="AY37" s="3" t="n">
        <f aca="false">SUMIFS('Por foco'!$BA$2:$BA$579,'Por foco'!$A$2:$A$579,$A37,'Por foco'!$B$2:$B$579,$B37)</f>
        <v>0</v>
      </c>
      <c r="AZ37" s="3" t="n">
        <f aca="false">SUMIFS('Por foco'!$BB$2:$BB$579,'Por foco'!$A$2:$A$579,$A37,'Por foco'!$B$2:$B$579,$B37)</f>
        <v>0</v>
      </c>
      <c r="BA37" s="3" t="n">
        <f aca="false">SUMIFS('Por foco'!$BC$2:$BC$579,'Por foco'!$A$2:$A$579,$A37,'Por foco'!$B$2:$B$579,$B37)</f>
        <v>0</v>
      </c>
      <c r="BB37" s="3" t="n">
        <f aca="false">SUMIFS('Por foco'!$BD$2:$BD$579,'Por foco'!$A$2:$A$579,$A37,'Por foco'!$B$2:$B$579,$B37)</f>
        <v>0</v>
      </c>
      <c r="BC37" s="3" t="n">
        <f aca="false">SUMIFS('Por foco'!$BE$2:$BE$579,'Por foco'!$A$2:$A$579,$A37,'Por foco'!$B$2:$B$579,$B37)</f>
        <v>0</v>
      </c>
      <c r="BD37" s="3" t="n">
        <f aca="false">SUMIFS('Por foco'!$BF$2:$BF$579,'Por foco'!$A$2:$A$579,$A37,'Por foco'!$B$2:$B$579,$B37)</f>
        <v>0</v>
      </c>
      <c r="BE37" s="3" t="n">
        <f aca="false">SUMIFS('Por foco'!$BG$2:$BG$579,'Por foco'!$A$2:$A$579,$A37,'Por foco'!$B$2:$B$579,$B37)</f>
        <v>10</v>
      </c>
    </row>
    <row r="38" customFormat="false" ht="15" hidden="false" customHeight="false" outlineLevel="0" collapsed="false">
      <c r="A38" s="3" t="s">
        <v>63</v>
      </c>
      <c r="B38" s="3" t="s">
        <v>111</v>
      </c>
      <c r="C38" s="3" t="n">
        <f aca="false">COUNTIFS('Por foco'!$A$2:$A$579,$A38,'Por foco'!$B$2:$B$579,$B38)</f>
        <v>6</v>
      </c>
      <c r="D38" s="6" t="n">
        <f aca="false">SUMIFS('Por foco'!$F$2:$F$579,'Por foco'!$A$2:$A$579,$A38,'Por foco'!$B$2:$B$579,$B38)</f>
        <v>760</v>
      </c>
      <c r="E38" s="3" t="n">
        <f aca="false">IF(C38=0,0,SUMIFS('Por foco'!$E$2:$E$579,'Por foco'!$A$2:$A$579,$A38,'Por foco'!$B$2:$B$579,$B38)/C38)</f>
        <v>1</v>
      </c>
      <c r="F38" s="3" t="n">
        <f aca="false">SUMIFS('Por foco'!$H$2:$H$579,'Por foco'!$A$2:$A$579,$A38,'Por foco'!$B$2:$B$579,$B38)</f>
        <v>343</v>
      </c>
      <c r="G38" s="3" t="n">
        <f aca="false">SUMIFS('Por foco'!$I$2:$I$579,'Por foco'!$A$2:$A$579,$A38,'Por foco'!$B$2:$B$579,$B38)</f>
        <v>0</v>
      </c>
      <c r="H38" s="3" t="n">
        <f aca="false">SUMIFS('Por foco'!$J$2:$J$579,'Por foco'!$A$2:$A$579,$A38,'Por foco'!$B$2:$B$579,$B38)</f>
        <v>0</v>
      </c>
      <c r="I38" s="3" t="n">
        <f aca="false">SUMIFS('Por foco'!$K$2:$K$579,'Por foco'!$A$2:$A$579,$A38,'Por foco'!$B$2:$B$579,$B38)</f>
        <v>0</v>
      </c>
      <c r="J38" s="3" t="n">
        <f aca="false">SUMIFS('Por foco'!$L$2:$L$579,'Por foco'!$A$2:$A$579,$A38,'Por foco'!$B$2:$B$579,$B38)</f>
        <v>75000</v>
      </c>
      <c r="K38" s="3" t="n">
        <f aca="false">SUMIFS('Por foco'!$M$2:$M$579,'Por foco'!$A$2:$A$579,$A38,'Por foco'!$B$2:$B$579,$B38)</f>
        <v>125</v>
      </c>
      <c r="L38" s="3" t="n">
        <f aca="false">SUMIFS('Por foco'!$N$2:$N$579,'Por foco'!$A$2:$A$579,$A38,'Por foco'!$B$2:$B$579,$B38)</f>
        <v>25</v>
      </c>
      <c r="M38" s="3" t="n">
        <f aca="false">SUMIFS('Por foco'!$O$2:$O$579,'Por foco'!$A$2:$A$579,$A38,'Por foco'!$B$2:$B$579,$B38)</f>
        <v>0</v>
      </c>
      <c r="N38" s="3" t="n">
        <f aca="false">SUMIFS('Por foco'!$P$2:$P$579,'Por foco'!$A$2:$A$579,$A38,'Por foco'!$B$2:$B$579,$B38)</f>
        <v>0</v>
      </c>
      <c r="O38" s="3" t="n">
        <f aca="false">SUMIFS('Por foco'!$Q$2:$Q$579,'Por foco'!$A$2:$A$579,$A38,'Por foco'!$B$2:$B$579,$B38)</f>
        <v>2</v>
      </c>
      <c r="P38" s="3" t="n">
        <f aca="false">SUMIFS('Por foco'!$R$2:$R$579,'Por foco'!$A$2:$A$579,$A38,'Por foco'!$B$2:$B$579,$B38)</f>
        <v>0</v>
      </c>
      <c r="Q38" s="3" t="n">
        <f aca="false">SUMIFS('Por foco'!$S$2:$S$579,'Por foco'!$A$2:$A$579,$A38,'Por foco'!$B$2:$B$579,$B38)</f>
        <v>2</v>
      </c>
      <c r="R38" s="3" t="n">
        <f aca="false">SUMIFS('Por foco'!$T$2:$T$579,'Por foco'!$A$2:$A$579,$A38,'Por foco'!$B$2:$B$579,$B38)</f>
        <v>0</v>
      </c>
      <c r="S38" s="3" t="n">
        <f aca="false">SUMIFS('Por foco'!$U$2:$U$579,'Por foco'!$A$2:$A$579,$A38,'Por foco'!$B$2:$B$579,$B38)</f>
        <v>0</v>
      </c>
      <c r="T38" s="3" t="n">
        <f aca="false">SUMIFS('Por foco'!$V$2:$V$579,'Por foco'!$A$2:$A$579,$A38,'Por foco'!$B$2:$B$579,$B38)</f>
        <v>0</v>
      </c>
      <c r="U38" s="3" t="n">
        <f aca="false">SUMIFS('Por foco'!$W$2:$W$579,'Por foco'!$A$2:$A$579,$A38,'Por foco'!$B$2:$B$579,$B38)</f>
        <v>0</v>
      </c>
      <c r="V38" s="3" t="n">
        <f aca="false">SUMIFS('Por foco'!$X$2:$X$579,'Por foco'!$A$2:$A$579,$A38,'Por foco'!$B$2:$B$579,$B38)</f>
        <v>0</v>
      </c>
      <c r="W38" s="3" t="n">
        <f aca="false">SUMIFS('Por foco'!$Y$2:$Y$579,'Por foco'!$A$2:$A$579,$A38,'Por foco'!$B$2:$B$579,$B38)</f>
        <v>0</v>
      </c>
      <c r="X38" s="3" t="n">
        <f aca="false">SUMIFS('Por foco'!$Z$2:$Z$579,'Por foco'!$A$2:$A$579,$A38,'Por foco'!$B$2:$B$579,$B38)</f>
        <v>0</v>
      </c>
      <c r="Y38" s="3" t="n">
        <f aca="false">SUMIFS('Por foco'!$AA$2:$AA$579,'Por foco'!$A$2:$A$579,$A38,'Por foco'!$B$2:$B$579,$B38)</f>
        <v>0</v>
      </c>
      <c r="Z38" s="3" t="n">
        <f aca="false">SUMIFS('Por foco'!$AB$2:$AB$579,'Por foco'!$A$2:$A$579,$A38,'Por foco'!$B$2:$B$579,$B38)</f>
        <v>0</v>
      </c>
      <c r="AA38" s="3" t="n">
        <f aca="false">SUMIFS('Por foco'!$AC$2:$AC$579,'Por foco'!$A$2:$A$579,$A38,'Por foco'!$B$2:$B$579,$B38)</f>
        <v>0</v>
      </c>
      <c r="AB38" s="3" t="n">
        <f aca="false">SUMIFS('Por foco'!$AD$2:$AD$579,'Por foco'!$A$2:$A$579,$A38,'Por foco'!$B$2:$B$579,$B38)</f>
        <v>0</v>
      </c>
      <c r="AC38" s="3" t="n">
        <f aca="false">SUMIFS('Por foco'!$AE$2:$AE$579,'Por foco'!$A$2:$A$579,$A38,'Por foco'!$B$2:$B$579,$B38)</f>
        <v>0</v>
      </c>
      <c r="AD38" s="3" t="n">
        <f aca="false">SUMIFS('Por foco'!$AF$2:$AF$579,'Por foco'!$A$2:$A$579,$A38,'Por foco'!$B$2:$B$579,$B38)</f>
        <v>0</v>
      </c>
      <c r="AE38" s="3" t="n">
        <f aca="false">SUMIFS('Por foco'!$AG$2:$AG$579,'Por foco'!$A$2:$A$579,$A38,'Por foco'!$B$2:$B$579,$B38)</f>
        <v>0</v>
      </c>
      <c r="AF38" s="3" t="n">
        <f aca="false">SUMIFS('Por foco'!$AH$2:$AH$579,'Por foco'!$A$2:$A$579,$A38,'Por foco'!$B$2:$B$579,$B38)</f>
        <v>0</v>
      </c>
      <c r="AG38" s="3" t="n">
        <f aca="false">SUMIFS('Por foco'!$AI$2:$AI$579,'Por foco'!$A$2:$A$579,$A38,'Por foco'!$B$2:$B$579,$B38)</f>
        <v>0</v>
      </c>
      <c r="AH38" s="3" t="n">
        <f aca="false">SUMIFS('Por foco'!$AJ$2:$AJ$579,'Por foco'!$A$2:$A$579,$A38,'Por foco'!$B$2:$B$579,$B38)</f>
        <v>0</v>
      </c>
      <c r="AI38" s="3" t="n">
        <f aca="false">SUMIFS('Por foco'!$AK$2:$AK$579,'Por foco'!$A$2:$A$579,$A38,'Por foco'!$B$2:$B$579,$B38)</f>
        <v>0</v>
      </c>
      <c r="AJ38" s="3" t="n">
        <f aca="false">SUMIFS('Por foco'!$AL$2:$AL$579,'Por foco'!$A$2:$A$579,$A38,'Por foco'!$B$2:$B$579,$B38)</f>
        <v>0</v>
      </c>
      <c r="AK38" s="3" t="n">
        <f aca="false">SUMIFS('Por foco'!$AM$2:$AM$579,'Por foco'!$A$2:$A$579,$A38,'Por foco'!$B$2:$B$579,$B38)</f>
        <v>0</v>
      </c>
      <c r="AL38" s="3" t="n">
        <f aca="false">SUMIFS('Por foco'!$AN$2:$AN$579,'Por foco'!$A$2:$A$579,$A38,'Por foco'!$B$2:$B$579,$B38)</f>
        <v>0</v>
      </c>
      <c r="AM38" s="3" t="n">
        <f aca="false">SUMIFS('Por foco'!$AO$2:$AO$579,'Por foco'!$A$2:$A$579,$A38,'Por foco'!$B$2:$B$579,$B38)</f>
        <v>0</v>
      </c>
      <c r="AN38" s="3" t="n">
        <f aca="false">SUMIFS('Por foco'!$AP$2:$AP$579,'Por foco'!$A$2:$A$579,$A38,'Por foco'!$B$2:$B$579,$B38)</f>
        <v>0</v>
      </c>
      <c r="AO38" s="3" t="n">
        <f aca="false">SUMIFS('Por foco'!$AQ$2:$AQ$579,'Por foco'!$A$2:$A$579,$A38,'Por foco'!$B$2:$B$579,$B38)</f>
        <v>10</v>
      </c>
      <c r="AP38" s="3" t="n">
        <f aca="false">SUMIFS('Por foco'!$AR$2:$AR$579,'Por foco'!$A$2:$A$579,$A38,'Por foco'!$B$2:$B$579,$B38)</f>
        <v>0</v>
      </c>
      <c r="AQ38" s="3" t="n">
        <f aca="false">SUMIFS('Por foco'!$AS$2:$AS$579,'Por foco'!$A$2:$A$579,$A38,'Por foco'!$B$2:$B$579,$B38)</f>
        <v>10</v>
      </c>
      <c r="AR38" s="3" t="n">
        <f aca="false">SUMIFS('Por foco'!$AT$2:$AT$579,'Por foco'!$A$2:$A$579,$A38,'Por foco'!$B$2:$B$579,$B38)</f>
        <v>0</v>
      </c>
      <c r="AS38" s="3" t="n">
        <f aca="false">SUMIFS('Por foco'!$AU$2:$AU$579,'Por foco'!$A$2:$A$579,$A38,'Por foco'!$B$2:$B$579,$B38)</f>
        <v>0</v>
      </c>
      <c r="AT38" s="3" t="n">
        <f aca="false">SUMIFS('Por foco'!$AV$2:$AV$579,'Por foco'!$A$2:$A$579,$A38,'Por foco'!$B$2:$B$579,$B38)</f>
        <v>0</v>
      </c>
      <c r="AU38" s="3" t="n">
        <f aca="false">SUMIFS('Por foco'!$AW$2:$AW$579,'Por foco'!$A$2:$A$579,$A38,'Por foco'!$B$2:$B$579,$B38)</f>
        <v>0</v>
      </c>
      <c r="AV38" s="3" t="n">
        <f aca="false">SUMIFS('Por foco'!$AX$2:$AX$579,'Por foco'!$A$2:$A$579,$A38,'Por foco'!$B$2:$B$579,$B38)</f>
        <v>0</v>
      </c>
      <c r="AW38" s="3" t="n">
        <f aca="false">SUMIFS('Por foco'!$AY$2:$AY$579,'Por foco'!$A$2:$A$579,$A38,'Por foco'!$B$2:$B$579,$B38)</f>
        <v>0</v>
      </c>
      <c r="AX38" s="3" t="n">
        <f aca="false">SUMIFS('Por foco'!$AZ$2:$AZ$579,'Por foco'!$A$2:$A$579,$A38,'Por foco'!$B$2:$B$579,$B38)</f>
        <v>0</v>
      </c>
      <c r="AY38" s="3" t="n">
        <f aca="false">SUMIFS('Por foco'!$BA$2:$BA$579,'Por foco'!$A$2:$A$579,$A38,'Por foco'!$B$2:$B$579,$B38)</f>
        <v>0</v>
      </c>
      <c r="AZ38" s="3" t="n">
        <f aca="false">SUMIFS('Por foco'!$BB$2:$BB$579,'Por foco'!$A$2:$A$579,$A38,'Por foco'!$B$2:$B$579,$B38)</f>
        <v>0</v>
      </c>
      <c r="BA38" s="3" t="n">
        <f aca="false">SUMIFS('Por foco'!$BC$2:$BC$579,'Por foco'!$A$2:$A$579,$A38,'Por foco'!$B$2:$B$579,$B38)</f>
        <v>0</v>
      </c>
      <c r="BB38" s="3" t="n">
        <f aca="false">SUMIFS('Por foco'!$BD$2:$BD$579,'Por foco'!$A$2:$A$579,$A38,'Por foco'!$B$2:$B$579,$B38)</f>
        <v>0</v>
      </c>
      <c r="BC38" s="3" t="n">
        <f aca="false">SUMIFS('Por foco'!$BE$2:$BE$579,'Por foco'!$A$2:$A$579,$A38,'Por foco'!$B$2:$B$579,$B38)</f>
        <v>0</v>
      </c>
      <c r="BD38" s="3" t="n">
        <f aca="false">SUMIFS('Por foco'!$BF$2:$BF$579,'Por foco'!$A$2:$A$579,$A38,'Por foco'!$B$2:$B$579,$B38)</f>
        <v>0</v>
      </c>
      <c r="BE38" s="3" t="n">
        <f aca="false">SUMIFS('Por foco'!$BG$2:$BG$579,'Por foco'!$A$2:$A$579,$A38,'Por foco'!$B$2:$B$579,$B38)</f>
        <v>0</v>
      </c>
    </row>
    <row r="39" customFormat="false" ht="15" hidden="false" customHeight="false" outlineLevel="0" collapsed="false">
      <c r="A39" s="3" t="s">
        <v>63</v>
      </c>
      <c r="B39" s="3" t="s">
        <v>112</v>
      </c>
      <c r="C39" s="3" t="n">
        <f aca="false">COUNTIFS('Por foco'!$A$2:$A$579,$A39,'Por foco'!$B$2:$B$579,$B39)</f>
        <v>6</v>
      </c>
      <c r="D39" s="6" t="n">
        <f aca="false">SUMIFS('Por foco'!$F$2:$F$579,'Por foco'!$A$2:$A$579,$A39,'Por foco'!$B$2:$B$579,$B39)</f>
        <v>660</v>
      </c>
      <c r="E39" s="3" t="n">
        <f aca="false">IF(C39=0,0,SUMIFS('Por foco'!$E$2:$E$579,'Por foco'!$A$2:$A$579,$A39,'Por foco'!$B$2:$B$579,$B39)/C39)</f>
        <v>1</v>
      </c>
      <c r="F39" s="3" t="n">
        <f aca="false">SUMIFS('Por foco'!$H$2:$H$579,'Por foco'!$A$2:$A$579,$A39,'Por foco'!$B$2:$B$579,$B39)</f>
        <v>378</v>
      </c>
      <c r="G39" s="3" t="n">
        <f aca="false">SUMIFS('Por foco'!$I$2:$I$579,'Por foco'!$A$2:$A$579,$A39,'Por foco'!$B$2:$B$579,$B39)</f>
        <v>50</v>
      </c>
      <c r="H39" s="3" t="n">
        <f aca="false">SUMIFS('Por foco'!$J$2:$J$579,'Por foco'!$A$2:$A$579,$A39,'Por foco'!$B$2:$B$579,$B39)</f>
        <v>0</v>
      </c>
      <c r="I39" s="3" t="n">
        <f aca="false">SUMIFS('Por foco'!$K$2:$K$579,'Por foco'!$A$2:$A$579,$A39,'Por foco'!$B$2:$B$579,$B39)</f>
        <v>0</v>
      </c>
      <c r="J39" s="3" t="n">
        <f aca="false">SUMIFS('Por foco'!$L$2:$L$579,'Por foco'!$A$2:$A$579,$A39,'Por foco'!$B$2:$B$579,$B39)</f>
        <v>0</v>
      </c>
      <c r="K39" s="3" t="n">
        <f aca="false">SUMIFS('Por foco'!$M$2:$M$579,'Por foco'!$A$2:$A$579,$A39,'Por foco'!$B$2:$B$579,$B39)</f>
        <v>0</v>
      </c>
      <c r="L39" s="3" t="n">
        <f aca="false">SUMIFS('Por foco'!$N$2:$N$579,'Por foco'!$A$2:$A$579,$A39,'Por foco'!$B$2:$B$579,$B39)</f>
        <v>50</v>
      </c>
      <c r="M39" s="3" t="n">
        <f aca="false">SUMIFS('Por foco'!$O$2:$O$579,'Por foco'!$A$2:$A$579,$A39,'Por foco'!$B$2:$B$579,$B39)</f>
        <v>0</v>
      </c>
      <c r="N39" s="3" t="n">
        <f aca="false">SUMIFS('Por foco'!$P$2:$P$579,'Por foco'!$A$2:$A$579,$A39,'Por foco'!$B$2:$B$579,$B39)</f>
        <v>0</v>
      </c>
      <c r="O39" s="3" t="n">
        <f aca="false">SUMIFS('Por foco'!$Q$2:$Q$579,'Por foco'!$A$2:$A$579,$A39,'Por foco'!$B$2:$B$579,$B39)</f>
        <v>3</v>
      </c>
      <c r="P39" s="3" t="n">
        <f aca="false">SUMIFS('Por foco'!$R$2:$R$579,'Por foco'!$A$2:$A$579,$A39,'Por foco'!$B$2:$B$579,$B39)</f>
        <v>0</v>
      </c>
      <c r="Q39" s="3" t="n">
        <f aca="false">SUMIFS('Por foco'!$S$2:$S$579,'Por foco'!$A$2:$A$579,$A39,'Por foco'!$B$2:$B$579,$B39)</f>
        <v>0</v>
      </c>
      <c r="R39" s="3" t="n">
        <f aca="false">SUMIFS('Por foco'!$T$2:$T$579,'Por foco'!$A$2:$A$579,$A39,'Por foco'!$B$2:$B$579,$B39)</f>
        <v>3</v>
      </c>
      <c r="S39" s="3" t="n">
        <f aca="false">SUMIFS('Por foco'!$U$2:$U$579,'Por foco'!$A$2:$A$579,$A39,'Por foco'!$B$2:$B$579,$B39)</f>
        <v>0</v>
      </c>
      <c r="T39" s="3" t="n">
        <f aca="false">SUMIFS('Por foco'!$V$2:$V$579,'Por foco'!$A$2:$A$579,$A39,'Por foco'!$B$2:$B$579,$B39)</f>
        <v>0</v>
      </c>
      <c r="U39" s="3" t="n">
        <f aca="false">SUMIFS('Por foco'!$W$2:$W$579,'Por foco'!$A$2:$A$579,$A39,'Por foco'!$B$2:$B$579,$B39)</f>
        <v>0</v>
      </c>
      <c r="V39" s="3" t="n">
        <f aca="false">SUMIFS('Por foco'!$X$2:$X$579,'Por foco'!$A$2:$A$579,$A39,'Por foco'!$B$2:$B$579,$B39)</f>
        <v>0</v>
      </c>
      <c r="W39" s="3" t="n">
        <f aca="false">SUMIFS('Por foco'!$Y$2:$Y$579,'Por foco'!$A$2:$A$579,$A39,'Por foco'!$B$2:$B$579,$B39)</f>
        <v>80</v>
      </c>
      <c r="X39" s="3" t="n">
        <f aca="false">SUMIFS('Por foco'!$Z$2:$Z$579,'Por foco'!$A$2:$A$579,$A39,'Por foco'!$B$2:$B$579,$B39)</f>
        <v>0</v>
      </c>
      <c r="Y39" s="3" t="n">
        <f aca="false">SUMIFS('Por foco'!$AA$2:$AA$579,'Por foco'!$A$2:$A$579,$A39,'Por foco'!$B$2:$B$579,$B39)</f>
        <v>0</v>
      </c>
      <c r="Z39" s="3" t="n">
        <f aca="false">SUMIFS('Por foco'!$AB$2:$AB$579,'Por foco'!$A$2:$A$579,$A39,'Por foco'!$B$2:$B$579,$B39)</f>
        <v>0</v>
      </c>
      <c r="AA39" s="3" t="n">
        <f aca="false">SUMIFS('Por foco'!$AC$2:$AC$579,'Por foco'!$A$2:$A$579,$A39,'Por foco'!$B$2:$B$579,$B39)</f>
        <v>5</v>
      </c>
      <c r="AB39" s="3" t="n">
        <f aca="false">SUMIFS('Por foco'!$AD$2:$AD$579,'Por foco'!$A$2:$A$579,$A39,'Por foco'!$B$2:$B$579,$B39)</f>
        <v>0</v>
      </c>
      <c r="AC39" s="3" t="n">
        <f aca="false">SUMIFS('Por foco'!$AE$2:$AE$579,'Por foco'!$A$2:$A$579,$A39,'Por foco'!$B$2:$B$579,$B39)</f>
        <v>0</v>
      </c>
      <c r="AD39" s="3" t="n">
        <f aca="false">SUMIFS('Por foco'!$AF$2:$AF$579,'Por foco'!$A$2:$A$579,$A39,'Por foco'!$B$2:$B$579,$B39)</f>
        <v>0</v>
      </c>
      <c r="AE39" s="3" t="n">
        <f aca="false">SUMIFS('Por foco'!$AG$2:$AG$579,'Por foco'!$A$2:$A$579,$A39,'Por foco'!$B$2:$B$579,$B39)</f>
        <v>0</v>
      </c>
      <c r="AF39" s="3" t="n">
        <f aca="false">SUMIFS('Por foco'!$AH$2:$AH$579,'Por foco'!$A$2:$A$579,$A39,'Por foco'!$B$2:$B$579,$B39)</f>
        <v>15</v>
      </c>
      <c r="AG39" s="3" t="n">
        <f aca="false">SUMIFS('Por foco'!$AI$2:$AI$579,'Por foco'!$A$2:$A$579,$A39,'Por foco'!$B$2:$B$579,$B39)</f>
        <v>0</v>
      </c>
      <c r="AH39" s="3" t="n">
        <f aca="false">SUMIFS('Por foco'!$AJ$2:$AJ$579,'Por foco'!$A$2:$A$579,$A39,'Por foco'!$B$2:$B$579,$B39)</f>
        <v>0</v>
      </c>
      <c r="AI39" s="3" t="n">
        <f aca="false">SUMIFS('Por foco'!$AK$2:$AK$579,'Por foco'!$A$2:$A$579,$A39,'Por foco'!$B$2:$B$579,$B39)</f>
        <v>0</v>
      </c>
      <c r="AJ39" s="3" t="n">
        <f aca="false">SUMIFS('Por foco'!$AL$2:$AL$579,'Por foco'!$A$2:$A$579,$A39,'Por foco'!$B$2:$B$579,$B39)</f>
        <v>0</v>
      </c>
      <c r="AK39" s="3" t="n">
        <f aca="false">SUMIFS('Por foco'!$AM$2:$AM$579,'Por foco'!$A$2:$A$579,$A39,'Por foco'!$B$2:$B$579,$B39)</f>
        <v>0</v>
      </c>
      <c r="AL39" s="3" t="n">
        <f aca="false">SUMIFS('Por foco'!$AN$2:$AN$579,'Por foco'!$A$2:$A$579,$A39,'Por foco'!$B$2:$B$579,$B39)</f>
        <v>0</v>
      </c>
      <c r="AM39" s="3" t="n">
        <f aca="false">SUMIFS('Por foco'!$AO$2:$AO$579,'Por foco'!$A$2:$A$579,$A39,'Por foco'!$B$2:$B$579,$B39)</f>
        <v>0</v>
      </c>
      <c r="AN39" s="3" t="n">
        <f aca="false">SUMIFS('Por foco'!$AP$2:$AP$579,'Por foco'!$A$2:$A$579,$A39,'Por foco'!$B$2:$B$579,$B39)</f>
        <v>0</v>
      </c>
      <c r="AO39" s="3" t="n">
        <f aca="false">SUMIFS('Por foco'!$AQ$2:$AQ$579,'Por foco'!$A$2:$A$579,$A39,'Por foco'!$B$2:$B$579,$B39)</f>
        <v>0</v>
      </c>
      <c r="AP39" s="3" t="n">
        <f aca="false">SUMIFS('Por foco'!$AR$2:$AR$579,'Por foco'!$A$2:$A$579,$A39,'Por foco'!$B$2:$B$579,$B39)</f>
        <v>0</v>
      </c>
      <c r="AQ39" s="3" t="n">
        <f aca="false">SUMIFS('Por foco'!$AS$2:$AS$579,'Por foco'!$A$2:$A$579,$A39,'Por foco'!$B$2:$B$579,$B39)</f>
        <v>0</v>
      </c>
      <c r="AR39" s="3" t="n">
        <f aca="false">SUMIFS('Por foco'!$AT$2:$AT$579,'Por foco'!$A$2:$A$579,$A39,'Por foco'!$B$2:$B$579,$B39)</f>
        <v>0</v>
      </c>
      <c r="AS39" s="3" t="n">
        <f aca="false">SUMIFS('Por foco'!$AU$2:$AU$579,'Por foco'!$A$2:$A$579,$A39,'Por foco'!$B$2:$B$579,$B39)</f>
        <v>0</v>
      </c>
      <c r="AT39" s="3" t="n">
        <f aca="false">SUMIFS('Por foco'!$AV$2:$AV$579,'Por foco'!$A$2:$A$579,$A39,'Por foco'!$B$2:$B$579,$B39)</f>
        <v>0</v>
      </c>
      <c r="AU39" s="3" t="n">
        <f aca="false">SUMIFS('Por foco'!$AW$2:$AW$579,'Por foco'!$A$2:$A$579,$A39,'Por foco'!$B$2:$B$579,$B39)</f>
        <v>0</v>
      </c>
      <c r="AV39" s="3" t="n">
        <f aca="false">SUMIFS('Por foco'!$AX$2:$AX$579,'Por foco'!$A$2:$A$579,$A39,'Por foco'!$B$2:$B$579,$B39)</f>
        <v>0</v>
      </c>
      <c r="AW39" s="3" t="n">
        <f aca="false">SUMIFS('Por foco'!$AY$2:$AY$579,'Por foco'!$A$2:$A$579,$A39,'Por foco'!$B$2:$B$579,$B39)</f>
        <v>0</v>
      </c>
      <c r="AX39" s="3" t="n">
        <f aca="false">SUMIFS('Por foco'!$AZ$2:$AZ$579,'Por foco'!$A$2:$A$579,$A39,'Por foco'!$B$2:$B$579,$B39)</f>
        <v>0</v>
      </c>
      <c r="AY39" s="3" t="n">
        <f aca="false">SUMIFS('Por foco'!$BA$2:$BA$579,'Por foco'!$A$2:$A$579,$A39,'Por foco'!$B$2:$B$579,$B39)</f>
        <v>0</v>
      </c>
      <c r="AZ39" s="3" t="n">
        <f aca="false">SUMIFS('Por foco'!$BB$2:$BB$579,'Por foco'!$A$2:$A$579,$A39,'Por foco'!$B$2:$B$579,$B39)</f>
        <v>0</v>
      </c>
      <c r="BA39" s="3" t="n">
        <f aca="false">SUMIFS('Por foco'!$BC$2:$BC$579,'Por foco'!$A$2:$A$579,$A39,'Por foco'!$B$2:$B$579,$B39)</f>
        <v>0</v>
      </c>
      <c r="BB39" s="3" t="n">
        <f aca="false">SUMIFS('Por foco'!$BD$2:$BD$579,'Por foco'!$A$2:$A$579,$A39,'Por foco'!$B$2:$B$579,$B39)</f>
        <v>0</v>
      </c>
      <c r="BC39" s="3" t="n">
        <f aca="false">SUMIFS('Por foco'!$BE$2:$BE$579,'Por foco'!$A$2:$A$579,$A39,'Por foco'!$B$2:$B$579,$B39)</f>
        <v>0</v>
      </c>
      <c r="BD39" s="3" t="n">
        <f aca="false">SUMIFS('Por foco'!$BF$2:$BF$579,'Por foco'!$A$2:$A$579,$A39,'Por foco'!$B$2:$B$579,$B39)</f>
        <v>0</v>
      </c>
      <c r="BE39" s="3" t="n">
        <f aca="false">SUMIFS('Por foco'!$BG$2:$BG$579,'Por foco'!$A$2:$A$579,$A39,'Por foco'!$B$2:$B$579,$B39)</f>
        <v>0</v>
      </c>
    </row>
    <row r="40" customFormat="false" ht="15" hidden="false" customHeight="false" outlineLevel="0" collapsed="false">
      <c r="A40" s="3" t="s">
        <v>63</v>
      </c>
      <c r="B40" s="3" t="s">
        <v>113</v>
      </c>
      <c r="C40" s="3" t="n">
        <f aca="false">COUNTIFS('Por foco'!$A$2:$A$579,$A40,'Por foco'!$B$2:$B$579,$B40)</f>
        <v>13</v>
      </c>
      <c r="D40" s="6" t="n">
        <f aca="false">SUMIFS('Por foco'!$F$2:$F$579,'Por foco'!$A$2:$A$579,$A40,'Por foco'!$B$2:$B$579,$B40)</f>
        <v>2223</v>
      </c>
      <c r="E40" s="3" t="n">
        <f aca="false">IF(C40=0,0,SUMIFS('Por foco'!$E$2:$E$579,'Por foco'!$A$2:$A$579,$A40,'Por foco'!$B$2:$B$579,$B40)/C40)</f>
        <v>1</v>
      </c>
      <c r="F40" s="3" t="n">
        <f aca="false">SUMIFS('Por foco'!$H$2:$H$579,'Por foco'!$A$2:$A$579,$A40,'Por foco'!$B$2:$B$579,$B40)</f>
        <v>826</v>
      </c>
      <c r="G40" s="3" t="n">
        <f aca="false">SUMIFS('Por foco'!$I$2:$I$579,'Por foco'!$A$2:$A$579,$A40,'Por foco'!$B$2:$B$579,$B40)</f>
        <v>800</v>
      </c>
      <c r="H40" s="3" t="n">
        <f aca="false">SUMIFS('Por foco'!$J$2:$J$579,'Por foco'!$A$2:$A$579,$A40,'Por foco'!$B$2:$B$579,$B40)</f>
        <v>0</v>
      </c>
      <c r="I40" s="3" t="n">
        <f aca="false">SUMIFS('Por foco'!$K$2:$K$579,'Por foco'!$A$2:$A$579,$A40,'Por foco'!$B$2:$B$579,$B40)</f>
        <v>0</v>
      </c>
      <c r="J40" s="3" t="n">
        <f aca="false">SUMIFS('Por foco'!$L$2:$L$579,'Por foco'!$A$2:$A$579,$A40,'Por foco'!$B$2:$B$579,$B40)</f>
        <v>0</v>
      </c>
      <c r="K40" s="3" t="n">
        <f aca="false">SUMIFS('Por foco'!$M$2:$M$579,'Por foco'!$A$2:$A$579,$A40,'Por foco'!$B$2:$B$579,$B40)</f>
        <v>0</v>
      </c>
      <c r="L40" s="3" t="n">
        <f aca="false">SUMIFS('Por foco'!$N$2:$N$579,'Por foco'!$A$2:$A$579,$A40,'Por foco'!$B$2:$B$579,$B40)</f>
        <v>130</v>
      </c>
      <c r="M40" s="3" t="n">
        <f aca="false">SUMIFS('Por foco'!$O$2:$O$579,'Por foco'!$A$2:$A$579,$A40,'Por foco'!$B$2:$B$579,$B40)</f>
        <v>0</v>
      </c>
      <c r="N40" s="3" t="n">
        <f aca="false">SUMIFS('Por foco'!$P$2:$P$579,'Por foco'!$A$2:$A$579,$A40,'Por foco'!$B$2:$B$579,$B40)</f>
        <v>1</v>
      </c>
      <c r="O40" s="3" t="n">
        <f aca="false">SUMIFS('Por foco'!$Q$2:$Q$579,'Por foco'!$A$2:$A$579,$A40,'Por foco'!$B$2:$B$579,$B40)</f>
        <v>0</v>
      </c>
      <c r="P40" s="3" t="n">
        <f aca="false">SUMIFS('Por foco'!$R$2:$R$579,'Por foco'!$A$2:$A$579,$A40,'Por foco'!$B$2:$B$579,$B40)</f>
        <v>0</v>
      </c>
      <c r="Q40" s="3" t="n">
        <f aca="false">SUMIFS('Por foco'!$S$2:$S$579,'Por foco'!$A$2:$A$579,$A40,'Por foco'!$B$2:$B$579,$B40)</f>
        <v>0</v>
      </c>
      <c r="R40" s="3" t="n">
        <f aca="false">SUMIFS('Por foco'!$T$2:$T$579,'Por foco'!$A$2:$A$579,$A40,'Por foco'!$B$2:$B$579,$B40)</f>
        <v>5</v>
      </c>
      <c r="S40" s="3" t="n">
        <f aca="false">SUMIFS('Por foco'!$U$2:$U$579,'Por foco'!$A$2:$A$579,$A40,'Por foco'!$B$2:$B$579,$B40)</f>
        <v>6</v>
      </c>
      <c r="T40" s="3" t="n">
        <f aca="false">SUMIFS('Por foco'!$V$2:$V$579,'Por foco'!$A$2:$A$579,$A40,'Por foco'!$B$2:$B$579,$B40)</f>
        <v>3</v>
      </c>
      <c r="U40" s="3" t="n">
        <f aca="false">SUMIFS('Por foco'!$W$2:$W$579,'Por foco'!$A$2:$A$579,$A40,'Por foco'!$B$2:$B$579,$B40)</f>
        <v>0</v>
      </c>
      <c r="V40" s="3" t="n">
        <f aca="false">SUMIFS('Por foco'!$X$2:$X$579,'Por foco'!$A$2:$A$579,$A40,'Por foco'!$B$2:$B$579,$B40)</f>
        <v>0</v>
      </c>
      <c r="W40" s="3" t="n">
        <f aca="false">SUMIFS('Por foco'!$Y$2:$Y$579,'Por foco'!$A$2:$A$579,$A40,'Por foco'!$B$2:$B$579,$B40)</f>
        <v>0</v>
      </c>
      <c r="X40" s="3" t="n">
        <f aca="false">SUMIFS('Por foco'!$Z$2:$Z$579,'Por foco'!$A$2:$A$579,$A40,'Por foco'!$B$2:$B$579,$B40)</f>
        <v>4</v>
      </c>
      <c r="Y40" s="3" t="n">
        <f aca="false">SUMIFS('Por foco'!$AA$2:$AA$579,'Por foco'!$A$2:$A$579,$A40,'Por foco'!$B$2:$B$579,$B40)</f>
        <v>0.1</v>
      </c>
      <c r="Z40" s="3" t="n">
        <f aca="false">SUMIFS('Por foco'!$AB$2:$AB$579,'Por foco'!$A$2:$A$579,$A40,'Por foco'!$B$2:$B$579,$B40)</f>
        <v>15</v>
      </c>
      <c r="AA40" s="3" t="n">
        <f aca="false">SUMIFS('Por foco'!$AC$2:$AC$579,'Por foco'!$A$2:$A$579,$A40,'Por foco'!$B$2:$B$579,$B40)</f>
        <v>0</v>
      </c>
      <c r="AB40" s="3" t="n">
        <f aca="false">SUMIFS('Por foco'!$AD$2:$AD$579,'Por foco'!$A$2:$A$579,$A40,'Por foco'!$B$2:$B$579,$B40)</f>
        <v>0</v>
      </c>
      <c r="AC40" s="3" t="n">
        <f aca="false">SUMIFS('Por foco'!$AE$2:$AE$579,'Por foco'!$A$2:$A$579,$A40,'Por foco'!$B$2:$B$579,$B40)</f>
        <v>45</v>
      </c>
      <c r="AD40" s="3" t="n">
        <f aca="false">SUMIFS('Por foco'!$AF$2:$AF$579,'Por foco'!$A$2:$A$579,$A40,'Por foco'!$B$2:$B$579,$B40)</f>
        <v>0</v>
      </c>
      <c r="AE40" s="3" t="n">
        <f aca="false">SUMIFS('Por foco'!$AG$2:$AG$579,'Por foco'!$A$2:$A$579,$A40,'Por foco'!$B$2:$B$579,$B40)</f>
        <v>0</v>
      </c>
      <c r="AF40" s="3" t="n">
        <f aca="false">SUMIFS('Por foco'!$AH$2:$AH$579,'Por foco'!$A$2:$A$579,$A40,'Por foco'!$B$2:$B$579,$B40)</f>
        <v>15</v>
      </c>
      <c r="AG40" s="3" t="n">
        <f aca="false">SUMIFS('Por foco'!$AI$2:$AI$579,'Por foco'!$A$2:$A$579,$A40,'Por foco'!$B$2:$B$579,$B40)</f>
        <v>0</v>
      </c>
      <c r="AH40" s="3" t="n">
        <f aca="false">SUMIFS('Por foco'!$AJ$2:$AJ$579,'Por foco'!$A$2:$A$579,$A40,'Por foco'!$B$2:$B$579,$B40)</f>
        <v>0</v>
      </c>
      <c r="AI40" s="3" t="n">
        <f aca="false">SUMIFS('Por foco'!$AK$2:$AK$579,'Por foco'!$A$2:$A$579,$A40,'Por foco'!$B$2:$B$579,$B40)</f>
        <v>0</v>
      </c>
      <c r="AJ40" s="3" t="n">
        <f aca="false">SUMIFS('Por foco'!$AL$2:$AL$579,'Por foco'!$A$2:$A$579,$A40,'Por foco'!$B$2:$B$579,$B40)</f>
        <v>0</v>
      </c>
      <c r="AK40" s="3" t="n">
        <f aca="false">SUMIFS('Por foco'!$AM$2:$AM$579,'Por foco'!$A$2:$A$579,$A40,'Por foco'!$B$2:$B$579,$B40)</f>
        <v>0</v>
      </c>
      <c r="AL40" s="3" t="n">
        <f aca="false">SUMIFS('Por foco'!$AN$2:$AN$579,'Por foco'!$A$2:$A$579,$A40,'Por foco'!$B$2:$B$579,$B40)</f>
        <v>0</v>
      </c>
      <c r="AM40" s="3" t="n">
        <f aca="false">SUMIFS('Por foco'!$AO$2:$AO$579,'Por foco'!$A$2:$A$579,$A40,'Por foco'!$B$2:$B$579,$B40)</f>
        <v>0</v>
      </c>
      <c r="AN40" s="3" t="n">
        <f aca="false">SUMIFS('Por foco'!$AP$2:$AP$579,'Por foco'!$A$2:$A$579,$A40,'Por foco'!$B$2:$B$579,$B40)</f>
        <v>0</v>
      </c>
      <c r="AO40" s="3" t="n">
        <f aca="false">SUMIFS('Por foco'!$AQ$2:$AQ$579,'Por foco'!$A$2:$A$579,$A40,'Por foco'!$B$2:$B$579,$B40)</f>
        <v>0</v>
      </c>
      <c r="AP40" s="3" t="n">
        <f aca="false">SUMIFS('Por foco'!$AR$2:$AR$579,'Por foco'!$A$2:$A$579,$A40,'Por foco'!$B$2:$B$579,$B40)</f>
        <v>0</v>
      </c>
      <c r="AQ40" s="3" t="n">
        <f aca="false">SUMIFS('Por foco'!$AS$2:$AS$579,'Por foco'!$A$2:$A$579,$A40,'Por foco'!$B$2:$B$579,$B40)</f>
        <v>0</v>
      </c>
      <c r="AR40" s="3" t="n">
        <f aca="false">SUMIFS('Por foco'!$AT$2:$AT$579,'Por foco'!$A$2:$A$579,$A40,'Por foco'!$B$2:$B$579,$B40)</f>
        <v>0</v>
      </c>
      <c r="AS40" s="3" t="n">
        <f aca="false">SUMIFS('Por foco'!$AU$2:$AU$579,'Por foco'!$A$2:$A$579,$A40,'Por foco'!$B$2:$B$579,$B40)</f>
        <v>0</v>
      </c>
      <c r="AT40" s="3" t="n">
        <f aca="false">SUMIFS('Por foco'!$AV$2:$AV$579,'Por foco'!$A$2:$A$579,$A40,'Por foco'!$B$2:$B$579,$B40)</f>
        <v>0</v>
      </c>
      <c r="AU40" s="3" t="n">
        <f aca="false">SUMIFS('Por foco'!$AW$2:$AW$579,'Por foco'!$A$2:$A$579,$A40,'Por foco'!$B$2:$B$579,$B40)</f>
        <v>0</v>
      </c>
      <c r="AV40" s="3" t="n">
        <f aca="false">SUMIFS('Por foco'!$AX$2:$AX$579,'Por foco'!$A$2:$A$579,$A40,'Por foco'!$B$2:$B$579,$B40)</f>
        <v>0</v>
      </c>
      <c r="AW40" s="3" t="n">
        <f aca="false">SUMIFS('Por foco'!$AY$2:$AY$579,'Por foco'!$A$2:$A$579,$A40,'Por foco'!$B$2:$B$579,$B40)</f>
        <v>0</v>
      </c>
      <c r="AX40" s="3" t="n">
        <f aca="false">SUMIFS('Por foco'!$AZ$2:$AZ$579,'Por foco'!$A$2:$A$579,$A40,'Por foco'!$B$2:$B$579,$B40)</f>
        <v>0</v>
      </c>
      <c r="AY40" s="3" t="n">
        <f aca="false">SUMIFS('Por foco'!$BA$2:$BA$579,'Por foco'!$A$2:$A$579,$A40,'Por foco'!$B$2:$B$579,$B40)</f>
        <v>0</v>
      </c>
      <c r="AZ40" s="3" t="n">
        <f aca="false">SUMIFS('Por foco'!$BB$2:$BB$579,'Por foco'!$A$2:$A$579,$A40,'Por foco'!$B$2:$B$579,$B40)</f>
        <v>0</v>
      </c>
      <c r="BA40" s="3" t="n">
        <f aca="false">SUMIFS('Por foco'!$BC$2:$BC$579,'Por foco'!$A$2:$A$579,$A40,'Por foco'!$B$2:$B$579,$B40)</f>
        <v>0</v>
      </c>
      <c r="BB40" s="3" t="n">
        <f aca="false">SUMIFS('Por foco'!$BD$2:$BD$579,'Por foco'!$A$2:$A$579,$A40,'Por foco'!$B$2:$B$579,$B40)</f>
        <v>0</v>
      </c>
      <c r="BC40" s="3" t="n">
        <f aca="false">SUMIFS('Por foco'!$BE$2:$BE$579,'Por foco'!$A$2:$A$579,$A40,'Por foco'!$B$2:$B$579,$B40)</f>
        <v>0</v>
      </c>
      <c r="BD40" s="3" t="n">
        <f aca="false">SUMIFS('Por foco'!$BF$2:$BF$579,'Por foco'!$A$2:$A$579,$A40,'Por foco'!$B$2:$B$579,$B40)</f>
        <v>0</v>
      </c>
      <c r="BE40" s="3" t="n">
        <f aca="false">SUMIFS('Por foco'!$BG$2:$BG$579,'Por foco'!$A$2:$A$579,$A40,'Por foco'!$B$2:$B$579,$B40)</f>
        <v>0</v>
      </c>
    </row>
    <row r="41" customFormat="false" ht="15" hidden="false" customHeight="false" outlineLevel="0" collapsed="false">
      <c r="A41" s="3" t="s">
        <v>64</v>
      </c>
      <c r="B41" s="3" t="s">
        <v>114</v>
      </c>
      <c r="C41" s="3" t="n">
        <f aca="false">COUNTIFS('Por foco'!$A$2:$A$579,$A41,'Por foco'!$B$2:$B$579,$B41)</f>
        <v>10</v>
      </c>
      <c r="D41" s="6" t="n">
        <f aca="false">SUMIFS('Por foco'!$F$2:$F$579,'Por foco'!$A$2:$A$579,$A41,'Por foco'!$B$2:$B$579,$B41)</f>
        <v>1577.5</v>
      </c>
      <c r="E41" s="3" t="n">
        <f aca="false">IF(C41=0,0,SUMIFS('Por foco'!$E$2:$E$579,'Por foco'!$A$2:$A$579,$A41,'Por foco'!$B$2:$B$579,$B41)/C41)</f>
        <v>0.6</v>
      </c>
      <c r="F41" s="3" t="n">
        <f aca="false">SUMIFS('Por foco'!$H$2:$H$579,'Por foco'!$A$2:$A$579,$A41,'Por foco'!$B$2:$B$579,$B41)</f>
        <v>658</v>
      </c>
      <c r="G41" s="3" t="n">
        <f aca="false">SUMIFS('Por foco'!$I$2:$I$579,'Por foco'!$A$2:$A$579,$A41,'Por foco'!$B$2:$B$579,$B41)</f>
        <v>400</v>
      </c>
      <c r="H41" s="3" t="n">
        <f aca="false">SUMIFS('Por foco'!$J$2:$J$579,'Por foco'!$A$2:$A$579,$A41,'Por foco'!$B$2:$B$579,$B41)</f>
        <v>8</v>
      </c>
      <c r="I41" s="3" t="n">
        <f aca="false">SUMIFS('Por foco'!$K$2:$K$579,'Por foco'!$A$2:$A$579,$A41,'Por foco'!$B$2:$B$579,$B41)</f>
        <v>0</v>
      </c>
      <c r="J41" s="3" t="n">
        <f aca="false">SUMIFS('Por foco'!$L$2:$L$579,'Por foco'!$A$2:$A$579,$A41,'Por foco'!$B$2:$B$579,$B41)</f>
        <v>0</v>
      </c>
      <c r="K41" s="3" t="n">
        <f aca="false">SUMIFS('Por foco'!$M$2:$M$579,'Por foco'!$A$2:$A$579,$A41,'Por foco'!$B$2:$B$579,$B41)</f>
        <v>0</v>
      </c>
      <c r="L41" s="3" t="n">
        <f aca="false">SUMIFS('Por foco'!$N$2:$N$579,'Por foco'!$A$2:$A$579,$A41,'Por foco'!$B$2:$B$579,$B41)</f>
        <v>0</v>
      </c>
      <c r="M41" s="3" t="n">
        <f aca="false">SUMIFS('Por foco'!$O$2:$O$579,'Por foco'!$A$2:$A$579,$A41,'Por foco'!$B$2:$B$579,$B41)</f>
        <v>0</v>
      </c>
      <c r="N41" s="3" t="n">
        <f aca="false">SUMIFS('Por foco'!$P$2:$P$579,'Por foco'!$A$2:$A$579,$A41,'Por foco'!$B$2:$B$579,$B41)</f>
        <v>1</v>
      </c>
      <c r="O41" s="3" t="n">
        <f aca="false">SUMIFS('Por foco'!$Q$2:$Q$579,'Por foco'!$A$2:$A$579,$A41,'Por foco'!$B$2:$B$579,$B41)</f>
        <v>1</v>
      </c>
      <c r="P41" s="3" t="n">
        <f aca="false">SUMIFS('Por foco'!$R$2:$R$579,'Por foco'!$A$2:$A$579,$A41,'Por foco'!$B$2:$B$579,$B41)</f>
        <v>0</v>
      </c>
      <c r="Q41" s="3" t="n">
        <f aca="false">SUMIFS('Por foco'!$S$2:$S$579,'Por foco'!$A$2:$A$579,$A41,'Por foco'!$B$2:$B$579,$B41)</f>
        <v>0</v>
      </c>
      <c r="R41" s="3" t="n">
        <f aca="false">SUMIFS('Por foco'!$T$2:$T$579,'Por foco'!$A$2:$A$579,$A41,'Por foco'!$B$2:$B$579,$B41)</f>
        <v>0</v>
      </c>
      <c r="S41" s="3" t="n">
        <f aca="false">SUMIFS('Por foco'!$U$2:$U$579,'Por foco'!$A$2:$A$579,$A41,'Por foco'!$B$2:$B$579,$B41)</f>
        <v>0</v>
      </c>
      <c r="T41" s="3" t="n">
        <f aca="false">SUMIFS('Por foco'!$V$2:$V$579,'Por foco'!$A$2:$A$579,$A41,'Por foco'!$B$2:$B$579,$B41)</f>
        <v>0</v>
      </c>
      <c r="U41" s="3" t="n">
        <f aca="false">SUMIFS('Por foco'!$W$2:$W$579,'Por foco'!$A$2:$A$579,$A41,'Por foco'!$B$2:$B$579,$B41)</f>
        <v>0</v>
      </c>
      <c r="V41" s="3" t="n">
        <f aca="false">SUMIFS('Por foco'!$X$2:$X$579,'Por foco'!$A$2:$A$579,$A41,'Por foco'!$B$2:$B$579,$B41)</f>
        <v>0</v>
      </c>
      <c r="W41" s="3" t="n">
        <f aca="false">SUMIFS('Por foco'!$Y$2:$Y$579,'Por foco'!$A$2:$A$579,$A41,'Por foco'!$B$2:$B$579,$B41)</f>
        <v>0</v>
      </c>
      <c r="X41" s="3" t="n">
        <f aca="false">SUMIFS('Por foco'!$Z$2:$Z$579,'Por foco'!$A$2:$A$579,$A41,'Por foco'!$B$2:$B$579,$B41)</f>
        <v>2</v>
      </c>
      <c r="Y41" s="3" t="n">
        <f aca="false">SUMIFS('Por foco'!$AA$2:$AA$579,'Por foco'!$A$2:$A$579,$A41,'Por foco'!$B$2:$B$579,$B41)</f>
        <v>0.25</v>
      </c>
      <c r="Z41" s="3" t="n">
        <f aca="false">SUMIFS('Por foco'!$AB$2:$AB$579,'Por foco'!$A$2:$A$579,$A41,'Por foco'!$B$2:$B$579,$B41)</f>
        <v>25</v>
      </c>
      <c r="AA41" s="3" t="n">
        <f aca="false">SUMIFS('Por foco'!$AC$2:$AC$579,'Por foco'!$A$2:$A$579,$A41,'Por foco'!$B$2:$B$579,$B41)</f>
        <v>0</v>
      </c>
      <c r="AB41" s="3" t="n">
        <f aca="false">SUMIFS('Por foco'!$AD$2:$AD$579,'Por foco'!$A$2:$A$579,$A41,'Por foco'!$B$2:$B$579,$B41)</f>
        <v>0</v>
      </c>
      <c r="AC41" s="3" t="n">
        <f aca="false">SUMIFS('Por foco'!$AE$2:$AE$579,'Por foco'!$A$2:$A$579,$A41,'Por foco'!$B$2:$B$579,$B41)</f>
        <v>0</v>
      </c>
      <c r="AD41" s="3" t="n">
        <f aca="false">SUMIFS('Por foco'!$AF$2:$AF$579,'Por foco'!$A$2:$A$579,$A41,'Por foco'!$B$2:$B$579,$B41)</f>
        <v>0</v>
      </c>
      <c r="AE41" s="3" t="n">
        <f aca="false">SUMIFS('Por foco'!$AG$2:$AG$579,'Por foco'!$A$2:$A$579,$A41,'Por foco'!$B$2:$B$579,$B41)</f>
        <v>0</v>
      </c>
      <c r="AF41" s="3" t="n">
        <f aca="false">SUMIFS('Por foco'!$AH$2:$AH$579,'Por foco'!$A$2:$A$579,$A41,'Por foco'!$B$2:$B$579,$B41)</f>
        <v>0</v>
      </c>
      <c r="AG41" s="3" t="n">
        <f aca="false">SUMIFS('Por foco'!$AI$2:$AI$579,'Por foco'!$A$2:$A$579,$A41,'Por foco'!$B$2:$B$579,$B41)</f>
        <v>0</v>
      </c>
      <c r="AH41" s="3" t="n">
        <f aca="false">SUMIFS('Por foco'!$AJ$2:$AJ$579,'Por foco'!$A$2:$A$579,$A41,'Por foco'!$B$2:$B$579,$B41)</f>
        <v>0</v>
      </c>
      <c r="AI41" s="3" t="n">
        <f aca="false">SUMIFS('Por foco'!$AK$2:$AK$579,'Por foco'!$A$2:$A$579,$A41,'Por foco'!$B$2:$B$579,$B41)</f>
        <v>0</v>
      </c>
      <c r="AJ41" s="3" t="n">
        <f aca="false">SUMIFS('Por foco'!$AL$2:$AL$579,'Por foco'!$A$2:$A$579,$A41,'Por foco'!$B$2:$B$579,$B41)</f>
        <v>0</v>
      </c>
      <c r="AK41" s="3" t="n">
        <f aca="false">SUMIFS('Por foco'!$AM$2:$AM$579,'Por foco'!$A$2:$A$579,$A41,'Por foco'!$B$2:$B$579,$B41)</f>
        <v>0</v>
      </c>
      <c r="AL41" s="3" t="n">
        <f aca="false">SUMIFS('Por foco'!$AN$2:$AN$579,'Por foco'!$A$2:$A$579,$A41,'Por foco'!$B$2:$B$579,$B41)</f>
        <v>0</v>
      </c>
      <c r="AM41" s="3" t="n">
        <f aca="false">SUMIFS('Por foco'!$AO$2:$AO$579,'Por foco'!$A$2:$A$579,$A41,'Por foco'!$B$2:$B$579,$B41)</f>
        <v>0</v>
      </c>
      <c r="AN41" s="3" t="n">
        <f aca="false">SUMIFS('Por foco'!$AP$2:$AP$579,'Por foco'!$A$2:$A$579,$A41,'Por foco'!$B$2:$B$579,$B41)</f>
        <v>0</v>
      </c>
      <c r="AO41" s="3" t="n">
        <f aca="false">SUMIFS('Por foco'!$AQ$2:$AQ$579,'Por foco'!$A$2:$A$579,$A41,'Por foco'!$B$2:$B$579,$B41)</f>
        <v>0</v>
      </c>
      <c r="AP41" s="3" t="n">
        <f aca="false">SUMIFS('Por foco'!$AR$2:$AR$579,'Por foco'!$A$2:$A$579,$A41,'Por foco'!$B$2:$B$579,$B41)</f>
        <v>25</v>
      </c>
      <c r="AQ41" s="3" t="n">
        <f aca="false">SUMIFS('Por foco'!$AS$2:$AS$579,'Por foco'!$A$2:$A$579,$A41,'Por foco'!$B$2:$B$579,$B41)</f>
        <v>0</v>
      </c>
      <c r="AR41" s="3" t="n">
        <f aca="false">SUMIFS('Por foco'!$AT$2:$AT$579,'Por foco'!$A$2:$A$579,$A41,'Por foco'!$B$2:$B$579,$B41)</f>
        <v>0</v>
      </c>
      <c r="AS41" s="3" t="n">
        <f aca="false">SUMIFS('Por foco'!$AU$2:$AU$579,'Por foco'!$A$2:$A$579,$A41,'Por foco'!$B$2:$B$579,$B41)</f>
        <v>0</v>
      </c>
      <c r="AT41" s="3" t="n">
        <f aca="false">SUMIFS('Por foco'!$AV$2:$AV$579,'Por foco'!$A$2:$A$579,$A41,'Por foco'!$B$2:$B$579,$B41)</f>
        <v>0</v>
      </c>
      <c r="AU41" s="3" t="n">
        <f aca="false">SUMIFS('Por foco'!$AW$2:$AW$579,'Por foco'!$A$2:$A$579,$A41,'Por foco'!$B$2:$B$579,$B41)</f>
        <v>0</v>
      </c>
      <c r="AV41" s="3" t="n">
        <f aca="false">SUMIFS('Por foco'!$AX$2:$AX$579,'Por foco'!$A$2:$A$579,$A41,'Por foco'!$B$2:$B$579,$B41)</f>
        <v>0</v>
      </c>
      <c r="AW41" s="3" t="n">
        <f aca="false">SUMIFS('Por foco'!$AY$2:$AY$579,'Por foco'!$A$2:$A$579,$A41,'Por foco'!$B$2:$B$579,$B41)</f>
        <v>0</v>
      </c>
      <c r="AX41" s="3" t="n">
        <f aca="false">SUMIFS('Por foco'!$AZ$2:$AZ$579,'Por foco'!$A$2:$A$579,$A41,'Por foco'!$B$2:$B$579,$B41)</f>
        <v>0</v>
      </c>
      <c r="AY41" s="3" t="n">
        <f aca="false">SUMIFS('Por foco'!$BA$2:$BA$579,'Por foco'!$A$2:$A$579,$A41,'Por foco'!$B$2:$B$579,$B41)</f>
        <v>0</v>
      </c>
      <c r="AZ41" s="3" t="n">
        <f aca="false">SUMIFS('Por foco'!$BB$2:$BB$579,'Por foco'!$A$2:$A$579,$A41,'Por foco'!$B$2:$B$579,$B41)</f>
        <v>0</v>
      </c>
      <c r="BA41" s="3" t="n">
        <f aca="false">SUMIFS('Por foco'!$BC$2:$BC$579,'Por foco'!$A$2:$A$579,$A41,'Por foco'!$B$2:$B$579,$B41)</f>
        <v>0</v>
      </c>
      <c r="BB41" s="3" t="n">
        <f aca="false">SUMIFS('Por foco'!$BD$2:$BD$579,'Por foco'!$A$2:$A$579,$A41,'Por foco'!$B$2:$B$579,$B41)</f>
        <v>0</v>
      </c>
      <c r="BC41" s="3" t="n">
        <f aca="false">SUMIFS('Por foco'!$BE$2:$BE$579,'Por foco'!$A$2:$A$579,$A41,'Por foco'!$B$2:$B$579,$B41)</f>
        <v>0</v>
      </c>
      <c r="BD41" s="3" t="n">
        <f aca="false">SUMIFS('Por foco'!$BF$2:$BF$579,'Por foco'!$A$2:$A$579,$A41,'Por foco'!$B$2:$B$579,$B41)</f>
        <v>0</v>
      </c>
      <c r="BE41" s="3" t="n">
        <f aca="false">SUMIFS('Por foco'!$BG$2:$BG$579,'Por foco'!$A$2:$A$579,$A41,'Por foco'!$B$2:$B$579,$B41)</f>
        <v>0</v>
      </c>
    </row>
    <row r="42" customFormat="false" ht="15" hidden="false" customHeight="false" outlineLevel="0" collapsed="false">
      <c r="A42" s="3" t="s">
        <v>64</v>
      </c>
      <c r="B42" s="3" t="s">
        <v>115</v>
      </c>
      <c r="C42" s="3" t="n">
        <f aca="false">COUNTIFS('Por foco'!$A$2:$A$579,$A42,'Por foco'!$B$2:$B$579,$B42)</f>
        <v>9</v>
      </c>
      <c r="D42" s="6" t="n">
        <f aca="false">SUMIFS('Por foco'!$F$2:$F$579,'Por foco'!$A$2:$A$579,$A42,'Por foco'!$B$2:$B$579,$B42)</f>
        <v>2304.5</v>
      </c>
      <c r="E42" s="3" t="n">
        <f aca="false">IF(C42=0,0,SUMIFS('Por foco'!$E$2:$E$579,'Por foco'!$A$2:$A$579,$A42,'Por foco'!$B$2:$B$579,$B42)/C42)</f>
        <v>0.5</v>
      </c>
      <c r="F42" s="3" t="n">
        <f aca="false">SUMIFS('Por foco'!$H$2:$H$579,'Por foco'!$A$2:$A$579,$A42,'Por foco'!$B$2:$B$579,$B42)</f>
        <v>595</v>
      </c>
      <c r="G42" s="3" t="n">
        <f aca="false">SUMIFS('Por foco'!$I$2:$I$579,'Por foco'!$A$2:$A$579,$A42,'Por foco'!$B$2:$B$579,$B42)</f>
        <v>150</v>
      </c>
      <c r="H42" s="3" t="n">
        <f aca="false">SUMIFS('Por foco'!$J$2:$J$579,'Por foco'!$A$2:$A$579,$A42,'Por foco'!$B$2:$B$579,$B42)</f>
        <v>0</v>
      </c>
      <c r="I42" s="3" t="n">
        <f aca="false">SUMIFS('Por foco'!$K$2:$K$579,'Por foco'!$A$2:$A$579,$A42,'Por foco'!$B$2:$B$579,$B42)</f>
        <v>25</v>
      </c>
      <c r="J42" s="3" t="n">
        <f aca="false">SUMIFS('Por foco'!$L$2:$L$579,'Por foco'!$A$2:$A$579,$A42,'Por foco'!$B$2:$B$579,$B42)</f>
        <v>50000</v>
      </c>
      <c r="K42" s="3" t="n">
        <f aca="false">SUMIFS('Por foco'!$M$2:$M$579,'Por foco'!$A$2:$A$579,$A42,'Por foco'!$B$2:$B$579,$B42)</f>
        <v>75</v>
      </c>
      <c r="L42" s="3" t="n">
        <f aca="false">SUMIFS('Por foco'!$N$2:$N$579,'Por foco'!$A$2:$A$579,$A42,'Por foco'!$B$2:$B$579,$B42)</f>
        <v>0</v>
      </c>
      <c r="M42" s="3" t="n">
        <f aca="false">SUMIFS('Por foco'!$O$2:$O$579,'Por foco'!$A$2:$A$579,$A42,'Por foco'!$B$2:$B$579,$B42)</f>
        <v>0</v>
      </c>
      <c r="N42" s="3" t="n">
        <f aca="false">SUMIFS('Por foco'!$P$2:$P$579,'Por foco'!$A$2:$A$579,$A42,'Por foco'!$B$2:$B$579,$B42)</f>
        <v>1</v>
      </c>
      <c r="O42" s="3" t="n">
        <f aca="false">SUMIFS('Por foco'!$Q$2:$Q$579,'Por foco'!$A$2:$A$579,$A42,'Por foco'!$B$2:$B$579,$B42)</f>
        <v>0</v>
      </c>
      <c r="P42" s="3" t="n">
        <f aca="false">SUMIFS('Por foco'!$R$2:$R$579,'Por foco'!$A$2:$A$579,$A42,'Por foco'!$B$2:$B$579,$B42)</f>
        <v>0</v>
      </c>
      <c r="Q42" s="3" t="n">
        <f aca="false">SUMIFS('Por foco'!$S$2:$S$579,'Por foco'!$A$2:$A$579,$A42,'Por foco'!$B$2:$B$579,$B42)</f>
        <v>0</v>
      </c>
      <c r="R42" s="3" t="n">
        <f aca="false">SUMIFS('Por foco'!$T$2:$T$579,'Por foco'!$A$2:$A$579,$A42,'Por foco'!$B$2:$B$579,$B42)</f>
        <v>0</v>
      </c>
      <c r="S42" s="3" t="n">
        <f aca="false">SUMIFS('Por foco'!$U$2:$U$579,'Por foco'!$A$2:$A$579,$A42,'Por foco'!$B$2:$B$579,$B42)</f>
        <v>2</v>
      </c>
      <c r="T42" s="3" t="n">
        <f aca="false">SUMIFS('Por foco'!$V$2:$V$579,'Por foco'!$A$2:$A$579,$A42,'Por foco'!$B$2:$B$579,$B42)</f>
        <v>0</v>
      </c>
      <c r="U42" s="3" t="n">
        <f aca="false">SUMIFS('Por foco'!$W$2:$W$579,'Por foco'!$A$2:$A$579,$A42,'Por foco'!$B$2:$B$579,$B42)</f>
        <v>0</v>
      </c>
      <c r="V42" s="3" t="n">
        <f aca="false">SUMIFS('Por foco'!$X$2:$X$579,'Por foco'!$A$2:$A$579,$A42,'Por foco'!$B$2:$B$579,$B42)</f>
        <v>0</v>
      </c>
      <c r="W42" s="3" t="n">
        <f aca="false">SUMIFS('Por foco'!$Y$2:$Y$579,'Por foco'!$A$2:$A$579,$A42,'Por foco'!$B$2:$B$579,$B42)</f>
        <v>0</v>
      </c>
      <c r="X42" s="3" t="n">
        <f aca="false">SUMIFS('Por foco'!$Z$2:$Z$579,'Por foco'!$A$2:$A$579,$A42,'Por foco'!$B$2:$B$579,$B42)</f>
        <v>13</v>
      </c>
      <c r="Y42" s="3" t="n">
        <f aca="false">SUMIFS('Por foco'!$AA$2:$AA$579,'Por foco'!$A$2:$A$579,$A42,'Por foco'!$B$2:$B$579,$B42)</f>
        <v>0.15</v>
      </c>
      <c r="Z42" s="3" t="n">
        <f aca="false">SUMIFS('Por foco'!$AB$2:$AB$579,'Por foco'!$A$2:$A$579,$A42,'Por foco'!$B$2:$B$579,$B42)</f>
        <v>15</v>
      </c>
      <c r="AA42" s="3" t="n">
        <f aca="false">SUMIFS('Por foco'!$AC$2:$AC$579,'Por foco'!$A$2:$A$579,$A42,'Por foco'!$B$2:$B$579,$B42)</f>
        <v>10</v>
      </c>
      <c r="AB42" s="3" t="n">
        <f aca="false">SUMIFS('Por foco'!$AD$2:$AD$579,'Por foco'!$A$2:$A$579,$A42,'Por foco'!$B$2:$B$579,$B42)</f>
        <v>0</v>
      </c>
      <c r="AC42" s="3" t="n">
        <f aca="false">SUMIFS('Por foco'!$AE$2:$AE$579,'Por foco'!$A$2:$A$579,$A42,'Por foco'!$B$2:$B$579,$B42)</f>
        <v>0</v>
      </c>
      <c r="AD42" s="3" t="n">
        <f aca="false">SUMIFS('Por foco'!$AF$2:$AF$579,'Por foco'!$A$2:$A$579,$A42,'Por foco'!$B$2:$B$579,$B42)</f>
        <v>0</v>
      </c>
      <c r="AE42" s="3" t="n">
        <f aca="false">SUMIFS('Por foco'!$AG$2:$AG$579,'Por foco'!$A$2:$A$579,$A42,'Por foco'!$B$2:$B$579,$B42)</f>
        <v>10</v>
      </c>
      <c r="AF42" s="3" t="n">
        <f aca="false">SUMIFS('Por foco'!$AH$2:$AH$579,'Por foco'!$A$2:$A$579,$A42,'Por foco'!$B$2:$B$579,$B42)</f>
        <v>0</v>
      </c>
      <c r="AG42" s="3" t="n">
        <f aca="false">SUMIFS('Por foco'!$AI$2:$AI$579,'Por foco'!$A$2:$A$579,$A42,'Por foco'!$B$2:$B$579,$B42)</f>
        <v>10</v>
      </c>
      <c r="AH42" s="3" t="n">
        <f aca="false">SUMIFS('Por foco'!$AJ$2:$AJ$579,'Por foco'!$A$2:$A$579,$A42,'Por foco'!$B$2:$B$579,$B42)</f>
        <v>0</v>
      </c>
      <c r="AI42" s="3" t="n">
        <f aca="false">SUMIFS('Por foco'!$AK$2:$AK$579,'Por foco'!$A$2:$A$579,$A42,'Por foco'!$B$2:$B$579,$B42)</f>
        <v>0</v>
      </c>
      <c r="AJ42" s="3" t="n">
        <f aca="false">SUMIFS('Por foco'!$AL$2:$AL$579,'Por foco'!$A$2:$A$579,$A42,'Por foco'!$B$2:$B$579,$B42)</f>
        <v>-5</v>
      </c>
      <c r="AK42" s="3" t="n">
        <f aca="false">SUMIFS('Por foco'!$AM$2:$AM$579,'Por foco'!$A$2:$A$579,$A42,'Por foco'!$B$2:$B$579,$B42)</f>
        <v>0</v>
      </c>
      <c r="AL42" s="3" t="n">
        <f aca="false">SUMIFS('Por foco'!$AN$2:$AN$579,'Por foco'!$A$2:$A$579,$A42,'Por foco'!$B$2:$B$579,$B42)</f>
        <v>0</v>
      </c>
      <c r="AM42" s="3" t="n">
        <f aca="false">SUMIFS('Por foco'!$AO$2:$AO$579,'Por foco'!$A$2:$A$579,$A42,'Por foco'!$B$2:$B$579,$B42)</f>
        <v>0</v>
      </c>
      <c r="AN42" s="3" t="n">
        <f aca="false">SUMIFS('Por foco'!$AP$2:$AP$579,'Por foco'!$A$2:$A$579,$A42,'Por foco'!$B$2:$B$579,$B42)</f>
        <v>0</v>
      </c>
      <c r="AO42" s="3" t="n">
        <f aca="false">SUMIFS('Por foco'!$AQ$2:$AQ$579,'Por foco'!$A$2:$A$579,$A42,'Por foco'!$B$2:$B$579,$B42)</f>
        <v>10</v>
      </c>
      <c r="AP42" s="3" t="n">
        <f aca="false">SUMIFS('Por foco'!$AR$2:$AR$579,'Por foco'!$A$2:$A$579,$A42,'Por foco'!$B$2:$B$579,$B42)</f>
        <v>0</v>
      </c>
      <c r="AQ42" s="3" t="n">
        <f aca="false">SUMIFS('Por foco'!$AS$2:$AS$579,'Por foco'!$A$2:$A$579,$A42,'Por foco'!$B$2:$B$579,$B42)</f>
        <v>10</v>
      </c>
      <c r="AR42" s="3" t="n">
        <f aca="false">SUMIFS('Por foco'!$AT$2:$AT$579,'Por foco'!$A$2:$A$579,$A42,'Por foco'!$B$2:$B$579,$B42)</f>
        <v>0</v>
      </c>
      <c r="AS42" s="3" t="n">
        <f aca="false">SUMIFS('Por foco'!$AU$2:$AU$579,'Por foco'!$A$2:$A$579,$A42,'Por foco'!$B$2:$B$579,$B42)</f>
        <v>0</v>
      </c>
      <c r="AT42" s="3" t="n">
        <f aca="false">SUMIFS('Por foco'!$AV$2:$AV$579,'Por foco'!$A$2:$A$579,$A42,'Por foco'!$B$2:$B$579,$B42)</f>
        <v>0</v>
      </c>
      <c r="AU42" s="3" t="n">
        <f aca="false">SUMIFS('Por foco'!$AW$2:$AW$579,'Por foco'!$A$2:$A$579,$A42,'Por foco'!$B$2:$B$579,$B42)</f>
        <v>0</v>
      </c>
      <c r="AV42" s="3" t="n">
        <f aca="false">SUMIFS('Por foco'!$AX$2:$AX$579,'Por foco'!$A$2:$A$579,$A42,'Por foco'!$B$2:$B$579,$B42)</f>
        <v>0</v>
      </c>
      <c r="AW42" s="3" t="n">
        <f aca="false">SUMIFS('Por foco'!$AY$2:$AY$579,'Por foco'!$A$2:$A$579,$A42,'Por foco'!$B$2:$B$579,$B42)</f>
        <v>0</v>
      </c>
      <c r="AX42" s="3" t="n">
        <f aca="false">SUMIFS('Por foco'!$AZ$2:$AZ$579,'Por foco'!$A$2:$A$579,$A42,'Por foco'!$B$2:$B$579,$B42)</f>
        <v>0</v>
      </c>
      <c r="AY42" s="3" t="n">
        <f aca="false">SUMIFS('Por foco'!$BA$2:$BA$579,'Por foco'!$A$2:$A$579,$A42,'Por foco'!$B$2:$B$579,$B42)</f>
        <v>0</v>
      </c>
      <c r="AZ42" s="3" t="n">
        <f aca="false">SUMIFS('Por foco'!$BB$2:$BB$579,'Por foco'!$A$2:$A$579,$A42,'Por foco'!$B$2:$B$579,$B42)</f>
        <v>0</v>
      </c>
      <c r="BA42" s="3" t="n">
        <f aca="false">SUMIFS('Por foco'!$BC$2:$BC$579,'Por foco'!$A$2:$A$579,$A42,'Por foco'!$B$2:$B$579,$B42)</f>
        <v>0</v>
      </c>
      <c r="BB42" s="3" t="n">
        <f aca="false">SUMIFS('Por foco'!$BD$2:$BD$579,'Por foco'!$A$2:$A$579,$A42,'Por foco'!$B$2:$B$579,$B42)</f>
        <v>0</v>
      </c>
      <c r="BC42" s="3" t="n">
        <f aca="false">SUMIFS('Por foco'!$BE$2:$BE$579,'Por foco'!$A$2:$A$579,$A42,'Por foco'!$B$2:$B$579,$B42)</f>
        <v>0</v>
      </c>
      <c r="BD42" s="3" t="n">
        <f aca="false">SUMIFS('Por foco'!$BF$2:$BF$579,'Por foco'!$A$2:$A$579,$A42,'Por foco'!$B$2:$B$579,$B42)</f>
        <v>0</v>
      </c>
      <c r="BE42" s="3" t="n">
        <f aca="false">SUMIFS('Por foco'!$BG$2:$BG$579,'Por foco'!$A$2:$A$579,$A42,'Por foco'!$B$2:$B$579,$B42)</f>
        <v>0</v>
      </c>
    </row>
    <row r="43" customFormat="false" ht="15" hidden="false" customHeight="false" outlineLevel="0" collapsed="false">
      <c r="A43" s="3" t="s">
        <v>64</v>
      </c>
      <c r="B43" s="3" t="s">
        <v>80</v>
      </c>
      <c r="C43" s="3" t="n">
        <f aca="false">COUNTIFS('Por foco'!$A$2:$A$579,$A43,'Por foco'!$B$2:$B$579,$B43)</f>
        <v>4</v>
      </c>
      <c r="D43" s="6" t="n">
        <f aca="false">SUMIFS('Por foco'!$F$2:$F$579,'Por foco'!$A$2:$A$579,$A43,'Por foco'!$B$2:$B$579,$B43)</f>
        <v>734.5</v>
      </c>
      <c r="E43" s="3" t="n">
        <f aca="false">IF(C43=0,0,SUMIFS('Por foco'!$E$2:$E$579,'Por foco'!$A$2:$A$579,$A43,'Por foco'!$B$2:$B$579,$B43)/C43)</f>
        <v>1</v>
      </c>
      <c r="F43" s="3" t="n">
        <f aca="false">SUMIFS('Por foco'!$H$2:$H$579,'Por foco'!$A$2:$A$579,$A43,'Por foco'!$B$2:$B$579,$B43)</f>
        <v>315</v>
      </c>
      <c r="G43" s="3" t="n">
        <f aca="false">SUMIFS('Por foco'!$I$2:$I$579,'Por foco'!$A$2:$A$579,$A43,'Por foco'!$B$2:$B$579,$B43)</f>
        <v>170</v>
      </c>
      <c r="H43" s="3" t="n">
        <f aca="false">SUMIFS('Por foco'!$J$2:$J$579,'Por foco'!$A$2:$A$579,$A43,'Por foco'!$B$2:$B$579,$B43)</f>
        <v>5</v>
      </c>
      <c r="I43" s="3" t="n">
        <f aca="false">SUMIFS('Por foco'!$K$2:$K$579,'Por foco'!$A$2:$A$579,$A43,'Por foco'!$B$2:$B$579,$B43)</f>
        <v>5</v>
      </c>
      <c r="J43" s="3" t="n">
        <f aca="false">SUMIFS('Por foco'!$L$2:$L$579,'Por foco'!$A$2:$A$579,$A43,'Por foco'!$B$2:$B$579,$B43)</f>
        <v>0</v>
      </c>
      <c r="K43" s="3" t="n">
        <f aca="false">SUMIFS('Por foco'!$M$2:$M$579,'Por foco'!$A$2:$A$579,$A43,'Por foco'!$B$2:$B$579,$B43)</f>
        <v>25</v>
      </c>
      <c r="L43" s="3" t="n">
        <f aca="false">SUMIFS('Por foco'!$N$2:$N$579,'Por foco'!$A$2:$A$579,$A43,'Por foco'!$B$2:$B$579,$B43)</f>
        <v>0</v>
      </c>
      <c r="M43" s="3" t="n">
        <f aca="false">SUMIFS('Por foco'!$O$2:$O$579,'Por foco'!$A$2:$A$579,$A43,'Por foco'!$B$2:$B$579,$B43)</f>
        <v>0</v>
      </c>
      <c r="N43" s="3" t="n">
        <f aca="false">SUMIFS('Por foco'!$P$2:$P$579,'Por foco'!$A$2:$A$579,$A43,'Por foco'!$B$2:$B$579,$B43)</f>
        <v>0</v>
      </c>
      <c r="O43" s="3" t="n">
        <f aca="false">SUMIFS('Por foco'!$Q$2:$Q$579,'Por foco'!$A$2:$A$579,$A43,'Por foco'!$B$2:$B$579,$B43)</f>
        <v>0</v>
      </c>
      <c r="P43" s="3" t="n">
        <f aca="false">SUMIFS('Por foco'!$R$2:$R$579,'Por foco'!$A$2:$A$579,$A43,'Por foco'!$B$2:$B$579,$B43)</f>
        <v>0</v>
      </c>
      <c r="Q43" s="3" t="n">
        <f aca="false">SUMIFS('Por foco'!$S$2:$S$579,'Por foco'!$A$2:$A$579,$A43,'Por foco'!$B$2:$B$579,$B43)</f>
        <v>0</v>
      </c>
      <c r="R43" s="3" t="n">
        <f aca="false">SUMIFS('Por foco'!$T$2:$T$579,'Por foco'!$A$2:$A$579,$A43,'Por foco'!$B$2:$B$579,$B43)</f>
        <v>0</v>
      </c>
      <c r="S43" s="3" t="n">
        <f aca="false">SUMIFS('Por foco'!$U$2:$U$579,'Por foco'!$A$2:$A$579,$A43,'Por foco'!$B$2:$B$579,$B43)</f>
        <v>0</v>
      </c>
      <c r="T43" s="3" t="n">
        <f aca="false">SUMIFS('Por foco'!$V$2:$V$579,'Por foco'!$A$2:$A$579,$A43,'Por foco'!$B$2:$B$579,$B43)</f>
        <v>0</v>
      </c>
      <c r="U43" s="3" t="n">
        <f aca="false">SUMIFS('Por foco'!$W$2:$W$579,'Por foco'!$A$2:$A$579,$A43,'Por foco'!$B$2:$B$579,$B43)</f>
        <v>0</v>
      </c>
      <c r="V43" s="3" t="n">
        <f aca="false">SUMIFS('Por foco'!$X$2:$X$579,'Por foco'!$A$2:$A$579,$A43,'Por foco'!$B$2:$B$579,$B43)</f>
        <v>0</v>
      </c>
      <c r="W43" s="3" t="n">
        <f aca="false">SUMIFS('Por foco'!$Y$2:$Y$579,'Por foco'!$A$2:$A$579,$A43,'Por foco'!$B$2:$B$579,$B43)</f>
        <v>0</v>
      </c>
      <c r="X43" s="3" t="n">
        <f aca="false">SUMIFS('Por foco'!$Z$2:$Z$579,'Por foco'!$A$2:$A$579,$A43,'Por foco'!$B$2:$B$579,$B43)</f>
        <v>7</v>
      </c>
      <c r="Y43" s="3" t="n">
        <f aca="false">SUMIFS('Por foco'!$AA$2:$AA$579,'Por foco'!$A$2:$A$579,$A43,'Por foco'!$B$2:$B$579,$B43)</f>
        <v>0.15</v>
      </c>
      <c r="Z43" s="3" t="n">
        <f aca="false">SUMIFS('Por foco'!$AB$2:$AB$579,'Por foco'!$A$2:$A$579,$A43,'Por foco'!$B$2:$B$579,$B43)</f>
        <v>5</v>
      </c>
      <c r="AA43" s="3" t="n">
        <f aca="false">SUMIFS('Por foco'!$AC$2:$AC$579,'Por foco'!$A$2:$A$579,$A43,'Por foco'!$B$2:$B$579,$B43)</f>
        <v>0</v>
      </c>
      <c r="AB43" s="3" t="n">
        <f aca="false">SUMIFS('Por foco'!$AD$2:$AD$579,'Por foco'!$A$2:$A$579,$A43,'Por foco'!$B$2:$B$579,$B43)</f>
        <v>0</v>
      </c>
      <c r="AC43" s="3" t="n">
        <f aca="false">SUMIFS('Por foco'!$AE$2:$AE$579,'Por foco'!$A$2:$A$579,$A43,'Por foco'!$B$2:$B$579,$B43)</f>
        <v>0</v>
      </c>
      <c r="AD43" s="3" t="n">
        <f aca="false">SUMIFS('Por foco'!$AF$2:$AF$579,'Por foco'!$A$2:$A$579,$A43,'Por foco'!$B$2:$B$579,$B43)</f>
        <v>0</v>
      </c>
      <c r="AE43" s="3" t="n">
        <f aca="false">SUMIFS('Por foco'!$AG$2:$AG$579,'Por foco'!$A$2:$A$579,$A43,'Por foco'!$B$2:$B$579,$B43)</f>
        <v>0</v>
      </c>
      <c r="AF43" s="3" t="n">
        <f aca="false">SUMIFS('Por foco'!$AH$2:$AH$579,'Por foco'!$A$2:$A$579,$A43,'Por foco'!$B$2:$B$579,$B43)</f>
        <v>0</v>
      </c>
      <c r="AG43" s="3" t="n">
        <f aca="false">SUMIFS('Por foco'!$AI$2:$AI$579,'Por foco'!$A$2:$A$579,$A43,'Por foco'!$B$2:$B$579,$B43)</f>
        <v>0</v>
      </c>
      <c r="AH43" s="3" t="n">
        <f aca="false">SUMIFS('Por foco'!$AJ$2:$AJ$579,'Por foco'!$A$2:$A$579,$A43,'Por foco'!$B$2:$B$579,$B43)</f>
        <v>0</v>
      </c>
      <c r="AI43" s="3" t="n">
        <f aca="false">SUMIFS('Por foco'!$AK$2:$AK$579,'Por foco'!$A$2:$A$579,$A43,'Por foco'!$B$2:$B$579,$B43)</f>
        <v>0</v>
      </c>
      <c r="AJ43" s="3" t="n">
        <f aca="false">SUMIFS('Por foco'!$AL$2:$AL$579,'Por foco'!$A$2:$A$579,$A43,'Por foco'!$B$2:$B$579,$B43)</f>
        <v>0</v>
      </c>
      <c r="AK43" s="3" t="n">
        <f aca="false">SUMIFS('Por foco'!$AM$2:$AM$579,'Por foco'!$A$2:$A$579,$A43,'Por foco'!$B$2:$B$579,$B43)</f>
        <v>0</v>
      </c>
      <c r="AL43" s="3" t="n">
        <f aca="false">SUMIFS('Por foco'!$AN$2:$AN$579,'Por foco'!$A$2:$A$579,$A43,'Por foco'!$B$2:$B$579,$B43)</f>
        <v>0</v>
      </c>
      <c r="AM43" s="3" t="n">
        <f aca="false">SUMIFS('Por foco'!$AO$2:$AO$579,'Por foco'!$A$2:$A$579,$A43,'Por foco'!$B$2:$B$579,$B43)</f>
        <v>0</v>
      </c>
      <c r="AN43" s="3" t="n">
        <f aca="false">SUMIFS('Por foco'!$AP$2:$AP$579,'Por foco'!$A$2:$A$579,$A43,'Por foco'!$B$2:$B$579,$B43)</f>
        <v>5</v>
      </c>
      <c r="AO43" s="3" t="n">
        <f aca="false">SUMIFS('Por foco'!$AQ$2:$AQ$579,'Por foco'!$A$2:$A$579,$A43,'Por foco'!$B$2:$B$579,$B43)</f>
        <v>0</v>
      </c>
      <c r="AP43" s="3" t="n">
        <f aca="false">SUMIFS('Por foco'!$AR$2:$AR$579,'Por foco'!$A$2:$A$579,$A43,'Por foco'!$B$2:$B$579,$B43)</f>
        <v>0</v>
      </c>
      <c r="AQ43" s="3" t="n">
        <f aca="false">SUMIFS('Por foco'!$AS$2:$AS$579,'Por foco'!$A$2:$A$579,$A43,'Por foco'!$B$2:$B$579,$B43)</f>
        <v>0</v>
      </c>
      <c r="AR43" s="3" t="n">
        <f aca="false">SUMIFS('Por foco'!$AT$2:$AT$579,'Por foco'!$A$2:$A$579,$A43,'Por foco'!$B$2:$B$579,$B43)</f>
        <v>0</v>
      </c>
      <c r="AS43" s="3" t="n">
        <f aca="false">SUMIFS('Por foco'!$AU$2:$AU$579,'Por foco'!$A$2:$A$579,$A43,'Por foco'!$B$2:$B$579,$B43)</f>
        <v>0</v>
      </c>
      <c r="AT43" s="3" t="n">
        <f aca="false">SUMIFS('Por foco'!$AV$2:$AV$579,'Por foco'!$A$2:$A$579,$A43,'Por foco'!$B$2:$B$579,$B43)</f>
        <v>0</v>
      </c>
      <c r="AU43" s="3" t="n">
        <f aca="false">SUMIFS('Por foco'!$AW$2:$AW$579,'Por foco'!$A$2:$A$579,$A43,'Por foco'!$B$2:$B$579,$B43)</f>
        <v>0</v>
      </c>
      <c r="AV43" s="3" t="n">
        <f aca="false">SUMIFS('Por foco'!$AX$2:$AX$579,'Por foco'!$A$2:$A$579,$A43,'Por foco'!$B$2:$B$579,$B43)</f>
        <v>0</v>
      </c>
      <c r="AW43" s="3" t="n">
        <f aca="false">SUMIFS('Por foco'!$AY$2:$AY$579,'Por foco'!$A$2:$A$579,$A43,'Por foco'!$B$2:$B$579,$B43)</f>
        <v>0</v>
      </c>
      <c r="AX43" s="3" t="n">
        <f aca="false">SUMIFS('Por foco'!$AZ$2:$AZ$579,'Por foco'!$A$2:$A$579,$A43,'Por foco'!$B$2:$B$579,$B43)</f>
        <v>0</v>
      </c>
      <c r="AY43" s="3" t="n">
        <f aca="false">SUMIFS('Por foco'!$BA$2:$BA$579,'Por foco'!$A$2:$A$579,$A43,'Por foco'!$B$2:$B$579,$B43)</f>
        <v>0</v>
      </c>
      <c r="AZ43" s="3" t="n">
        <f aca="false">SUMIFS('Por foco'!$BB$2:$BB$579,'Por foco'!$A$2:$A$579,$A43,'Por foco'!$B$2:$B$579,$B43)</f>
        <v>0</v>
      </c>
      <c r="BA43" s="3" t="n">
        <f aca="false">SUMIFS('Por foco'!$BC$2:$BC$579,'Por foco'!$A$2:$A$579,$A43,'Por foco'!$B$2:$B$579,$B43)</f>
        <v>0</v>
      </c>
      <c r="BB43" s="3" t="n">
        <f aca="false">SUMIFS('Por foco'!$BD$2:$BD$579,'Por foco'!$A$2:$A$579,$A43,'Por foco'!$B$2:$B$579,$B43)</f>
        <v>0</v>
      </c>
      <c r="BC43" s="3" t="n">
        <f aca="false">SUMIFS('Por foco'!$BE$2:$BE$579,'Por foco'!$A$2:$A$579,$A43,'Por foco'!$B$2:$B$579,$B43)</f>
        <v>0</v>
      </c>
      <c r="BD43" s="3" t="n">
        <f aca="false">SUMIFS('Por foco'!$BF$2:$BF$579,'Por foco'!$A$2:$A$579,$A43,'Por foco'!$B$2:$B$579,$B43)</f>
        <v>0</v>
      </c>
      <c r="BE43" s="3" t="n">
        <f aca="false">SUMIFS('Por foco'!$BG$2:$BG$579,'Por foco'!$A$2:$A$579,$A43,'Por foco'!$B$2:$B$579,$B43)</f>
        <v>0</v>
      </c>
    </row>
    <row r="44" customFormat="false" ht="15" hidden="false" customHeight="false" outlineLevel="0" collapsed="false">
      <c r="A44" s="3" t="s">
        <v>64</v>
      </c>
      <c r="B44" s="3" t="s">
        <v>116</v>
      </c>
      <c r="C44" s="3" t="n">
        <f aca="false">COUNTIFS('Por foco'!$A$2:$A$579,$A44,'Por foco'!$B$2:$B$579,$B44)</f>
        <v>7</v>
      </c>
      <c r="D44" s="6" t="n">
        <f aca="false">SUMIFS('Por foco'!$F$2:$F$579,'Por foco'!$A$2:$A$579,$A44,'Por foco'!$B$2:$B$579,$B44)</f>
        <v>1348</v>
      </c>
      <c r="E44" s="3" t="n">
        <f aca="false">IF(C44=0,0,SUMIFS('Por foco'!$E$2:$E$579,'Por foco'!$A$2:$A$579,$A44,'Por foco'!$B$2:$B$579,$B44)/C44)</f>
        <v>0.571428571428571</v>
      </c>
      <c r="F44" s="3" t="n">
        <f aca="false">SUMIFS('Por foco'!$H$2:$H$579,'Por foco'!$A$2:$A$579,$A44,'Por foco'!$B$2:$B$579,$B44)</f>
        <v>469</v>
      </c>
      <c r="G44" s="3" t="n">
        <f aca="false">SUMIFS('Por foco'!$I$2:$I$579,'Por foco'!$A$2:$A$579,$A44,'Por foco'!$B$2:$B$579,$B44)</f>
        <v>100</v>
      </c>
      <c r="H44" s="3" t="n">
        <f aca="false">SUMIFS('Por foco'!$J$2:$J$579,'Por foco'!$A$2:$A$579,$A44,'Por foco'!$B$2:$B$579,$B44)</f>
        <v>10</v>
      </c>
      <c r="I44" s="3" t="n">
        <f aca="false">SUMIFS('Por foco'!$K$2:$K$579,'Por foco'!$A$2:$A$579,$A44,'Por foco'!$B$2:$B$579,$B44)</f>
        <v>0</v>
      </c>
      <c r="J44" s="3" t="n">
        <f aca="false">SUMIFS('Por foco'!$L$2:$L$579,'Por foco'!$A$2:$A$579,$A44,'Por foco'!$B$2:$B$579,$B44)</f>
        <v>0</v>
      </c>
      <c r="K44" s="3" t="n">
        <f aca="false">SUMIFS('Por foco'!$M$2:$M$579,'Por foco'!$A$2:$A$579,$A44,'Por foco'!$B$2:$B$579,$B44)</f>
        <v>0</v>
      </c>
      <c r="L44" s="3" t="n">
        <f aca="false">SUMIFS('Por foco'!$N$2:$N$579,'Por foco'!$A$2:$A$579,$A44,'Por foco'!$B$2:$B$579,$B44)</f>
        <v>0</v>
      </c>
      <c r="M44" s="3" t="n">
        <f aca="false">SUMIFS('Por foco'!$O$2:$O$579,'Por foco'!$A$2:$A$579,$A44,'Por foco'!$B$2:$B$579,$B44)</f>
        <v>0</v>
      </c>
      <c r="N44" s="3" t="n">
        <f aca="false">SUMIFS('Por foco'!$P$2:$P$579,'Por foco'!$A$2:$A$579,$A44,'Por foco'!$B$2:$B$579,$B44)</f>
        <v>0</v>
      </c>
      <c r="O44" s="3" t="n">
        <f aca="false">SUMIFS('Por foco'!$Q$2:$Q$579,'Por foco'!$A$2:$A$579,$A44,'Por foco'!$B$2:$B$579,$B44)</f>
        <v>0</v>
      </c>
      <c r="P44" s="3" t="n">
        <f aca="false">SUMIFS('Por foco'!$R$2:$R$579,'Por foco'!$A$2:$A$579,$A44,'Por foco'!$B$2:$B$579,$B44)</f>
        <v>5</v>
      </c>
      <c r="Q44" s="3" t="n">
        <f aca="false">SUMIFS('Por foco'!$S$2:$S$579,'Por foco'!$A$2:$A$579,$A44,'Por foco'!$B$2:$B$579,$B44)</f>
        <v>0</v>
      </c>
      <c r="R44" s="3" t="n">
        <f aca="false">SUMIFS('Por foco'!$T$2:$T$579,'Por foco'!$A$2:$A$579,$A44,'Por foco'!$B$2:$B$579,$B44)</f>
        <v>0</v>
      </c>
      <c r="S44" s="3" t="n">
        <f aca="false">SUMIFS('Por foco'!$U$2:$U$579,'Por foco'!$A$2:$A$579,$A44,'Por foco'!$B$2:$B$579,$B44)</f>
        <v>0</v>
      </c>
      <c r="T44" s="3" t="n">
        <f aca="false">SUMIFS('Por foco'!$V$2:$V$579,'Por foco'!$A$2:$A$579,$A44,'Por foco'!$B$2:$B$579,$B44)</f>
        <v>0</v>
      </c>
      <c r="U44" s="3" t="n">
        <f aca="false">SUMIFS('Por foco'!$W$2:$W$579,'Por foco'!$A$2:$A$579,$A44,'Por foco'!$B$2:$B$579,$B44)</f>
        <v>0</v>
      </c>
      <c r="V44" s="3" t="n">
        <f aca="false">SUMIFS('Por foco'!$X$2:$X$579,'Por foco'!$A$2:$A$579,$A44,'Por foco'!$B$2:$B$579,$B44)</f>
        <v>0</v>
      </c>
      <c r="W44" s="3" t="n">
        <f aca="false">SUMIFS('Por foco'!$Y$2:$Y$579,'Por foco'!$A$2:$A$579,$A44,'Por foco'!$B$2:$B$579,$B44)</f>
        <v>0</v>
      </c>
      <c r="X44" s="3" t="n">
        <f aca="false">SUMIFS('Por foco'!$Z$2:$Z$579,'Por foco'!$A$2:$A$579,$A44,'Por foco'!$B$2:$B$579,$B44)</f>
        <v>0</v>
      </c>
      <c r="Y44" s="3" t="n">
        <f aca="false">SUMIFS('Por foco'!$AA$2:$AA$579,'Por foco'!$A$2:$A$579,$A44,'Por foco'!$B$2:$B$579,$B44)</f>
        <v>0.1</v>
      </c>
      <c r="Z44" s="3" t="n">
        <f aca="false">SUMIFS('Por foco'!$AB$2:$AB$579,'Por foco'!$A$2:$A$579,$A44,'Por foco'!$B$2:$B$579,$B44)</f>
        <v>20</v>
      </c>
      <c r="AA44" s="3" t="n">
        <f aca="false">SUMIFS('Por foco'!$AC$2:$AC$579,'Por foco'!$A$2:$A$579,$A44,'Por foco'!$B$2:$B$579,$B44)</f>
        <v>0</v>
      </c>
      <c r="AB44" s="3" t="n">
        <f aca="false">SUMIFS('Por foco'!$AD$2:$AD$579,'Por foco'!$A$2:$A$579,$A44,'Por foco'!$B$2:$B$579,$B44)</f>
        <v>0</v>
      </c>
      <c r="AC44" s="3" t="n">
        <f aca="false">SUMIFS('Por foco'!$AE$2:$AE$579,'Por foco'!$A$2:$A$579,$A44,'Por foco'!$B$2:$B$579,$B44)</f>
        <v>0</v>
      </c>
      <c r="AD44" s="3" t="n">
        <f aca="false">SUMIFS('Por foco'!$AF$2:$AF$579,'Por foco'!$A$2:$A$579,$A44,'Por foco'!$B$2:$B$579,$B44)</f>
        <v>0</v>
      </c>
      <c r="AE44" s="3" t="n">
        <f aca="false">SUMIFS('Por foco'!$AG$2:$AG$579,'Por foco'!$A$2:$A$579,$A44,'Por foco'!$B$2:$B$579,$B44)</f>
        <v>-5</v>
      </c>
      <c r="AF44" s="3" t="n">
        <f aca="false">SUMIFS('Por foco'!$AH$2:$AH$579,'Por foco'!$A$2:$A$579,$A44,'Por foco'!$B$2:$B$579,$B44)</f>
        <v>0</v>
      </c>
      <c r="AG44" s="3" t="n">
        <f aca="false">SUMIFS('Por foco'!$AI$2:$AI$579,'Por foco'!$A$2:$A$579,$A44,'Por foco'!$B$2:$B$579,$B44)</f>
        <v>15</v>
      </c>
      <c r="AH44" s="3" t="n">
        <f aca="false">SUMIFS('Por foco'!$AJ$2:$AJ$579,'Por foco'!$A$2:$A$579,$A44,'Por foco'!$B$2:$B$579,$B44)</f>
        <v>0</v>
      </c>
      <c r="AI44" s="3" t="n">
        <f aca="false">SUMIFS('Por foco'!$AK$2:$AK$579,'Por foco'!$A$2:$A$579,$A44,'Por foco'!$B$2:$B$579,$B44)</f>
        <v>0</v>
      </c>
      <c r="AJ44" s="3" t="n">
        <f aca="false">SUMIFS('Por foco'!$AL$2:$AL$579,'Por foco'!$A$2:$A$579,$A44,'Por foco'!$B$2:$B$579,$B44)</f>
        <v>0</v>
      </c>
      <c r="AK44" s="3" t="n">
        <f aca="false">SUMIFS('Por foco'!$AM$2:$AM$579,'Por foco'!$A$2:$A$579,$A44,'Por foco'!$B$2:$B$579,$B44)</f>
        <v>0</v>
      </c>
      <c r="AL44" s="3" t="n">
        <f aca="false">SUMIFS('Por foco'!$AN$2:$AN$579,'Por foco'!$A$2:$A$579,$A44,'Por foco'!$B$2:$B$579,$B44)</f>
        <v>0</v>
      </c>
      <c r="AM44" s="3" t="n">
        <f aca="false">SUMIFS('Por foco'!$AO$2:$AO$579,'Por foco'!$A$2:$A$579,$A44,'Por foco'!$B$2:$B$579,$B44)</f>
        <v>0</v>
      </c>
      <c r="AN44" s="3" t="n">
        <f aca="false">SUMIFS('Por foco'!$AP$2:$AP$579,'Por foco'!$A$2:$A$579,$A44,'Por foco'!$B$2:$B$579,$B44)</f>
        <v>10</v>
      </c>
      <c r="AO44" s="3" t="n">
        <f aca="false">SUMIFS('Por foco'!$AQ$2:$AQ$579,'Por foco'!$A$2:$A$579,$A44,'Por foco'!$B$2:$B$579,$B44)</f>
        <v>0</v>
      </c>
      <c r="AP44" s="3" t="n">
        <f aca="false">SUMIFS('Por foco'!$AR$2:$AR$579,'Por foco'!$A$2:$A$579,$A44,'Por foco'!$B$2:$B$579,$B44)</f>
        <v>0</v>
      </c>
      <c r="AQ44" s="3" t="n">
        <f aca="false">SUMIFS('Por foco'!$AS$2:$AS$579,'Por foco'!$A$2:$A$579,$A44,'Por foco'!$B$2:$B$579,$B44)</f>
        <v>0</v>
      </c>
      <c r="AR44" s="3" t="n">
        <f aca="false">SUMIFS('Por foco'!$AT$2:$AT$579,'Por foco'!$A$2:$A$579,$A44,'Por foco'!$B$2:$B$579,$B44)</f>
        <v>0</v>
      </c>
      <c r="AS44" s="3" t="n">
        <f aca="false">SUMIFS('Por foco'!$AU$2:$AU$579,'Por foco'!$A$2:$A$579,$A44,'Por foco'!$B$2:$B$579,$B44)</f>
        <v>0</v>
      </c>
      <c r="AT44" s="3" t="n">
        <f aca="false">SUMIFS('Por foco'!$AV$2:$AV$579,'Por foco'!$A$2:$A$579,$A44,'Por foco'!$B$2:$B$579,$B44)</f>
        <v>0</v>
      </c>
      <c r="AU44" s="3" t="n">
        <f aca="false">SUMIFS('Por foco'!$AW$2:$AW$579,'Por foco'!$A$2:$A$579,$A44,'Por foco'!$B$2:$B$579,$B44)</f>
        <v>0</v>
      </c>
      <c r="AV44" s="3" t="n">
        <f aca="false">SUMIFS('Por foco'!$AX$2:$AX$579,'Por foco'!$A$2:$A$579,$A44,'Por foco'!$B$2:$B$579,$B44)</f>
        <v>0</v>
      </c>
      <c r="AW44" s="3" t="n">
        <f aca="false">SUMIFS('Por foco'!$AY$2:$AY$579,'Por foco'!$A$2:$A$579,$A44,'Por foco'!$B$2:$B$579,$B44)</f>
        <v>0</v>
      </c>
      <c r="AX44" s="3" t="n">
        <f aca="false">SUMIFS('Por foco'!$AZ$2:$AZ$579,'Por foco'!$A$2:$A$579,$A44,'Por foco'!$B$2:$B$579,$B44)</f>
        <v>0</v>
      </c>
      <c r="AY44" s="3" t="n">
        <f aca="false">SUMIFS('Por foco'!$BA$2:$BA$579,'Por foco'!$A$2:$A$579,$A44,'Por foco'!$B$2:$B$579,$B44)</f>
        <v>0</v>
      </c>
      <c r="AZ44" s="3" t="n">
        <f aca="false">SUMIFS('Por foco'!$BB$2:$BB$579,'Por foco'!$A$2:$A$579,$A44,'Por foco'!$B$2:$B$579,$B44)</f>
        <v>0</v>
      </c>
      <c r="BA44" s="3" t="n">
        <f aca="false">SUMIFS('Por foco'!$BC$2:$BC$579,'Por foco'!$A$2:$A$579,$A44,'Por foco'!$B$2:$B$579,$B44)</f>
        <v>0</v>
      </c>
      <c r="BB44" s="3" t="n">
        <f aca="false">SUMIFS('Por foco'!$BD$2:$BD$579,'Por foco'!$A$2:$A$579,$A44,'Por foco'!$B$2:$B$579,$B44)</f>
        <v>0</v>
      </c>
      <c r="BC44" s="3" t="n">
        <f aca="false">SUMIFS('Por foco'!$BE$2:$BE$579,'Por foco'!$A$2:$A$579,$A44,'Por foco'!$B$2:$B$579,$B44)</f>
        <v>0</v>
      </c>
      <c r="BD44" s="3" t="n">
        <f aca="false">SUMIFS('Por foco'!$BF$2:$BF$579,'Por foco'!$A$2:$A$579,$A44,'Por foco'!$B$2:$B$579,$B44)</f>
        <v>0</v>
      </c>
      <c r="BE44" s="3" t="n">
        <f aca="false">SUMIFS('Por foco'!$BG$2:$BG$579,'Por foco'!$A$2:$A$579,$A44,'Por foco'!$B$2:$B$579,$B44)</f>
        <v>0</v>
      </c>
    </row>
    <row r="45" customFormat="false" ht="15" hidden="false" customHeight="false" outlineLevel="0" collapsed="false">
      <c r="A45" s="3" t="s">
        <v>64</v>
      </c>
      <c r="B45" s="3" t="s">
        <v>117</v>
      </c>
      <c r="C45" s="3" t="n">
        <f aca="false">COUNTIFS('Por foco'!$A$2:$A$579,$A45,'Por foco'!$B$2:$B$579,$B45)</f>
        <v>6</v>
      </c>
      <c r="D45" s="6" t="n">
        <f aca="false">SUMIFS('Por foco'!$F$2:$F$579,'Por foco'!$A$2:$A$579,$A45,'Por foco'!$B$2:$B$579,$B45)</f>
        <v>1095</v>
      </c>
      <c r="E45" s="3" t="n">
        <f aca="false">IF(C45=0,0,SUMIFS('Por foco'!$E$2:$E$579,'Por foco'!$A$2:$A$579,$A45,'Por foco'!$B$2:$B$579,$B45)/C45)</f>
        <v>0.5</v>
      </c>
      <c r="F45" s="3" t="n">
        <f aca="false">SUMIFS('Por foco'!$H$2:$H$579,'Por foco'!$A$2:$A$579,$A45,'Por foco'!$B$2:$B$579,$B45)</f>
        <v>420</v>
      </c>
      <c r="G45" s="3" t="n">
        <f aca="false">SUMIFS('Por foco'!$I$2:$I$579,'Por foco'!$A$2:$A$579,$A45,'Por foco'!$B$2:$B$579,$B45)</f>
        <v>100</v>
      </c>
      <c r="H45" s="3" t="n">
        <f aca="false">SUMIFS('Por foco'!$J$2:$J$579,'Por foco'!$A$2:$A$579,$A45,'Por foco'!$B$2:$B$579,$B45)</f>
        <v>0</v>
      </c>
      <c r="I45" s="3" t="n">
        <f aca="false">SUMIFS('Por foco'!$K$2:$K$579,'Por foco'!$A$2:$A$579,$A45,'Por foco'!$B$2:$B$579,$B45)</f>
        <v>0</v>
      </c>
      <c r="J45" s="3" t="n">
        <f aca="false">SUMIFS('Por foco'!$L$2:$L$579,'Por foco'!$A$2:$A$579,$A45,'Por foco'!$B$2:$B$579,$B45)</f>
        <v>0</v>
      </c>
      <c r="K45" s="3" t="n">
        <f aca="false">SUMIFS('Por foco'!$M$2:$M$579,'Por foco'!$A$2:$A$579,$A45,'Por foco'!$B$2:$B$579,$B45)</f>
        <v>0</v>
      </c>
      <c r="L45" s="3" t="n">
        <f aca="false">SUMIFS('Por foco'!$N$2:$N$579,'Por foco'!$A$2:$A$579,$A45,'Por foco'!$B$2:$B$579,$B45)</f>
        <v>0</v>
      </c>
      <c r="M45" s="3" t="n">
        <f aca="false">SUMIFS('Por foco'!$O$2:$O$579,'Por foco'!$A$2:$A$579,$A45,'Por foco'!$B$2:$B$579,$B45)</f>
        <v>0</v>
      </c>
      <c r="N45" s="3" t="n">
        <f aca="false">SUMIFS('Por foco'!$P$2:$P$579,'Por foco'!$A$2:$A$579,$A45,'Por foco'!$B$2:$B$579,$B45)</f>
        <v>0</v>
      </c>
      <c r="O45" s="3" t="n">
        <f aca="false">SUMIFS('Por foco'!$Q$2:$Q$579,'Por foco'!$A$2:$A$579,$A45,'Por foco'!$B$2:$B$579,$B45)</f>
        <v>1</v>
      </c>
      <c r="P45" s="3" t="n">
        <f aca="false">SUMIFS('Por foco'!$R$2:$R$579,'Por foco'!$A$2:$A$579,$A45,'Por foco'!$B$2:$B$579,$B45)</f>
        <v>4</v>
      </c>
      <c r="Q45" s="3" t="n">
        <f aca="false">SUMIFS('Por foco'!$S$2:$S$579,'Por foco'!$A$2:$A$579,$A45,'Por foco'!$B$2:$B$579,$B45)</f>
        <v>0</v>
      </c>
      <c r="R45" s="3" t="n">
        <f aca="false">SUMIFS('Por foco'!$T$2:$T$579,'Por foco'!$A$2:$A$579,$A45,'Por foco'!$B$2:$B$579,$B45)</f>
        <v>0</v>
      </c>
      <c r="S45" s="3" t="n">
        <f aca="false">SUMIFS('Por foco'!$U$2:$U$579,'Por foco'!$A$2:$A$579,$A45,'Por foco'!$B$2:$B$579,$B45)</f>
        <v>0</v>
      </c>
      <c r="T45" s="3" t="n">
        <f aca="false">SUMIFS('Por foco'!$V$2:$V$579,'Por foco'!$A$2:$A$579,$A45,'Por foco'!$B$2:$B$579,$B45)</f>
        <v>0</v>
      </c>
      <c r="U45" s="3" t="n">
        <f aca="false">SUMIFS('Por foco'!$W$2:$W$579,'Por foco'!$A$2:$A$579,$A45,'Por foco'!$B$2:$B$579,$B45)</f>
        <v>0</v>
      </c>
      <c r="V45" s="3" t="n">
        <f aca="false">SUMIFS('Por foco'!$X$2:$X$579,'Por foco'!$A$2:$A$579,$A45,'Por foco'!$B$2:$B$579,$B45)</f>
        <v>0</v>
      </c>
      <c r="W45" s="3" t="n">
        <f aca="false">SUMIFS('Por foco'!$Y$2:$Y$579,'Por foco'!$A$2:$A$579,$A45,'Por foco'!$B$2:$B$579,$B45)</f>
        <v>0</v>
      </c>
      <c r="X45" s="3" t="n">
        <f aca="false">SUMIFS('Por foco'!$Z$2:$Z$579,'Por foco'!$A$2:$A$579,$A45,'Por foco'!$B$2:$B$579,$B45)</f>
        <v>0</v>
      </c>
      <c r="Y45" s="3" t="n">
        <f aca="false">SUMIFS('Por foco'!$AA$2:$AA$579,'Por foco'!$A$2:$A$579,$A45,'Por foco'!$B$2:$B$579,$B45)</f>
        <v>0</v>
      </c>
      <c r="Z45" s="3" t="n">
        <f aca="false">SUMIFS('Por foco'!$AB$2:$AB$579,'Por foco'!$A$2:$A$579,$A45,'Por foco'!$B$2:$B$579,$B45)</f>
        <v>-10</v>
      </c>
      <c r="AA45" s="3" t="n">
        <f aca="false">SUMIFS('Por foco'!$AC$2:$AC$579,'Por foco'!$A$2:$A$579,$A45,'Por foco'!$B$2:$B$579,$B45)</f>
        <v>0</v>
      </c>
      <c r="AB45" s="3" t="n">
        <f aca="false">SUMIFS('Por foco'!$AD$2:$AD$579,'Por foco'!$A$2:$A$579,$A45,'Por foco'!$B$2:$B$579,$B45)</f>
        <v>0</v>
      </c>
      <c r="AC45" s="3" t="n">
        <f aca="false">SUMIFS('Por foco'!$AE$2:$AE$579,'Por foco'!$A$2:$A$579,$A45,'Por foco'!$B$2:$B$579,$B45)</f>
        <v>20</v>
      </c>
      <c r="AD45" s="3" t="n">
        <f aca="false">SUMIFS('Por foco'!$AF$2:$AF$579,'Por foco'!$A$2:$A$579,$A45,'Por foco'!$B$2:$B$579,$B45)</f>
        <v>0</v>
      </c>
      <c r="AE45" s="3" t="n">
        <f aca="false">SUMIFS('Por foco'!$AG$2:$AG$579,'Por foco'!$A$2:$A$579,$A45,'Por foco'!$B$2:$B$579,$B45)</f>
        <v>15</v>
      </c>
      <c r="AF45" s="3" t="n">
        <f aca="false">SUMIFS('Por foco'!$AH$2:$AH$579,'Por foco'!$A$2:$A$579,$A45,'Por foco'!$B$2:$B$579,$B45)</f>
        <v>0</v>
      </c>
      <c r="AG45" s="3" t="n">
        <f aca="false">SUMIFS('Por foco'!$AI$2:$AI$579,'Por foco'!$A$2:$A$579,$A45,'Por foco'!$B$2:$B$579,$B45)</f>
        <v>0</v>
      </c>
      <c r="AH45" s="3" t="n">
        <f aca="false">SUMIFS('Por foco'!$AJ$2:$AJ$579,'Por foco'!$A$2:$A$579,$A45,'Por foco'!$B$2:$B$579,$B45)</f>
        <v>0</v>
      </c>
      <c r="AI45" s="3" t="n">
        <f aca="false">SUMIFS('Por foco'!$AK$2:$AK$579,'Por foco'!$A$2:$A$579,$A45,'Por foco'!$B$2:$B$579,$B45)</f>
        <v>0</v>
      </c>
      <c r="AJ45" s="3" t="n">
        <f aca="false">SUMIFS('Por foco'!$AL$2:$AL$579,'Por foco'!$A$2:$A$579,$A45,'Por foco'!$B$2:$B$579,$B45)</f>
        <v>0</v>
      </c>
      <c r="AK45" s="3" t="n">
        <f aca="false">SUMIFS('Por foco'!$AM$2:$AM$579,'Por foco'!$A$2:$A$579,$A45,'Por foco'!$B$2:$B$579,$B45)</f>
        <v>35</v>
      </c>
      <c r="AL45" s="3" t="n">
        <f aca="false">SUMIFS('Por foco'!$AN$2:$AN$579,'Por foco'!$A$2:$A$579,$A45,'Por foco'!$B$2:$B$579,$B45)</f>
        <v>0</v>
      </c>
      <c r="AM45" s="3" t="n">
        <f aca="false">SUMIFS('Por foco'!$AO$2:$AO$579,'Por foco'!$A$2:$A$579,$A45,'Por foco'!$B$2:$B$579,$B45)</f>
        <v>0</v>
      </c>
      <c r="AN45" s="3" t="n">
        <f aca="false">SUMIFS('Por foco'!$AP$2:$AP$579,'Por foco'!$A$2:$A$579,$A45,'Por foco'!$B$2:$B$579,$B45)</f>
        <v>-5</v>
      </c>
      <c r="AO45" s="3" t="n">
        <f aca="false">SUMIFS('Por foco'!$AQ$2:$AQ$579,'Por foco'!$A$2:$A$579,$A45,'Por foco'!$B$2:$B$579,$B45)</f>
        <v>0</v>
      </c>
      <c r="AP45" s="3" t="n">
        <f aca="false">SUMIFS('Por foco'!$AR$2:$AR$579,'Por foco'!$A$2:$A$579,$A45,'Por foco'!$B$2:$B$579,$B45)</f>
        <v>0</v>
      </c>
      <c r="AQ45" s="3" t="n">
        <f aca="false">SUMIFS('Por foco'!$AS$2:$AS$579,'Por foco'!$A$2:$A$579,$A45,'Por foco'!$B$2:$B$579,$B45)</f>
        <v>0</v>
      </c>
      <c r="AR45" s="3" t="n">
        <f aca="false">SUMIFS('Por foco'!$AT$2:$AT$579,'Por foco'!$A$2:$A$579,$A45,'Por foco'!$B$2:$B$579,$B45)</f>
        <v>0</v>
      </c>
      <c r="AS45" s="3" t="n">
        <f aca="false">SUMIFS('Por foco'!$AU$2:$AU$579,'Por foco'!$A$2:$A$579,$A45,'Por foco'!$B$2:$B$579,$B45)</f>
        <v>0</v>
      </c>
      <c r="AT45" s="3" t="n">
        <f aca="false">SUMIFS('Por foco'!$AV$2:$AV$579,'Por foco'!$A$2:$A$579,$A45,'Por foco'!$B$2:$B$579,$B45)</f>
        <v>0</v>
      </c>
      <c r="AU45" s="3" t="n">
        <f aca="false">SUMIFS('Por foco'!$AW$2:$AW$579,'Por foco'!$A$2:$A$579,$A45,'Por foco'!$B$2:$B$579,$B45)</f>
        <v>0</v>
      </c>
      <c r="AV45" s="3" t="n">
        <f aca="false">SUMIFS('Por foco'!$AX$2:$AX$579,'Por foco'!$A$2:$A$579,$A45,'Por foco'!$B$2:$B$579,$B45)</f>
        <v>0</v>
      </c>
      <c r="AW45" s="3" t="n">
        <f aca="false">SUMIFS('Por foco'!$AY$2:$AY$579,'Por foco'!$A$2:$A$579,$A45,'Por foco'!$B$2:$B$579,$B45)</f>
        <v>0</v>
      </c>
      <c r="AX45" s="3" t="n">
        <f aca="false">SUMIFS('Por foco'!$AZ$2:$AZ$579,'Por foco'!$A$2:$A$579,$A45,'Por foco'!$B$2:$B$579,$B45)</f>
        <v>0</v>
      </c>
      <c r="AY45" s="3" t="n">
        <f aca="false">SUMIFS('Por foco'!$BA$2:$BA$579,'Por foco'!$A$2:$A$579,$A45,'Por foco'!$B$2:$B$579,$B45)</f>
        <v>0</v>
      </c>
      <c r="AZ45" s="3" t="n">
        <f aca="false">SUMIFS('Por foco'!$BB$2:$BB$579,'Por foco'!$A$2:$A$579,$A45,'Por foco'!$B$2:$B$579,$B45)</f>
        <v>0</v>
      </c>
      <c r="BA45" s="3" t="n">
        <f aca="false">SUMIFS('Por foco'!$BC$2:$BC$579,'Por foco'!$A$2:$A$579,$A45,'Por foco'!$B$2:$B$579,$B45)</f>
        <v>0</v>
      </c>
      <c r="BB45" s="3" t="n">
        <f aca="false">SUMIFS('Por foco'!$BD$2:$BD$579,'Por foco'!$A$2:$A$579,$A45,'Por foco'!$B$2:$B$579,$B45)</f>
        <v>0</v>
      </c>
      <c r="BC45" s="3" t="n">
        <f aca="false">SUMIFS('Por foco'!$BE$2:$BE$579,'Por foco'!$A$2:$A$579,$A45,'Por foco'!$B$2:$B$579,$B45)</f>
        <v>0</v>
      </c>
      <c r="BD45" s="3" t="n">
        <f aca="false">SUMIFS('Por foco'!$BF$2:$BF$579,'Por foco'!$A$2:$A$579,$A45,'Por foco'!$B$2:$B$579,$B45)</f>
        <v>0</v>
      </c>
      <c r="BE45" s="3" t="n">
        <f aca="false">SUMIFS('Por foco'!$BG$2:$BG$579,'Por foco'!$A$2:$A$579,$A45,'Por foco'!$B$2:$B$579,$B45)</f>
        <v>0</v>
      </c>
    </row>
    <row r="46" customFormat="false" ht="15" hidden="false" customHeight="false" outlineLevel="0" collapsed="false">
      <c r="A46" s="3" t="s">
        <v>64</v>
      </c>
      <c r="B46" s="3" t="s">
        <v>118</v>
      </c>
      <c r="C46" s="3" t="n">
        <f aca="false">COUNTIFS('Por foco'!$A$2:$A$579,$A46,'Por foco'!$B$2:$B$579,$B46)</f>
        <v>6</v>
      </c>
      <c r="D46" s="6" t="n">
        <f aca="false">SUMIFS('Por foco'!$F$2:$F$579,'Por foco'!$A$2:$A$579,$A46,'Por foco'!$B$2:$B$579,$B46)</f>
        <v>1305</v>
      </c>
      <c r="E46" s="3" t="n">
        <f aca="false">IF(C46=0,0,SUMIFS('Por foco'!$E$2:$E$579,'Por foco'!$A$2:$A$579,$A46,'Por foco'!$B$2:$B$579,$B46)/C46)</f>
        <v>1</v>
      </c>
      <c r="F46" s="3" t="n">
        <f aca="false">SUMIFS('Por foco'!$H$2:$H$579,'Por foco'!$A$2:$A$579,$A46,'Por foco'!$B$2:$B$579,$B46)</f>
        <v>364</v>
      </c>
      <c r="G46" s="3" t="n">
        <f aca="false">SUMIFS('Por foco'!$I$2:$I$579,'Por foco'!$A$2:$A$579,$A46,'Por foco'!$B$2:$B$579,$B46)</f>
        <v>0</v>
      </c>
      <c r="H46" s="3" t="n">
        <f aca="false">SUMIFS('Por foco'!$J$2:$J$579,'Por foco'!$A$2:$A$579,$A46,'Por foco'!$B$2:$B$579,$B46)</f>
        <v>0</v>
      </c>
      <c r="I46" s="3" t="n">
        <f aca="false">SUMIFS('Por foco'!$K$2:$K$579,'Por foco'!$A$2:$A$579,$A46,'Por foco'!$B$2:$B$579,$B46)</f>
        <v>0</v>
      </c>
      <c r="J46" s="3" t="n">
        <f aca="false">SUMIFS('Por foco'!$L$2:$L$579,'Por foco'!$A$2:$A$579,$A46,'Por foco'!$B$2:$B$579,$B46)</f>
        <v>0</v>
      </c>
      <c r="K46" s="3" t="n">
        <f aca="false">SUMIFS('Por foco'!$M$2:$M$579,'Por foco'!$A$2:$A$579,$A46,'Por foco'!$B$2:$B$579,$B46)</f>
        <v>0</v>
      </c>
      <c r="L46" s="3" t="n">
        <f aca="false">SUMIFS('Por foco'!$N$2:$N$579,'Por foco'!$A$2:$A$579,$A46,'Por foco'!$B$2:$B$579,$B46)</f>
        <v>0</v>
      </c>
      <c r="M46" s="3" t="n">
        <f aca="false">SUMIFS('Por foco'!$O$2:$O$579,'Por foco'!$A$2:$A$579,$A46,'Por foco'!$B$2:$B$579,$B46)</f>
        <v>0</v>
      </c>
      <c r="N46" s="3" t="n">
        <f aca="false">SUMIFS('Por foco'!$P$2:$P$579,'Por foco'!$A$2:$A$579,$A46,'Por foco'!$B$2:$B$579,$B46)</f>
        <v>1</v>
      </c>
      <c r="O46" s="3" t="n">
        <f aca="false">SUMIFS('Por foco'!$Q$2:$Q$579,'Por foco'!$A$2:$A$579,$A46,'Por foco'!$B$2:$B$579,$B46)</f>
        <v>1</v>
      </c>
      <c r="P46" s="3" t="n">
        <f aca="false">SUMIFS('Por foco'!$R$2:$R$579,'Por foco'!$A$2:$A$579,$A46,'Por foco'!$B$2:$B$579,$B46)</f>
        <v>4</v>
      </c>
      <c r="Q46" s="3" t="n">
        <f aca="false">SUMIFS('Por foco'!$S$2:$S$579,'Por foco'!$A$2:$A$579,$A46,'Por foco'!$B$2:$B$579,$B46)</f>
        <v>2</v>
      </c>
      <c r="R46" s="3" t="n">
        <f aca="false">SUMIFS('Por foco'!$T$2:$T$579,'Por foco'!$A$2:$A$579,$A46,'Por foco'!$B$2:$B$579,$B46)</f>
        <v>2</v>
      </c>
      <c r="S46" s="3" t="n">
        <f aca="false">SUMIFS('Por foco'!$U$2:$U$579,'Por foco'!$A$2:$A$579,$A46,'Por foco'!$B$2:$B$579,$B46)</f>
        <v>0</v>
      </c>
      <c r="T46" s="3" t="n">
        <f aca="false">SUMIFS('Por foco'!$V$2:$V$579,'Por foco'!$A$2:$A$579,$A46,'Por foco'!$B$2:$B$579,$B46)</f>
        <v>0</v>
      </c>
      <c r="U46" s="3" t="n">
        <f aca="false">SUMIFS('Por foco'!$W$2:$W$579,'Por foco'!$A$2:$A$579,$A46,'Por foco'!$B$2:$B$579,$B46)</f>
        <v>0</v>
      </c>
      <c r="V46" s="3" t="n">
        <f aca="false">SUMIFS('Por foco'!$X$2:$X$579,'Por foco'!$A$2:$A$579,$A46,'Por foco'!$B$2:$B$579,$B46)</f>
        <v>0</v>
      </c>
      <c r="W46" s="3" t="n">
        <f aca="false">SUMIFS('Por foco'!$Y$2:$Y$579,'Por foco'!$A$2:$A$579,$A46,'Por foco'!$B$2:$B$579,$B46)</f>
        <v>0</v>
      </c>
      <c r="X46" s="3" t="n">
        <f aca="false">SUMIFS('Por foco'!$Z$2:$Z$579,'Por foco'!$A$2:$A$579,$A46,'Por foco'!$B$2:$B$579,$B46)</f>
        <v>0</v>
      </c>
      <c r="Y46" s="3" t="n">
        <f aca="false">SUMIFS('Por foco'!$AA$2:$AA$579,'Por foco'!$A$2:$A$579,$A46,'Por foco'!$B$2:$B$579,$B46)</f>
        <v>0</v>
      </c>
      <c r="Z46" s="3" t="n">
        <f aca="false">SUMIFS('Por foco'!$AB$2:$AB$579,'Por foco'!$A$2:$A$579,$A46,'Por foco'!$B$2:$B$579,$B46)</f>
        <v>0</v>
      </c>
      <c r="AA46" s="3" t="n">
        <f aca="false">SUMIFS('Por foco'!$AC$2:$AC$579,'Por foco'!$A$2:$A$579,$A46,'Por foco'!$B$2:$B$579,$B46)</f>
        <v>0</v>
      </c>
      <c r="AB46" s="3" t="n">
        <f aca="false">SUMIFS('Por foco'!$AD$2:$AD$579,'Por foco'!$A$2:$A$579,$A46,'Por foco'!$B$2:$B$579,$B46)</f>
        <v>0</v>
      </c>
      <c r="AC46" s="3" t="n">
        <f aca="false">SUMIFS('Por foco'!$AE$2:$AE$579,'Por foco'!$A$2:$A$579,$A46,'Por foco'!$B$2:$B$579,$B46)</f>
        <v>0</v>
      </c>
      <c r="AD46" s="3" t="n">
        <f aca="false">SUMIFS('Por foco'!$AF$2:$AF$579,'Por foco'!$A$2:$A$579,$A46,'Por foco'!$B$2:$B$579,$B46)</f>
        <v>0</v>
      </c>
      <c r="AE46" s="3" t="n">
        <f aca="false">SUMIFS('Por foco'!$AG$2:$AG$579,'Por foco'!$A$2:$A$579,$A46,'Por foco'!$B$2:$B$579,$B46)</f>
        <v>10</v>
      </c>
      <c r="AF46" s="3" t="n">
        <f aca="false">SUMIFS('Por foco'!$AH$2:$AH$579,'Por foco'!$A$2:$A$579,$A46,'Por foco'!$B$2:$B$579,$B46)</f>
        <v>0</v>
      </c>
      <c r="AG46" s="3" t="n">
        <f aca="false">SUMIFS('Por foco'!$AI$2:$AI$579,'Por foco'!$A$2:$A$579,$A46,'Por foco'!$B$2:$B$579,$B46)</f>
        <v>0</v>
      </c>
      <c r="AH46" s="3" t="n">
        <f aca="false">SUMIFS('Por foco'!$AJ$2:$AJ$579,'Por foco'!$A$2:$A$579,$A46,'Por foco'!$B$2:$B$579,$B46)</f>
        <v>0</v>
      </c>
      <c r="AI46" s="3" t="n">
        <f aca="false">SUMIFS('Por foco'!$AK$2:$AK$579,'Por foco'!$A$2:$A$579,$A46,'Por foco'!$B$2:$B$579,$B46)</f>
        <v>0</v>
      </c>
      <c r="AJ46" s="3" t="n">
        <f aca="false">SUMIFS('Por foco'!$AL$2:$AL$579,'Por foco'!$A$2:$A$579,$A46,'Por foco'!$B$2:$B$579,$B46)</f>
        <v>0</v>
      </c>
      <c r="AK46" s="3" t="n">
        <f aca="false">SUMIFS('Por foco'!$AM$2:$AM$579,'Por foco'!$A$2:$A$579,$A46,'Por foco'!$B$2:$B$579,$B46)</f>
        <v>0</v>
      </c>
      <c r="AL46" s="3" t="n">
        <f aca="false">SUMIFS('Por foco'!$AN$2:$AN$579,'Por foco'!$A$2:$A$579,$A46,'Por foco'!$B$2:$B$579,$B46)</f>
        <v>0</v>
      </c>
      <c r="AM46" s="3" t="n">
        <f aca="false">SUMIFS('Por foco'!$AO$2:$AO$579,'Por foco'!$A$2:$A$579,$A46,'Por foco'!$B$2:$B$579,$B46)</f>
        <v>0</v>
      </c>
      <c r="AN46" s="3" t="n">
        <f aca="false">SUMIFS('Por foco'!$AP$2:$AP$579,'Por foco'!$A$2:$A$579,$A46,'Por foco'!$B$2:$B$579,$B46)</f>
        <v>0</v>
      </c>
      <c r="AO46" s="3" t="n">
        <f aca="false">SUMIFS('Por foco'!$AQ$2:$AQ$579,'Por foco'!$A$2:$A$579,$A46,'Por foco'!$B$2:$B$579,$B46)</f>
        <v>0</v>
      </c>
      <c r="AP46" s="3" t="n">
        <f aca="false">SUMIFS('Por foco'!$AR$2:$AR$579,'Por foco'!$A$2:$A$579,$A46,'Por foco'!$B$2:$B$579,$B46)</f>
        <v>0</v>
      </c>
      <c r="AQ46" s="3" t="n">
        <f aca="false">SUMIFS('Por foco'!$AS$2:$AS$579,'Por foco'!$A$2:$A$579,$A46,'Por foco'!$B$2:$B$579,$B46)</f>
        <v>0</v>
      </c>
      <c r="AR46" s="3" t="n">
        <f aca="false">SUMIFS('Por foco'!$AT$2:$AT$579,'Por foco'!$A$2:$A$579,$A46,'Por foco'!$B$2:$B$579,$B46)</f>
        <v>0</v>
      </c>
      <c r="AS46" s="3" t="n">
        <f aca="false">SUMIFS('Por foco'!$AU$2:$AU$579,'Por foco'!$A$2:$A$579,$A46,'Por foco'!$B$2:$B$579,$B46)</f>
        <v>0</v>
      </c>
      <c r="AT46" s="3" t="n">
        <f aca="false">SUMIFS('Por foco'!$AV$2:$AV$579,'Por foco'!$A$2:$A$579,$A46,'Por foco'!$B$2:$B$579,$B46)</f>
        <v>0</v>
      </c>
      <c r="AU46" s="3" t="n">
        <f aca="false">SUMIFS('Por foco'!$AW$2:$AW$579,'Por foco'!$A$2:$A$579,$A46,'Por foco'!$B$2:$B$579,$B46)</f>
        <v>0</v>
      </c>
      <c r="AV46" s="3" t="n">
        <f aca="false">SUMIFS('Por foco'!$AX$2:$AX$579,'Por foco'!$A$2:$A$579,$A46,'Por foco'!$B$2:$B$579,$B46)</f>
        <v>0</v>
      </c>
      <c r="AW46" s="3" t="n">
        <f aca="false">SUMIFS('Por foco'!$AY$2:$AY$579,'Por foco'!$A$2:$A$579,$A46,'Por foco'!$B$2:$B$579,$B46)</f>
        <v>0</v>
      </c>
      <c r="AX46" s="3" t="n">
        <f aca="false">SUMIFS('Por foco'!$AZ$2:$AZ$579,'Por foco'!$A$2:$A$579,$A46,'Por foco'!$B$2:$B$579,$B46)</f>
        <v>0</v>
      </c>
      <c r="AY46" s="3" t="n">
        <f aca="false">SUMIFS('Por foco'!$BA$2:$BA$579,'Por foco'!$A$2:$A$579,$A46,'Por foco'!$B$2:$B$579,$B46)</f>
        <v>0</v>
      </c>
      <c r="AZ46" s="3" t="n">
        <f aca="false">SUMIFS('Por foco'!$BB$2:$BB$579,'Por foco'!$A$2:$A$579,$A46,'Por foco'!$B$2:$B$579,$B46)</f>
        <v>0</v>
      </c>
      <c r="BA46" s="3" t="n">
        <f aca="false">SUMIFS('Por foco'!$BC$2:$BC$579,'Por foco'!$A$2:$A$579,$A46,'Por foco'!$B$2:$B$579,$B46)</f>
        <v>0</v>
      </c>
      <c r="BB46" s="3" t="n">
        <f aca="false">SUMIFS('Por foco'!$BD$2:$BD$579,'Por foco'!$A$2:$A$579,$A46,'Por foco'!$B$2:$B$579,$B46)</f>
        <v>0</v>
      </c>
      <c r="BC46" s="3" t="n">
        <f aca="false">SUMIFS('Por foco'!$BE$2:$BE$579,'Por foco'!$A$2:$A$579,$A46,'Por foco'!$B$2:$B$579,$B46)</f>
        <v>0</v>
      </c>
      <c r="BD46" s="3" t="n">
        <f aca="false">SUMIFS('Por foco'!$BF$2:$BF$579,'Por foco'!$A$2:$A$579,$A46,'Por foco'!$B$2:$B$579,$B46)</f>
        <v>0</v>
      </c>
      <c r="BE46" s="3" t="n">
        <f aca="false">SUMIFS('Por foco'!$BG$2:$BG$579,'Por foco'!$A$2:$A$579,$A46,'Por foco'!$B$2:$B$579,$B46)</f>
        <v>0</v>
      </c>
    </row>
    <row r="47" customFormat="false" ht="15" hidden="false" customHeight="false" outlineLevel="0" collapsed="false">
      <c r="A47" s="3" t="s">
        <v>64</v>
      </c>
      <c r="B47" s="3" t="s">
        <v>119</v>
      </c>
      <c r="C47" s="3" t="n">
        <f aca="false">COUNTIFS('Por foco'!$A$2:$A$579,$A47,'Por foco'!$B$2:$B$579,$B47)</f>
        <v>6</v>
      </c>
      <c r="D47" s="6" t="n">
        <f aca="false">SUMIFS('Por foco'!$F$2:$F$579,'Por foco'!$A$2:$A$579,$A47,'Por foco'!$B$2:$B$579,$B47)</f>
        <v>920</v>
      </c>
      <c r="E47" s="3" t="n">
        <f aca="false">IF(C47=0,0,SUMIFS('Por foco'!$E$2:$E$579,'Por foco'!$A$2:$A$579,$A47,'Por foco'!$B$2:$B$579,$B47)/C47)</f>
        <v>1</v>
      </c>
      <c r="F47" s="3" t="n">
        <f aca="false">SUMIFS('Por foco'!$H$2:$H$579,'Por foco'!$A$2:$A$579,$A47,'Por foco'!$B$2:$B$579,$B47)</f>
        <v>357</v>
      </c>
      <c r="G47" s="3" t="n">
        <f aca="false">SUMIFS('Por foco'!$I$2:$I$579,'Por foco'!$A$2:$A$579,$A47,'Por foco'!$B$2:$B$579,$B47)</f>
        <v>0</v>
      </c>
      <c r="H47" s="3" t="n">
        <f aca="false">SUMIFS('Por foco'!$J$2:$J$579,'Por foco'!$A$2:$A$579,$A47,'Por foco'!$B$2:$B$579,$B47)</f>
        <v>0</v>
      </c>
      <c r="I47" s="3" t="n">
        <f aca="false">SUMIFS('Por foco'!$K$2:$K$579,'Por foco'!$A$2:$A$579,$A47,'Por foco'!$B$2:$B$579,$B47)</f>
        <v>0</v>
      </c>
      <c r="J47" s="3" t="n">
        <f aca="false">SUMIFS('Por foco'!$L$2:$L$579,'Por foco'!$A$2:$A$579,$A47,'Por foco'!$B$2:$B$579,$B47)</f>
        <v>30000</v>
      </c>
      <c r="K47" s="3" t="n">
        <f aca="false">SUMIFS('Por foco'!$M$2:$M$579,'Por foco'!$A$2:$A$579,$A47,'Por foco'!$B$2:$B$579,$B47)</f>
        <v>225</v>
      </c>
      <c r="L47" s="3" t="n">
        <f aca="false">SUMIFS('Por foco'!$N$2:$N$579,'Por foco'!$A$2:$A$579,$A47,'Por foco'!$B$2:$B$579,$B47)</f>
        <v>0</v>
      </c>
      <c r="M47" s="3" t="n">
        <f aca="false">SUMIFS('Por foco'!$O$2:$O$579,'Por foco'!$A$2:$A$579,$A47,'Por foco'!$B$2:$B$579,$B47)</f>
        <v>0</v>
      </c>
      <c r="N47" s="3" t="n">
        <f aca="false">SUMIFS('Por foco'!$P$2:$P$579,'Por foco'!$A$2:$A$579,$A47,'Por foco'!$B$2:$B$579,$B47)</f>
        <v>0</v>
      </c>
      <c r="O47" s="3" t="n">
        <f aca="false">SUMIFS('Por foco'!$Q$2:$Q$579,'Por foco'!$A$2:$A$579,$A47,'Por foco'!$B$2:$B$579,$B47)</f>
        <v>5</v>
      </c>
      <c r="P47" s="3" t="n">
        <f aca="false">SUMIFS('Por foco'!$R$2:$R$579,'Por foco'!$A$2:$A$579,$A47,'Por foco'!$B$2:$B$579,$B47)</f>
        <v>0</v>
      </c>
      <c r="Q47" s="3" t="n">
        <f aca="false">SUMIFS('Por foco'!$S$2:$S$579,'Por foco'!$A$2:$A$579,$A47,'Por foco'!$B$2:$B$579,$B47)</f>
        <v>0</v>
      </c>
      <c r="R47" s="3" t="n">
        <f aca="false">SUMIFS('Por foco'!$T$2:$T$579,'Por foco'!$A$2:$A$579,$A47,'Por foco'!$B$2:$B$579,$B47)</f>
        <v>0</v>
      </c>
      <c r="S47" s="3" t="n">
        <f aca="false">SUMIFS('Por foco'!$U$2:$U$579,'Por foco'!$A$2:$A$579,$A47,'Por foco'!$B$2:$B$579,$B47)</f>
        <v>0</v>
      </c>
      <c r="T47" s="3" t="n">
        <f aca="false">SUMIFS('Por foco'!$V$2:$V$579,'Por foco'!$A$2:$A$579,$A47,'Por foco'!$B$2:$B$579,$B47)</f>
        <v>0</v>
      </c>
      <c r="U47" s="3" t="n">
        <f aca="false">SUMIFS('Por foco'!$W$2:$W$579,'Por foco'!$A$2:$A$579,$A47,'Por foco'!$B$2:$B$579,$B47)</f>
        <v>0</v>
      </c>
      <c r="V47" s="3" t="n">
        <f aca="false">SUMIFS('Por foco'!$X$2:$X$579,'Por foco'!$A$2:$A$579,$A47,'Por foco'!$B$2:$B$579,$B47)</f>
        <v>0</v>
      </c>
      <c r="W47" s="3" t="n">
        <f aca="false">SUMIFS('Por foco'!$Y$2:$Y$579,'Por foco'!$A$2:$A$579,$A47,'Por foco'!$B$2:$B$579,$B47)</f>
        <v>0</v>
      </c>
      <c r="X47" s="3" t="n">
        <f aca="false">SUMIFS('Por foco'!$Z$2:$Z$579,'Por foco'!$A$2:$A$579,$A47,'Por foco'!$B$2:$B$579,$B47)</f>
        <v>0</v>
      </c>
      <c r="Y47" s="3" t="n">
        <f aca="false">SUMIFS('Por foco'!$AA$2:$AA$579,'Por foco'!$A$2:$A$579,$A47,'Por foco'!$B$2:$B$579,$B47)</f>
        <v>0</v>
      </c>
      <c r="Z47" s="3" t="n">
        <f aca="false">SUMIFS('Por foco'!$AB$2:$AB$579,'Por foco'!$A$2:$A$579,$A47,'Por foco'!$B$2:$B$579,$B47)</f>
        <v>0</v>
      </c>
      <c r="AA47" s="3" t="n">
        <f aca="false">SUMIFS('Por foco'!$AC$2:$AC$579,'Por foco'!$A$2:$A$579,$A47,'Por foco'!$B$2:$B$579,$B47)</f>
        <v>0</v>
      </c>
      <c r="AB47" s="3" t="n">
        <f aca="false">SUMIFS('Por foco'!$AD$2:$AD$579,'Por foco'!$A$2:$A$579,$A47,'Por foco'!$B$2:$B$579,$B47)</f>
        <v>0</v>
      </c>
      <c r="AC47" s="3" t="n">
        <f aca="false">SUMIFS('Por foco'!$AE$2:$AE$579,'Por foco'!$A$2:$A$579,$A47,'Por foco'!$B$2:$B$579,$B47)</f>
        <v>0</v>
      </c>
      <c r="AD47" s="3" t="n">
        <f aca="false">SUMIFS('Por foco'!$AF$2:$AF$579,'Por foco'!$A$2:$A$579,$A47,'Por foco'!$B$2:$B$579,$B47)</f>
        <v>0</v>
      </c>
      <c r="AE47" s="3" t="n">
        <f aca="false">SUMIFS('Por foco'!$AG$2:$AG$579,'Por foco'!$A$2:$A$579,$A47,'Por foco'!$B$2:$B$579,$B47)</f>
        <v>0</v>
      </c>
      <c r="AF47" s="3" t="n">
        <f aca="false">SUMIFS('Por foco'!$AH$2:$AH$579,'Por foco'!$A$2:$A$579,$A47,'Por foco'!$B$2:$B$579,$B47)</f>
        <v>0</v>
      </c>
      <c r="AG47" s="3" t="n">
        <f aca="false">SUMIFS('Por foco'!$AI$2:$AI$579,'Por foco'!$A$2:$A$579,$A47,'Por foco'!$B$2:$B$579,$B47)</f>
        <v>0</v>
      </c>
      <c r="AH47" s="3" t="n">
        <f aca="false">SUMIFS('Por foco'!$AJ$2:$AJ$579,'Por foco'!$A$2:$A$579,$A47,'Por foco'!$B$2:$B$579,$B47)</f>
        <v>0</v>
      </c>
      <c r="AI47" s="3" t="n">
        <f aca="false">SUMIFS('Por foco'!$AK$2:$AK$579,'Por foco'!$A$2:$A$579,$A47,'Por foco'!$B$2:$B$579,$B47)</f>
        <v>0</v>
      </c>
      <c r="AJ47" s="3" t="n">
        <f aca="false">SUMIFS('Por foco'!$AL$2:$AL$579,'Por foco'!$A$2:$A$579,$A47,'Por foco'!$B$2:$B$579,$B47)</f>
        <v>0</v>
      </c>
      <c r="AK47" s="3" t="n">
        <f aca="false">SUMIFS('Por foco'!$AM$2:$AM$579,'Por foco'!$A$2:$A$579,$A47,'Por foco'!$B$2:$B$579,$B47)</f>
        <v>0</v>
      </c>
      <c r="AL47" s="3" t="n">
        <f aca="false">SUMIFS('Por foco'!$AN$2:$AN$579,'Por foco'!$A$2:$A$579,$A47,'Por foco'!$B$2:$B$579,$B47)</f>
        <v>0</v>
      </c>
      <c r="AM47" s="3" t="n">
        <f aca="false">SUMIFS('Por foco'!$AO$2:$AO$579,'Por foco'!$A$2:$A$579,$A47,'Por foco'!$B$2:$B$579,$B47)</f>
        <v>0</v>
      </c>
      <c r="AN47" s="3" t="n">
        <f aca="false">SUMIFS('Por foco'!$AP$2:$AP$579,'Por foco'!$A$2:$A$579,$A47,'Por foco'!$B$2:$B$579,$B47)</f>
        <v>0</v>
      </c>
      <c r="AO47" s="3" t="n">
        <f aca="false">SUMIFS('Por foco'!$AQ$2:$AQ$579,'Por foco'!$A$2:$A$579,$A47,'Por foco'!$B$2:$B$579,$B47)</f>
        <v>20</v>
      </c>
      <c r="AP47" s="3" t="n">
        <f aca="false">SUMIFS('Por foco'!$AR$2:$AR$579,'Por foco'!$A$2:$A$579,$A47,'Por foco'!$B$2:$B$579,$B47)</f>
        <v>5</v>
      </c>
      <c r="AQ47" s="3" t="n">
        <f aca="false">SUMIFS('Por foco'!$AS$2:$AS$579,'Por foco'!$A$2:$A$579,$A47,'Por foco'!$B$2:$B$579,$B47)</f>
        <v>15</v>
      </c>
      <c r="AR47" s="3" t="n">
        <f aca="false">SUMIFS('Por foco'!$AT$2:$AT$579,'Por foco'!$A$2:$A$579,$A47,'Por foco'!$B$2:$B$579,$B47)</f>
        <v>0</v>
      </c>
      <c r="AS47" s="3" t="n">
        <f aca="false">SUMIFS('Por foco'!$AU$2:$AU$579,'Por foco'!$A$2:$A$579,$A47,'Por foco'!$B$2:$B$579,$B47)</f>
        <v>0</v>
      </c>
      <c r="AT47" s="3" t="n">
        <f aca="false">SUMIFS('Por foco'!$AV$2:$AV$579,'Por foco'!$A$2:$A$579,$A47,'Por foco'!$B$2:$B$579,$B47)</f>
        <v>0</v>
      </c>
      <c r="AU47" s="3" t="n">
        <f aca="false">SUMIFS('Por foco'!$AW$2:$AW$579,'Por foco'!$A$2:$A$579,$A47,'Por foco'!$B$2:$B$579,$B47)</f>
        <v>0</v>
      </c>
      <c r="AV47" s="3" t="n">
        <f aca="false">SUMIFS('Por foco'!$AX$2:$AX$579,'Por foco'!$A$2:$A$579,$A47,'Por foco'!$B$2:$B$579,$B47)</f>
        <v>0</v>
      </c>
      <c r="AW47" s="3" t="n">
        <f aca="false">SUMIFS('Por foco'!$AY$2:$AY$579,'Por foco'!$A$2:$A$579,$A47,'Por foco'!$B$2:$B$579,$B47)</f>
        <v>0</v>
      </c>
      <c r="AX47" s="3" t="n">
        <f aca="false">SUMIFS('Por foco'!$AZ$2:$AZ$579,'Por foco'!$A$2:$A$579,$A47,'Por foco'!$B$2:$B$579,$B47)</f>
        <v>0</v>
      </c>
      <c r="AY47" s="3" t="n">
        <f aca="false">SUMIFS('Por foco'!$BA$2:$BA$579,'Por foco'!$A$2:$A$579,$A47,'Por foco'!$B$2:$B$579,$B47)</f>
        <v>0</v>
      </c>
      <c r="AZ47" s="3" t="n">
        <f aca="false">SUMIFS('Por foco'!$BB$2:$BB$579,'Por foco'!$A$2:$A$579,$A47,'Por foco'!$B$2:$B$579,$B47)</f>
        <v>0</v>
      </c>
      <c r="BA47" s="3" t="n">
        <f aca="false">SUMIFS('Por foco'!$BC$2:$BC$579,'Por foco'!$A$2:$A$579,$A47,'Por foco'!$B$2:$B$579,$B47)</f>
        <v>0</v>
      </c>
      <c r="BB47" s="3" t="n">
        <f aca="false">SUMIFS('Por foco'!$BD$2:$BD$579,'Por foco'!$A$2:$A$579,$A47,'Por foco'!$B$2:$B$579,$B47)</f>
        <v>0</v>
      </c>
      <c r="BC47" s="3" t="n">
        <f aca="false">SUMIFS('Por foco'!$BE$2:$BE$579,'Por foco'!$A$2:$A$579,$A47,'Por foco'!$B$2:$B$579,$B47)</f>
        <v>0</v>
      </c>
      <c r="BD47" s="3" t="n">
        <f aca="false">SUMIFS('Por foco'!$BF$2:$BF$579,'Por foco'!$A$2:$A$579,$A47,'Por foco'!$B$2:$B$579,$B47)</f>
        <v>0</v>
      </c>
      <c r="BE47" s="3" t="n">
        <f aca="false">SUMIFS('Por foco'!$BG$2:$BG$579,'Por foco'!$A$2:$A$579,$A47,'Por foco'!$B$2:$B$579,$B47)</f>
        <v>0</v>
      </c>
    </row>
    <row r="48" customFormat="false" ht="15" hidden="false" customHeight="false" outlineLevel="0" collapsed="false">
      <c r="A48" s="3" t="s">
        <v>64</v>
      </c>
      <c r="B48" s="3" t="s">
        <v>120</v>
      </c>
      <c r="C48" s="3" t="n">
        <f aca="false">COUNTIFS('Por foco'!$A$2:$A$579,$A48,'Por foco'!$B$2:$B$579,$B48)</f>
        <v>6</v>
      </c>
      <c r="D48" s="6" t="n">
        <f aca="false">SUMIFS('Por foco'!$F$2:$F$579,'Por foco'!$A$2:$A$579,$A48,'Por foco'!$B$2:$B$579,$B48)</f>
        <v>895</v>
      </c>
      <c r="E48" s="3" t="n">
        <f aca="false">IF(C48=0,0,SUMIFS('Por foco'!$E$2:$E$579,'Por foco'!$A$2:$A$579,$A48,'Por foco'!$B$2:$B$579,$B48)/C48)</f>
        <v>1</v>
      </c>
      <c r="F48" s="3" t="n">
        <f aca="false">SUMIFS('Por foco'!$H$2:$H$579,'Por foco'!$A$2:$A$579,$A48,'Por foco'!$B$2:$B$579,$B48)</f>
        <v>343</v>
      </c>
      <c r="G48" s="3" t="n">
        <f aca="false">SUMIFS('Por foco'!$I$2:$I$579,'Por foco'!$A$2:$A$579,$A48,'Por foco'!$B$2:$B$579,$B48)</f>
        <v>50</v>
      </c>
      <c r="H48" s="3" t="n">
        <f aca="false">SUMIFS('Por foco'!$J$2:$J$579,'Por foco'!$A$2:$A$579,$A48,'Por foco'!$B$2:$B$579,$B48)</f>
        <v>0</v>
      </c>
      <c r="I48" s="3" t="n">
        <f aca="false">SUMIFS('Por foco'!$K$2:$K$579,'Por foco'!$A$2:$A$579,$A48,'Por foco'!$B$2:$B$579,$B48)</f>
        <v>0</v>
      </c>
      <c r="J48" s="3" t="n">
        <f aca="false">SUMIFS('Por foco'!$L$2:$L$579,'Por foco'!$A$2:$A$579,$A48,'Por foco'!$B$2:$B$579,$B48)</f>
        <v>0</v>
      </c>
      <c r="K48" s="3" t="n">
        <f aca="false">SUMIFS('Por foco'!$M$2:$M$579,'Por foco'!$A$2:$A$579,$A48,'Por foco'!$B$2:$B$579,$B48)</f>
        <v>0</v>
      </c>
      <c r="L48" s="3" t="n">
        <f aca="false">SUMIFS('Por foco'!$N$2:$N$579,'Por foco'!$A$2:$A$579,$A48,'Por foco'!$B$2:$B$579,$B48)</f>
        <v>25</v>
      </c>
      <c r="M48" s="3" t="n">
        <f aca="false">SUMIFS('Por foco'!$O$2:$O$579,'Por foco'!$A$2:$A$579,$A48,'Por foco'!$B$2:$B$579,$B48)</f>
        <v>50</v>
      </c>
      <c r="N48" s="3" t="n">
        <f aca="false">SUMIFS('Por foco'!$P$2:$P$579,'Por foco'!$A$2:$A$579,$A48,'Por foco'!$B$2:$B$579,$B48)</f>
        <v>0</v>
      </c>
      <c r="O48" s="3" t="n">
        <f aca="false">SUMIFS('Por foco'!$Q$2:$Q$579,'Por foco'!$A$2:$A$579,$A48,'Por foco'!$B$2:$B$579,$B48)</f>
        <v>7</v>
      </c>
      <c r="P48" s="3" t="n">
        <f aca="false">SUMIFS('Por foco'!$R$2:$R$579,'Por foco'!$A$2:$A$579,$A48,'Por foco'!$B$2:$B$579,$B48)</f>
        <v>0</v>
      </c>
      <c r="Q48" s="3" t="n">
        <f aca="false">SUMIFS('Por foco'!$S$2:$S$579,'Por foco'!$A$2:$A$579,$A48,'Por foco'!$B$2:$B$579,$B48)</f>
        <v>0</v>
      </c>
      <c r="R48" s="3" t="n">
        <f aca="false">SUMIFS('Por foco'!$T$2:$T$579,'Por foco'!$A$2:$A$579,$A48,'Por foco'!$B$2:$B$579,$B48)</f>
        <v>2</v>
      </c>
      <c r="S48" s="3" t="n">
        <f aca="false">SUMIFS('Por foco'!$U$2:$U$579,'Por foco'!$A$2:$A$579,$A48,'Por foco'!$B$2:$B$579,$B48)</f>
        <v>0</v>
      </c>
      <c r="T48" s="3" t="n">
        <f aca="false">SUMIFS('Por foco'!$V$2:$V$579,'Por foco'!$A$2:$A$579,$A48,'Por foco'!$B$2:$B$579,$B48)</f>
        <v>5</v>
      </c>
      <c r="U48" s="3" t="n">
        <f aca="false">SUMIFS('Por foco'!$W$2:$W$579,'Por foco'!$A$2:$A$579,$A48,'Por foco'!$B$2:$B$579,$B48)</f>
        <v>0</v>
      </c>
      <c r="V48" s="3" t="n">
        <f aca="false">SUMIFS('Por foco'!$X$2:$X$579,'Por foco'!$A$2:$A$579,$A48,'Por foco'!$B$2:$B$579,$B48)</f>
        <v>0</v>
      </c>
      <c r="W48" s="3" t="n">
        <f aca="false">SUMIFS('Por foco'!$Y$2:$Y$579,'Por foco'!$A$2:$A$579,$A48,'Por foco'!$B$2:$B$579,$B48)</f>
        <v>300</v>
      </c>
      <c r="X48" s="3" t="n">
        <f aca="false">SUMIFS('Por foco'!$Z$2:$Z$579,'Por foco'!$A$2:$A$579,$A48,'Por foco'!$B$2:$B$579,$B48)</f>
        <v>0</v>
      </c>
      <c r="Y48" s="3" t="n">
        <f aca="false">SUMIFS('Por foco'!$AA$2:$AA$579,'Por foco'!$A$2:$A$579,$A48,'Por foco'!$B$2:$B$579,$B48)</f>
        <v>0</v>
      </c>
      <c r="Z48" s="3" t="n">
        <f aca="false">SUMIFS('Por foco'!$AB$2:$AB$579,'Por foco'!$A$2:$A$579,$A48,'Por foco'!$B$2:$B$579,$B48)</f>
        <v>0</v>
      </c>
      <c r="AA48" s="3" t="n">
        <f aca="false">SUMIFS('Por foco'!$AC$2:$AC$579,'Por foco'!$A$2:$A$579,$A48,'Por foco'!$B$2:$B$579,$B48)</f>
        <v>0</v>
      </c>
      <c r="AB48" s="3" t="n">
        <f aca="false">SUMIFS('Por foco'!$AD$2:$AD$579,'Por foco'!$A$2:$A$579,$A48,'Por foco'!$B$2:$B$579,$B48)</f>
        <v>0</v>
      </c>
      <c r="AC48" s="3" t="n">
        <f aca="false">SUMIFS('Por foco'!$AE$2:$AE$579,'Por foco'!$A$2:$A$579,$A48,'Por foco'!$B$2:$B$579,$B48)</f>
        <v>0</v>
      </c>
      <c r="AD48" s="3" t="n">
        <f aca="false">SUMIFS('Por foco'!$AF$2:$AF$579,'Por foco'!$A$2:$A$579,$A48,'Por foco'!$B$2:$B$579,$B48)</f>
        <v>0</v>
      </c>
      <c r="AE48" s="3" t="n">
        <f aca="false">SUMIFS('Por foco'!$AG$2:$AG$579,'Por foco'!$A$2:$A$579,$A48,'Por foco'!$B$2:$B$579,$B48)</f>
        <v>0</v>
      </c>
      <c r="AF48" s="3" t="n">
        <f aca="false">SUMIFS('Por foco'!$AH$2:$AH$579,'Por foco'!$A$2:$A$579,$A48,'Por foco'!$B$2:$B$579,$B48)</f>
        <v>0</v>
      </c>
      <c r="AG48" s="3" t="n">
        <f aca="false">SUMIFS('Por foco'!$AI$2:$AI$579,'Por foco'!$A$2:$A$579,$A48,'Por foco'!$B$2:$B$579,$B48)</f>
        <v>0</v>
      </c>
      <c r="AH48" s="3" t="n">
        <f aca="false">SUMIFS('Por foco'!$AJ$2:$AJ$579,'Por foco'!$A$2:$A$579,$A48,'Por foco'!$B$2:$B$579,$B48)</f>
        <v>0</v>
      </c>
      <c r="AI48" s="3" t="n">
        <f aca="false">SUMIFS('Por foco'!$AK$2:$AK$579,'Por foco'!$A$2:$A$579,$A48,'Por foco'!$B$2:$B$579,$B48)</f>
        <v>0</v>
      </c>
      <c r="AJ48" s="3" t="n">
        <f aca="false">SUMIFS('Por foco'!$AL$2:$AL$579,'Por foco'!$A$2:$A$579,$A48,'Por foco'!$B$2:$B$579,$B48)</f>
        <v>0</v>
      </c>
      <c r="AK48" s="3" t="n">
        <f aca="false">SUMIFS('Por foco'!$AM$2:$AM$579,'Por foco'!$A$2:$A$579,$A48,'Por foco'!$B$2:$B$579,$B48)</f>
        <v>0</v>
      </c>
      <c r="AL48" s="3" t="n">
        <f aca="false">SUMIFS('Por foco'!$AN$2:$AN$579,'Por foco'!$A$2:$A$579,$A48,'Por foco'!$B$2:$B$579,$B48)</f>
        <v>0</v>
      </c>
      <c r="AM48" s="3" t="n">
        <f aca="false">SUMIFS('Por foco'!$AO$2:$AO$579,'Por foco'!$A$2:$A$579,$A48,'Por foco'!$B$2:$B$579,$B48)</f>
        <v>0</v>
      </c>
      <c r="AN48" s="3" t="n">
        <f aca="false">SUMIFS('Por foco'!$AP$2:$AP$579,'Por foco'!$A$2:$A$579,$A48,'Por foco'!$B$2:$B$579,$B48)</f>
        <v>0</v>
      </c>
      <c r="AO48" s="3" t="n">
        <f aca="false">SUMIFS('Por foco'!$AQ$2:$AQ$579,'Por foco'!$A$2:$A$579,$A48,'Por foco'!$B$2:$B$579,$B48)</f>
        <v>0</v>
      </c>
      <c r="AP48" s="3" t="n">
        <f aca="false">SUMIFS('Por foco'!$AR$2:$AR$579,'Por foco'!$A$2:$A$579,$A48,'Por foco'!$B$2:$B$579,$B48)</f>
        <v>0</v>
      </c>
      <c r="AQ48" s="3" t="n">
        <f aca="false">SUMIFS('Por foco'!$AS$2:$AS$579,'Por foco'!$A$2:$A$579,$A48,'Por foco'!$B$2:$B$579,$B48)</f>
        <v>0</v>
      </c>
      <c r="AR48" s="3" t="n">
        <f aca="false">SUMIFS('Por foco'!$AT$2:$AT$579,'Por foco'!$A$2:$A$579,$A48,'Por foco'!$B$2:$B$579,$B48)</f>
        <v>0</v>
      </c>
      <c r="AS48" s="3" t="n">
        <f aca="false">SUMIFS('Por foco'!$AU$2:$AU$579,'Por foco'!$A$2:$A$579,$A48,'Por foco'!$B$2:$B$579,$B48)</f>
        <v>0</v>
      </c>
      <c r="AT48" s="3" t="n">
        <f aca="false">SUMIFS('Por foco'!$AV$2:$AV$579,'Por foco'!$A$2:$A$579,$A48,'Por foco'!$B$2:$B$579,$B48)</f>
        <v>0</v>
      </c>
      <c r="AU48" s="3" t="n">
        <f aca="false">SUMIFS('Por foco'!$AW$2:$AW$579,'Por foco'!$A$2:$A$579,$A48,'Por foco'!$B$2:$B$579,$B48)</f>
        <v>0</v>
      </c>
      <c r="AV48" s="3" t="n">
        <f aca="false">SUMIFS('Por foco'!$AX$2:$AX$579,'Por foco'!$A$2:$A$579,$A48,'Por foco'!$B$2:$B$579,$B48)</f>
        <v>0</v>
      </c>
      <c r="AW48" s="3" t="n">
        <f aca="false">SUMIFS('Por foco'!$AY$2:$AY$579,'Por foco'!$A$2:$A$579,$A48,'Por foco'!$B$2:$B$579,$B48)</f>
        <v>5</v>
      </c>
      <c r="AX48" s="3" t="n">
        <f aca="false">SUMIFS('Por foco'!$AZ$2:$AZ$579,'Por foco'!$A$2:$A$579,$A48,'Por foco'!$B$2:$B$579,$B48)</f>
        <v>15</v>
      </c>
      <c r="AY48" s="3" t="n">
        <f aca="false">SUMIFS('Por foco'!$BA$2:$BA$579,'Por foco'!$A$2:$A$579,$A48,'Por foco'!$B$2:$B$579,$B48)</f>
        <v>5</v>
      </c>
      <c r="AZ48" s="3" t="n">
        <f aca="false">SUMIFS('Por foco'!$BB$2:$BB$579,'Por foco'!$A$2:$A$579,$A48,'Por foco'!$B$2:$B$579,$B48)</f>
        <v>10</v>
      </c>
      <c r="BA48" s="3" t="n">
        <f aca="false">SUMIFS('Por foco'!$BC$2:$BC$579,'Por foco'!$A$2:$A$579,$A48,'Por foco'!$B$2:$B$579,$B48)</f>
        <v>15</v>
      </c>
      <c r="BB48" s="3" t="n">
        <f aca="false">SUMIFS('Por foco'!$BD$2:$BD$579,'Por foco'!$A$2:$A$579,$A48,'Por foco'!$B$2:$B$579,$B48)</f>
        <v>50</v>
      </c>
      <c r="BC48" s="3" t="n">
        <f aca="false">SUMIFS('Por foco'!$BE$2:$BE$579,'Por foco'!$A$2:$A$579,$A48,'Por foco'!$B$2:$B$579,$B48)</f>
        <v>25</v>
      </c>
      <c r="BD48" s="3" t="n">
        <f aca="false">SUMIFS('Por foco'!$BF$2:$BF$579,'Por foco'!$A$2:$A$579,$A48,'Por foco'!$B$2:$B$579,$B48)</f>
        <v>15</v>
      </c>
      <c r="BE48" s="3" t="n">
        <f aca="false">SUMIFS('Por foco'!$BG$2:$BG$579,'Por foco'!$A$2:$A$579,$A48,'Por foco'!$B$2:$B$579,$B48)</f>
        <v>0</v>
      </c>
    </row>
    <row r="49" customFormat="false" ht="15" hidden="false" customHeight="false" outlineLevel="0" collapsed="false">
      <c r="A49" s="3" t="s">
        <v>64</v>
      </c>
      <c r="B49" s="3" t="s">
        <v>121</v>
      </c>
      <c r="C49" s="3" t="n">
        <f aca="false">COUNTIFS('Por foco'!$A$2:$A$579,$A49,'Por foco'!$B$2:$B$579,$B49)</f>
        <v>8</v>
      </c>
      <c r="D49" s="6" t="n">
        <f aca="false">SUMIFS('Por foco'!$F$2:$F$579,'Por foco'!$A$2:$A$579,$A49,'Por foco'!$B$2:$B$579,$B49)</f>
        <v>760</v>
      </c>
      <c r="E49" s="3" t="n">
        <f aca="false">IF(C49=0,0,SUMIFS('Por foco'!$E$2:$E$579,'Por foco'!$A$2:$A$579,$A49,'Por foco'!$B$2:$B$579,$B49)/C49)</f>
        <v>1</v>
      </c>
      <c r="F49" s="3" t="n">
        <f aca="false">SUMIFS('Por foco'!$H$2:$H$579,'Por foco'!$A$2:$A$579,$A49,'Por foco'!$B$2:$B$579,$B49)</f>
        <v>483</v>
      </c>
      <c r="G49" s="3" t="n">
        <f aca="false">SUMIFS('Por foco'!$I$2:$I$579,'Por foco'!$A$2:$A$579,$A49,'Por foco'!$B$2:$B$579,$B49)</f>
        <v>150</v>
      </c>
      <c r="H49" s="3" t="n">
        <f aca="false">SUMIFS('Por foco'!$J$2:$J$579,'Por foco'!$A$2:$A$579,$A49,'Por foco'!$B$2:$B$579,$B49)</f>
        <v>5</v>
      </c>
      <c r="I49" s="3" t="n">
        <f aca="false">SUMIFS('Por foco'!$K$2:$K$579,'Por foco'!$A$2:$A$579,$A49,'Por foco'!$B$2:$B$579,$B49)</f>
        <v>0</v>
      </c>
      <c r="J49" s="3" t="n">
        <f aca="false">SUMIFS('Por foco'!$L$2:$L$579,'Por foco'!$A$2:$A$579,$A49,'Por foco'!$B$2:$B$579,$B49)</f>
        <v>0</v>
      </c>
      <c r="K49" s="3" t="n">
        <f aca="false">SUMIFS('Por foco'!$M$2:$M$579,'Por foco'!$A$2:$A$579,$A49,'Por foco'!$B$2:$B$579,$B49)</f>
        <v>0</v>
      </c>
      <c r="L49" s="3" t="n">
        <f aca="false">SUMIFS('Por foco'!$N$2:$N$579,'Por foco'!$A$2:$A$579,$A49,'Por foco'!$B$2:$B$579,$B49)</f>
        <v>0</v>
      </c>
      <c r="M49" s="3" t="n">
        <f aca="false">SUMIFS('Por foco'!$O$2:$O$579,'Por foco'!$A$2:$A$579,$A49,'Por foco'!$B$2:$B$579,$B49)</f>
        <v>0</v>
      </c>
      <c r="N49" s="3" t="n">
        <f aca="false">SUMIFS('Por foco'!$P$2:$P$579,'Por foco'!$A$2:$A$579,$A49,'Por foco'!$B$2:$B$579,$B49)</f>
        <v>1</v>
      </c>
      <c r="O49" s="3" t="n">
        <f aca="false">SUMIFS('Por foco'!$Q$2:$Q$579,'Por foco'!$A$2:$A$579,$A49,'Por foco'!$B$2:$B$579,$B49)</f>
        <v>0</v>
      </c>
      <c r="P49" s="3" t="n">
        <f aca="false">SUMIFS('Por foco'!$R$2:$R$579,'Por foco'!$A$2:$A$579,$A49,'Por foco'!$B$2:$B$579,$B49)</f>
        <v>2</v>
      </c>
      <c r="Q49" s="3" t="n">
        <f aca="false">SUMIFS('Por foco'!$S$2:$S$579,'Por foco'!$A$2:$A$579,$A49,'Por foco'!$B$2:$B$579,$B49)</f>
        <v>0</v>
      </c>
      <c r="R49" s="3" t="n">
        <f aca="false">SUMIFS('Por foco'!$T$2:$T$579,'Por foco'!$A$2:$A$579,$A49,'Por foco'!$B$2:$B$579,$B49)</f>
        <v>0</v>
      </c>
      <c r="S49" s="3" t="n">
        <f aca="false">SUMIFS('Por foco'!$U$2:$U$579,'Por foco'!$A$2:$A$579,$A49,'Por foco'!$B$2:$B$579,$B49)</f>
        <v>0</v>
      </c>
      <c r="T49" s="3" t="n">
        <f aca="false">SUMIFS('Por foco'!$V$2:$V$579,'Por foco'!$A$2:$A$579,$A49,'Por foco'!$B$2:$B$579,$B49)</f>
        <v>0</v>
      </c>
      <c r="U49" s="3" t="n">
        <f aca="false">SUMIFS('Por foco'!$W$2:$W$579,'Por foco'!$A$2:$A$579,$A49,'Por foco'!$B$2:$B$579,$B49)</f>
        <v>0</v>
      </c>
      <c r="V49" s="3" t="n">
        <f aca="false">SUMIFS('Por foco'!$X$2:$X$579,'Por foco'!$A$2:$A$579,$A49,'Por foco'!$B$2:$B$579,$B49)</f>
        <v>0</v>
      </c>
      <c r="W49" s="3" t="n">
        <f aca="false">SUMIFS('Por foco'!$Y$2:$Y$579,'Por foco'!$A$2:$A$579,$A49,'Por foco'!$B$2:$B$579,$B49)</f>
        <v>0</v>
      </c>
      <c r="X49" s="3" t="n">
        <f aca="false">SUMIFS('Por foco'!$Z$2:$Z$579,'Por foco'!$A$2:$A$579,$A49,'Por foco'!$B$2:$B$579,$B49)</f>
        <v>0</v>
      </c>
      <c r="Y49" s="3" t="n">
        <f aca="false">SUMIFS('Por foco'!$AA$2:$AA$579,'Por foco'!$A$2:$A$579,$A49,'Por foco'!$B$2:$B$579,$B49)</f>
        <v>0</v>
      </c>
      <c r="Z49" s="3" t="n">
        <f aca="false">SUMIFS('Por foco'!$AB$2:$AB$579,'Por foco'!$A$2:$A$579,$A49,'Por foco'!$B$2:$B$579,$B49)</f>
        <v>0</v>
      </c>
      <c r="AA49" s="3" t="n">
        <f aca="false">SUMIFS('Por foco'!$AC$2:$AC$579,'Por foco'!$A$2:$A$579,$A49,'Por foco'!$B$2:$B$579,$B49)</f>
        <v>0</v>
      </c>
      <c r="AB49" s="3" t="n">
        <f aca="false">SUMIFS('Por foco'!$AD$2:$AD$579,'Por foco'!$A$2:$A$579,$A49,'Por foco'!$B$2:$B$579,$B49)</f>
        <v>0</v>
      </c>
      <c r="AC49" s="3" t="n">
        <f aca="false">SUMIFS('Por foco'!$AE$2:$AE$579,'Por foco'!$A$2:$A$579,$A49,'Por foco'!$B$2:$B$579,$B49)</f>
        <v>0</v>
      </c>
      <c r="AD49" s="3" t="n">
        <f aca="false">SUMIFS('Por foco'!$AF$2:$AF$579,'Por foco'!$A$2:$A$579,$A49,'Por foco'!$B$2:$B$579,$B49)</f>
        <v>0</v>
      </c>
      <c r="AE49" s="3" t="n">
        <f aca="false">SUMIFS('Por foco'!$AG$2:$AG$579,'Por foco'!$A$2:$A$579,$A49,'Por foco'!$B$2:$B$579,$B49)</f>
        <v>0</v>
      </c>
      <c r="AF49" s="3" t="n">
        <f aca="false">SUMIFS('Por foco'!$AH$2:$AH$579,'Por foco'!$A$2:$A$579,$A49,'Por foco'!$B$2:$B$579,$B49)</f>
        <v>0</v>
      </c>
      <c r="AG49" s="3" t="n">
        <f aca="false">SUMIFS('Por foco'!$AI$2:$AI$579,'Por foco'!$A$2:$A$579,$A49,'Por foco'!$B$2:$B$579,$B49)</f>
        <v>0</v>
      </c>
      <c r="AH49" s="3" t="n">
        <f aca="false">SUMIFS('Por foco'!$AJ$2:$AJ$579,'Por foco'!$A$2:$A$579,$A49,'Por foco'!$B$2:$B$579,$B49)</f>
        <v>0</v>
      </c>
      <c r="AI49" s="3" t="n">
        <f aca="false">SUMIFS('Por foco'!$AK$2:$AK$579,'Por foco'!$A$2:$A$579,$A49,'Por foco'!$B$2:$B$579,$B49)</f>
        <v>0</v>
      </c>
      <c r="AJ49" s="3" t="n">
        <f aca="false">SUMIFS('Por foco'!$AL$2:$AL$579,'Por foco'!$A$2:$A$579,$A49,'Por foco'!$B$2:$B$579,$B49)</f>
        <v>0</v>
      </c>
      <c r="AK49" s="3" t="n">
        <f aca="false">SUMIFS('Por foco'!$AM$2:$AM$579,'Por foco'!$A$2:$A$579,$A49,'Por foco'!$B$2:$B$579,$B49)</f>
        <v>0</v>
      </c>
      <c r="AL49" s="3" t="n">
        <f aca="false">SUMIFS('Por foco'!$AN$2:$AN$579,'Por foco'!$A$2:$A$579,$A49,'Por foco'!$B$2:$B$579,$B49)</f>
        <v>4</v>
      </c>
      <c r="AM49" s="3" t="n">
        <f aca="false">SUMIFS('Por foco'!$AO$2:$AO$579,'Por foco'!$A$2:$A$579,$A49,'Por foco'!$B$2:$B$579,$B49)</f>
        <v>0</v>
      </c>
      <c r="AN49" s="3" t="n">
        <f aca="false">SUMIFS('Por foco'!$AP$2:$AP$579,'Por foco'!$A$2:$A$579,$A49,'Por foco'!$B$2:$B$579,$B49)</f>
        <v>0</v>
      </c>
      <c r="AO49" s="3" t="n">
        <f aca="false">SUMIFS('Por foco'!$AQ$2:$AQ$579,'Por foco'!$A$2:$A$579,$A49,'Por foco'!$B$2:$B$579,$B49)</f>
        <v>0</v>
      </c>
      <c r="AP49" s="3" t="n">
        <f aca="false">SUMIFS('Por foco'!$AR$2:$AR$579,'Por foco'!$A$2:$A$579,$A49,'Por foco'!$B$2:$B$579,$B49)</f>
        <v>0</v>
      </c>
      <c r="AQ49" s="3" t="n">
        <f aca="false">SUMIFS('Por foco'!$AS$2:$AS$579,'Por foco'!$A$2:$A$579,$A49,'Por foco'!$B$2:$B$579,$B49)</f>
        <v>0</v>
      </c>
      <c r="AR49" s="3" t="n">
        <f aca="false">SUMIFS('Por foco'!$AT$2:$AT$579,'Por foco'!$A$2:$A$579,$A49,'Por foco'!$B$2:$B$579,$B49)</f>
        <v>0</v>
      </c>
      <c r="AS49" s="3" t="n">
        <f aca="false">SUMIFS('Por foco'!$AU$2:$AU$579,'Por foco'!$A$2:$A$579,$A49,'Por foco'!$B$2:$B$579,$B49)</f>
        <v>0</v>
      </c>
      <c r="AT49" s="3" t="n">
        <f aca="false">SUMIFS('Por foco'!$AV$2:$AV$579,'Por foco'!$A$2:$A$579,$A49,'Por foco'!$B$2:$B$579,$B49)</f>
        <v>0</v>
      </c>
      <c r="AU49" s="3" t="n">
        <f aca="false">SUMIFS('Por foco'!$AW$2:$AW$579,'Por foco'!$A$2:$A$579,$A49,'Por foco'!$B$2:$B$579,$B49)</f>
        <v>0</v>
      </c>
      <c r="AV49" s="3" t="n">
        <f aca="false">SUMIFS('Por foco'!$AX$2:$AX$579,'Por foco'!$A$2:$A$579,$A49,'Por foco'!$B$2:$B$579,$B49)</f>
        <v>0</v>
      </c>
      <c r="AW49" s="3" t="n">
        <f aca="false">SUMIFS('Por foco'!$AY$2:$AY$579,'Por foco'!$A$2:$A$579,$A49,'Por foco'!$B$2:$B$579,$B49)</f>
        <v>0</v>
      </c>
      <c r="AX49" s="3" t="n">
        <f aca="false">SUMIFS('Por foco'!$AZ$2:$AZ$579,'Por foco'!$A$2:$A$579,$A49,'Por foco'!$B$2:$B$579,$B49)</f>
        <v>0</v>
      </c>
      <c r="AY49" s="3" t="n">
        <f aca="false">SUMIFS('Por foco'!$BA$2:$BA$579,'Por foco'!$A$2:$A$579,$A49,'Por foco'!$B$2:$B$579,$B49)</f>
        <v>0</v>
      </c>
      <c r="AZ49" s="3" t="n">
        <f aca="false">SUMIFS('Por foco'!$BB$2:$BB$579,'Por foco'!$A$2:$A$579,$A49,'Por foco'!$B$2:$B$579,$B49)</f>
        <v>0</v>
      </c>
      <c r="BA49" s="3" t="n">
        <f aca="false">SUMIFS('Por foco'!$BC$2:$BC$579,'Por foco'!$A$2:$A$579,$A49,'Por foco'!$B$2:$B$579,$B49)</f>
        <v>0</v>
      </c>
      <c r="BB49" s="3" t="n">
        <f aca="false">SUMIFS('Por foco'!$BD$2:$BD$579,'Por foco'!$A$2:$A$579,$A49,'Por foco'!$B$2:$B$579,$B49)</f>
        <v>0</v>
      </c>
      <c r="BC49" s="3" t="n">
        <f aca="false">SUMIFS('Por foco'!$BE$2:$BE$579,'Por foco'!$A$2:$A$579,$A49,'Por foco'!$B$2:$B$579,$B49)</f>
        <v>0</v>
      </c>
      <c r="BD49" s="3" t="n">
        <f aca="false">SUMIFS('Por foco'!$BF$2:$BF$579,'Por foco'!$A$2:$A$579,$A49,'Por foco'!$B$2:$B$579,$B49)</f>
        <v>0</v>
      </c>
      <c r="BE49" s="3" t="n">
        <f aca="false">SUMIFS('Por foco'!$BG$2:$BG$579,'Por foco'!$A$2:$A$579,$A49,'Por foco'!$B$2:$B$579,$B49)</f>
        <v>0</v>
      </c>
    </row>
    <row r="50" customFormat="false" ht="15" hidden="false" customHeight="false" outlineLevel="0" collapsed="false">
      <c r="A50" s="3" t="s">
        <v>64</v>
      </c>
      <c r="B50" s="3" t="s">
        <v>122</v>
      </c>
      <c r="C50" s="3" t="n">
        <f aca="false">COUNTIFS('Por foco'!$A$2:$A$579,$A50,'Por foco'!$B$2:$B$579,$B50)</f>
        <v>6</v>
      </c>
      <c r="D50" s="6" t="n">
        <f aca="false">SUMIFS('Por foco'!$F$2:$F$579,'Por foco'!$A$2:$A$579,$A50,'Por foco'!$B$2:$B$579,$B50)</f>
        <v>638</v>
      </c>
      <c r="E50" s="3" t="n">
        <f aca="false">IF(C50=0,0,SUMIFS('Por foco'!$E$2:$E$579,'Por foco'!$A$2:$A$579,$A50,'Por foco'!$B$2:$B$579,$B50)/C50)</f>
        <v>1</v>
      </c>
      <c r="F50" s="3" t="n">
        <f aca="false">SUMIFS('Por foco'!$H$2:$H$579,'Por foco'!$A$2:$A$579,$A50,'Por foco'!$B$2:$B$579,$B50)</f>
        <v>413</v>
      </c>
      <c r="G50" s="3" t="n">
        <f aca="false">SUMIFS('Por foco'!$I$2:$I$579,'Por foco'!$A$2:$A$579,$A50,'Por foco'!$B$2:$B$579,$B50)</f>
        <v>50</v>
      </c>
      <c r="H50" s="3" t="n">
        <f aca="false">SUMIFS('Por foco'!$J$2:$J$579,'Por foco'!$A$2:$A$579,$A50,'Por foco'!$B$2:$B$579,$B50)</f>
        <v>10</v>
      </c>
      <c r="I50" s="3" t="n">
        <f aca="false">SUMIFS('Por foco'!$K$2:$K$579,'Por foco'!$A$2:$A$579,$A50,'Por foco'!$B$2:$B$579,$B50)</f>
        <v>5</v>
      </c>
      <c r="J50" s="3" t="n">
        <f aca="false">SUMIFS('Por foco'!$L$2:$L$579,'Por foco'!$A$2:$A$579,$A50,'Por foco'!$B$2:$B$579,$B50)</f>
        <v>0</v>
      </c>
      <c r="K50" s="3" t="n">
        <f aca="false">SUMIFS('Por foco'!$M$2:$M$579,'Por foco'!$A$2:$A$579,$A50,'Por foco'!$B$2:$B$579,$B50)</f>
        <v>0</v>
      </c>
      <c r="L50" s="3" t="n">
        <f aca="false">SUMIFS('Por foco'!$N$2:$N$579,'Por foco'!$A$2:$A$579,$A50,'Por foco'!$B$2:$B$579,$B50)</f>
        <v>0</v>
      </c>
      <c r="M50" s="3" t="n">
        <f aca="false">SUMIFS('Por foco'!$O$2:$O$579,'Por foco'!$A$2:$A$579,$A50,'Por foco'!$B$2:$B$579,$B50)</f>
        <v>0</v>
      </c>
      <c r="N50" s="3" t="n">
        <f aca="false">SUMIFS('Por foco'!$P$2:$P$579,'Por foco'!$A$2:$A$579,$A50,'Por foco'!$B$2:$B$579,$B50)</f>
        <v>0</v>
      </c>
      <c r="O50" s="3" t="n">
        <f aca="false">SUMIFS('Por foco'!$Q$2:$Q$579,'Por foco'!$A$2:$A$579,$A50,'Por foco'!$B$2:$B$579,$B50)</f>
        <v>1</v>
      </c>
      <c r="P50" s="3" t="n">
        <f aca="false">SUMIFS('Por foco'!$R$2:$R$579,'Por foco'!$A$2:$A$579,$A50,'Por foco'!$B$2:$B$579,$B50)</f>
        <v>1</v>
      </c>
      <c r="Q50" s="3" t="n">
        <f aca="false">SUMIFS('Por foco'!$S$2:$S$579,'Por foco'!$A$2:$A$579,$A50,'Por foco'!$B$2:$B$579,$B50)</f>
        <v>0</v>
      </c>
      <c r="R50" s="3" t="n">
        <f aca="false">SUMIFS('Por foco'!$T$2:$T$579,'Por foco'!$A$2:$A$579,$A50,'Por foco'!$B$2:$B$579,$B50)</f>
        <v>0</v>
      </c>
      <c r="S50" s="3" t="n">
        <f aca="false">SUMIFS('Por foco'!$U$2:$U$579,'Por foco'!$A$2:$A$579,$A50,'Por foco'!$B$2:$B$579,$B50)</f>
        <v>0</v>
      </c>
      <c r="T50" s="3" t="n">
        <f aca="false">SUMIFS('Por foco'!$V$2:$V$579,'Por foco'!$A$2:$A$579,$A50,'Por foco'!$B$2:$B$579,$B50)</f>
        <v>0</v>
      </c>
      <c r="U50" s="3" t="n">
        <f aca="false">SUMIFS('Por foco'!$W$2:$W$579,'Por foco'!$A$2:$A$579,$A50,'Por foco'!$B$2:$B$579,$B50)</f>
        <v>0</v>
      </c>
      <c r="V50" s="3" t="n">
        <f aca="false">SUMIFS('Por foco'!$X$2:$X$579,'Por foco'!$A$2:$A$579,$A50,'Por foco'!$B$2:$B$579,$B50)</f>
        <v>0</v>
      </c>
      <c r="W50" s="3" t="n">
        <f aca="false">SUMIFS('Por foco'!$Y$2:$Y$579,'Por foco'!$A$2:$A$579,$A50,'Por foco'!$B$2:$B$579,$B50)</f>
        <v>0</v>
      </c>
      <c r="X50" s="3" t="n">
        <f aca="false">SUMIFS('Por foco'!$Z$2:$Z$579,'Por foco'!$A$2:$A$579,$A50,'Por foco'!$B$2:$B$579,$B50)</f>
        <v>0</v>
      </c>
      <c r="Y50" s="3" t="n">
        <f aca="false">SUMIFS('Por foco'!$AA$2:$AA$579,'Por foco'!$A$2:$A$579,$A50,'Por foco'!$B$2:$B$579,$B50)</f>
        <v>0.1</v>
      </c>
      <c r="Z50" s="3" t="n">
        <f aca="false">SUMIFS('Por foco'!$AB$2:$AB$579,'Por foco'!$A$2:$A$579,$A50,'Por foco'!$B$2:$B$579,$B50)</f>
        <v>15</v>
      </c>
      <c r="AA50" s="3" t="n">
        <f aca="false">SUMIFS('Por foco'!$AC$2:$AC$579,'Por foco'!$A$2:$A$579,$A50,'Por foco'!$B$2:$B$579,$B50)</f>
        <v>5</v>
      </c>
      <c r="AB50" s="3" t="n">
        <f aca="false">SUMIFS('Por foco'!$AD$2:$AD$579,'Por foco'!$A$2:$A$579,$A50,'Por foco'!$B$2:$B$579,$B50)</f>
        <v>0</v>
      </c>
      <c r="AC50" s="3" t="n">
        <f aca="false">SUMIFS('Por foco'!$AE$2:$AE$579,'Por foco'!$A$2:$A$579,$A50,'Por foco'!$B$2:$B$579,$B50)</f>
        <v>0</v>
      </c>
      <c r="AD50" s="3" t="n">
        <f aca="false">SUMIFS('Por foco'!$AF$2:$AF$579,'Por foco'!$A$2:$A$579,$A50,'Por foco'!$B$2:$B$579,$B50)</f>
        <v>0</v>
      </c>
      <c r="AE50" s="3" t="n">
        <f aca="false">SUMIFS('Por foco'!$AG$2:$AG$579,'Por foco'!$A$2:$A$579,$A50,'Por foco'!$B$2:$B$579,$B50)</f>
        <v>0</v>
      </c>
      <c r="AF50" s="3" t="n">
        <f aca="false">SUMIFS('Por foco'!$AH$2:$AH$579,'Por foco'!$A$2:$A$579,$A50,'Por foco'!$B$2:$B$579,$B50)</f>
        <v>0</v>
      </c>
      <c r="AG50" s="3" t="n">
        <f aca="false">SUMIFS('Por foco'!$AI$2:$AI$579,'Por foco'!$A$2:$A$579,$A50,'Por foco'!$B$2:$B$579,$B50)</f>
        <v>0</v>
      </c>
      <c r="AH50" s="3" t="n">
        <f aca="false">SUMIFS('Por foco'!$AJ$2:$AJ$579,'Por foco'!$A$2:$A$579,$A50,'Por foco'!$B$2:$B$579,$B50)</f>
        <v>0</v>
      </c>
      <c r="AI50" s="3" t="n">
        <f aca="false">SUMIFS('Por foco'!$AK$2:$AK$579,'Por foco'!$A$2:$A$579,$A50,'Por foco'!$B$2:$B$579,$B50)</f>
        <v>0</v>
      </c>
      <c r="AJ50" s="3" t="n">
        <f aca="false">SUMIFS('Por foco'!$AL$2:$AL$579,'Por foco'!$A$2:$A$579,$A50,'Por foco'!$B$2:$B$579,$B50)</f>
        <v>0</v>
      </c>
      <c r="AK50" s="3" t="n">
        <f aca="false">SUMIFS('Por foco'!$AM$2:$AM$579,'Por foco'!$A$2:$A$579,$A50,'Por foco'!$B$2:$B$579,$B50)</f>
        <v>0</v>
      </c>
      <c r="AL50" s="3" t="n">
        <f aca="false">SUMIFS('Por foco'!$AN$2:$AN$579,'Por foco'!$A$2:$A$579,$A50,'Por foco'!$B$2:$B$579,$B50)</f>
        <v>4</v>
      </c>
      <c r="AM50" s="3" t="n">
        <f aca="false">SUMIFS('Por foco'!$AO$2:$AO$579,'Por foco'!$A$2:$A$579,$A50,'Por foco'!$B$2:$B$579,$B50)</f>
        <v>0</v>
      </c>
      <c r="AN50" s="3" t="n">
        <f aca="false">SUMIFS('Por foco'!$AP$2:$AP$579,'Por foco'!$A$2:$A$579,$A50,'Por foco'!$B$2:$B$579,$B50)</f>
        <v>0</v>
      </c>
      <c r="AO50" s="3" t="n">
        <f aca="false">SUMIFS('Por foco'!$AQ$2:$AQ$579,'Por foco'!$A$2:$A$579,$A50,'Por foco'!$B$2:$B$579,$B50)</f>
        <v>0</v>
      </c>
      <c r="AP50" s="3" t="n">
        <f aca="false">SUMIFS('Por foco'!$AR$2:$AR$579,'Por foco'!$A$2:$A$579,$A50,'Por foco'!$B$2:$B$579,$B50)</f>
        <v>0</v>
      </c>
      <c r="AQ50" s="3" t="n">
        <f aca="false">SUMIFS('Por foco'!$AS$2:$AS$579,'Por foco'!$A$2:$A$579,$A50,'Por foco'!$B$2:$B$579,$B50)</f>
        <v>0</v>
      </c>
      <c r="AR50" s="3" t="n">
        <f aca="false">SUMIFS('Por foco'!$AT$2:$AT$579,'Por foco'!$A$2:$A$579,$A50,'Por foco'!$B$2:$B$579,$B50)</f>
        <v>0</v>
      </c>
      <c r="AS50" s="3" t="n">
        <f aca="false">SUMIFS('Por foco'!$AU$2:$AU$579,'Por foco'!$A$2:$A$579,$A50,'Por foco'!$B$2:$B$579,$B50)</f>
        <v>0</v>
      </c>
      <c r="AT50" s="3" t="n">
        <f aca="false">SUMIFS('Por foco'!$AV$2:$AV$579,'Por foco'!$A$2:$A$579,$A50,'Por foco'!$B$2:$B$579,$B50)</f>
        <v>0</v>
      </c>
      <c r="AU50" s="3" t="n">
        <f aca="false">SUMIFS('Por foco'!$AW$2:$AW$579,'Por foco'!$A$2:$A$579,$A50,'Por foco'!$B$2:$B$579,$B50)</f>
        <v>0</v>
      </c>
      <c r="AV50" s="3" t="n">
        <f aca="false">SUMIFS('Por foco'!$AX$2:$AX$579,'Por foco'!$A$2:$A$579,$A50,'Por foco'!$B$2:$B$579,$B50)</f>
        <v>0</v>
      </c>
      <c r="AW50" s="3" t="n">
        <f aca="false">SUMIFS('Por foco'!$AY$2:$AY$579,'Por foco'!$A$2:$A$579,$A50,'Por foco'!$B$2:$B$579,$B50)</f>
        <v>0</v>
      </c>
      <c r="AX50" s="3" t="n">
        <f aca="false">SUMIFS('Por foco'!$AZ$2:$AZ$579,'Por foco'!$A$2:$A$579,$A50,'Por foco'!$B$2:$B$579,$B50)</f>
        <v>0</v>
      </c>
      <c r="AY50" s="3" t="n">
        <f aca="false">SUMIFS('Por foco'!$BA$2:$BA$579,'Por foco'!$A$2:$A$579,$A50,'Por foco'!$B$2:$B$579,$B50)</f>
        <v>0</v>
      </c>
      <c r="AZ50" s="3" t="n">
        <f aca="false">SUMIFS('Por foco'!$BB$2:$BB$579,'Por foco'!$A$2:$A$579,$A50,'Por foco'!$B$2:$B$579,$B50)</f>
        <v>0</v>
      </c>
      <c r="BA50" s="3" t="n">
        <f aca="false">SUMIFS('Por foco'!$BC$2:$BC$579,'Por foco'!$A$2:$A$579,$A50,'Por foco'!$B$2:$B$579,$B50)</f>
        <v>0</v>
      </c>
      <c r="BB50" s="3" t="n">
        <f aca="false">SUMIFS('Por foco'!$BD$2:$BD$579,'Por foco'!$A$2:$A$579,$A50,'Por foco'!$B$2:$B$579,$B50)</f>
        <v>0</v>
      </c>
      <c r="BC50" s="3" t="n">
        <f aca="false">SUMIFS('Por foco'!$BE$2:$BE$579,'Por foco'!$A$2:$A$579,$A50,'Por foco'!$B$2:$B$579,$B50)</f>
        <v>0</v>
      </c>
      <c r="BD50" s="3" t="n">
        <f aca="false">SUMIFS('Por foco'!$BF$2:$BF$579,'Por foco'!$A$2:$A$579,$A50,'Por foco'!$B$2:$B$579,$B50)</f>
        <v>0</v>
      </c>
      <c r="BE50" s="3" t="n">
        <f aca="false">SUMIFS('Por foco'!$BG$2:$BG$579,'Por foco'!$A$2:$A$579,$A50,'Por foco'!$B$2:$B$579,$B50)</f>
        <v>0</v>
      </c>
    </row>
    <row r="51" customFormat="false" ht="15" hidden="false" customHeight="false" outlineLevel="0" collapsed="false">
      <c r="A51" s="3" t="s">
        <v>65</v>
      </c>
      <c r="B51" s="3" t="s">
        <v>123</v>
      </c>
      <c r="C51" s="3" t="n">
        <f aca="false">COUNTIFS('Por foco'!$A$2:$A$579,$A51,'Por foco'!$B$2:$B$579,$B51)</f>
        <v>9</v>
      </c>
      <c r="D51" s="6" t="n">
        <f aca="false">SUMIFS('Por foco'!$F$2:$F$579,'Por foco'!$A$2:$A$579,$A51,'Por foco'!$B$2:$B$579,$B51)</f>
        <v>1327.5</v>
      </c>
      <c r="E51" s="3" t="n">
        <f aca="false">IF(C51=0,0,SUMIFS('Por foco'!$E$2:$E$579,'Por foco'!$A$2:$A$579,$A51,'Por foco'!$B$2:$B$579,$B51)/C51)</f>
        <v>0.611111111111111</v>
      </c>
      <c r="F51" s="3" t="n">
        <f aca="false">SUMIFS('Por foco'!$H$2:$H$579,'Por foco'!$A$2:$A$579,$A51,'Por foco'!$B$2:$B$579,$B51)</f>
        <v>560</v>
      </c>
      <c r="G51" s="3" t="n">
        <f aca="false">SUMIFS('Por foco'!$I$2:$I$579,'Por foco'!$A$2:$A$579,$A51,'Por foco'!$B$2:$B$579,$B51)</f>
        <v>400</v>
      </c>
      <c r="H51" s="3" t="n">
        <f aca="false">SUMIFS('Por foco'!$J$2:$J$579,'Por foco'!$A$2:$A$579,$A51,'Por foco'!$B$2:$B$579,$B51)</f>
        <v>3</v>
      </c>
      <c r="I51" s="3" t="n">
        <f aca="false">SUMIFS('Por foco'!$K$2:$K$579,'Por foco'!$A$2:$A$579,$A51,'Por foco'!$B$2:$B$579,$B51)</f>
        <v>0</v>
      </c>
      <c r="J51" s="3" t="n">
        <f aca="false">SUMIFS('Por foco'!$L$2:$L$579,'Por foco'!$A$2:$A$579,$A51,'Por foco'!$B$2:$B$579,$B51)</f>
        <v>0</v>
      </c>
      <c r="K51" s="3" t="n">
        <f aca="false">SUMIFS('Por foco'!$M$2:$M$579,'Por foco'!$A$2:$A$579,$A51,'Por foco'!$B$2:$B$579,$B51)</f>
        <v>0</v>
      </c>
      <c r="L51" s="3" t="n">
        <f aca="false">SUMIFS('Por foco'!$N$2:$N$579,'Por foco'!$A$2:$A$579,$A51,'Por foco'!$B$2:$B$579,$B51)</f>
        <v>0</v>
      </c>
      <c r="M51" s="3" t="n">
        <f aca="false">SUMIFS('Por foco'!$O$2:$O$579,'Por foco'!$A$2:$A$579,$A51,'Por foco'!$B$2:$B$579,$B51)</f>
        <v>0</v>
      </c>
      <c r="N51" s="3" t="n">
        <f aca="false">SUMIFS('Por foco'!$P$2:$P$579,'Por foco'!$A$2:$A$579,$A51,'Por foco'!$B$2:$B$579,$B51)</f>
        <v>1</v>
      </c>
      <c r="O51" s="3" t="n">
        <f aca="false">SUMIFS('Por foco'!$Q$2:$Q$579,'Por foco'!$A$2:$A$579,$A51,'Por foco'!$B$2:$B$579,$B51)</f>
        <v>0</v>
      </c>
      <c r="P51" s="3" t="n">
        <f aca="false">SUMIFS('Por foco'!$R$2:$R$579,'Por foco'!$A$2:$A$579,$A51,'Por foco'!$B$2:$B$579,$B51)</f>
        <v>0</v>
      </c>
      <c r="Q51" s="3" t="n">
        <f aca="false">SUMIFS('Por foco'!$S$2:$S$579,'Por foco'!$A$2:$A$579,$A51,'Por foco'!$B$2:$B$579,$B51)</f>
        <v>0</v>
      </c>
      <c r="R51" s="3" t="n">
        <f aca="false">SUMIFS('Por foco'!$T$2:$T$579,'Por foco'!$A$2:$A$579,$A51,'Por foco'!$B$2:$B$579,$B51)</f>
        <v>0</v>
      </c>
      <c r="S51" s="3" t="n">
        <f aca="false">SUMIFS('Por foco'!$U$2:$U$579,'Por foco'!$A$2:$A$579,$A51,'Por foco'!$B$2:$B$579,$B51)</f>
        <v>0</v>
      </c>
      <c r="T51" s="3" t="n">
        <f aca="false">SUMIFS('Por foco'!$V$2:$V$579,'Por foco'!$A$2:$A$579,$A51,'Por foco'!$B$2:$B$579,$B51)</f>
        <v>0</v>
      </c>
      <c r="U51" s="3" t="n">
        <f aca="false">SUMIFS('Por foco'!$W$2:$W$579,'Por foco'!$A$2:$A$579,$A51,'Por foco'!$B$2:$B$579,$B51)</f>
        <v>0</v>
      </c>
      <c r="V51" s="3" t="n">
        <f aca="false">SUMIFS('Por foco'!$X$2:$X$579,'Por foco'!$A$2:$A$579,$A51,'Por foco'!$B$2:$B$579,$B51)</f>
        <v>0</v>
      </c>
      <c r="W51" s="3" t="n">
        <f aca="false">SUMIFS('Por foco'!$Y$2:$Y$579,'Por foco'!$A$2:$A$579,$A51,'Por foco'!$B$2:$B$579,$B51)</f>
        <v>0</v>
      </c>
      <c r="X51" s="3" t="n">
        <f aca="false">SUMIFS('Por foco'!$Z$2:$Z$579,'Por foco'!$A$2:$A$579,$A51,'Por foco'!$B$2:$B$579,$B51)</f>
        <v>2</v>
      </c>
      <c r="Y51" s="3" t="n">
        <f aca="false">SUMIFS('Por foco'!$AA$2:$AA$579,'Por foco'!$A$2:$A$579,$A51,'Por foco'!$B$2:$B$579,$B51)</f>
        <v>0.25</v>
      </c>
      <c r="Z51" s="3" t="n">
        <f aca="false">SUMIFS('Por foco'!$AB$2:$AB$579,'Por foco'!$A$2:$A$579,$A51,'Por foco'!$B$2:$B$579,$B51)</f>
        <v>16.2</v>
      </c>
      <c r="AA51" s="3" t="n">
        <f aca="false">SUMIFS('Por foco'!$AC$2:$AC$579,'Por foco'!$A$2:$A$579,$A51,'Por foco'!$B$2:$B$579,$B51)</f>
        <v>0</v>
      </c>
      <c r="AB51" s="3" t="n">
        <f aca="false">SUMIFS('Por foco'!$AD$2:$AD$579,'Por foco'!$A$2:$A$579,$A51,'Por foco'!$B$2:$B$579,$B51)</f>
        <v>0</v>
      </c>
      <c r="AC51" s="3" t="n">
        <f aca="false">SUMIFS('Por foco'!$AE$2:$AE$579,'Por foco'!$A$2:$A$579,$A51,'Por foco'!$B$2:$B$579,$B51)</f>
        <v>0</v>
      </c>
      <c r="AD51" s="3" t="n">
        <f aca="false">SUMIFS('Por foco'!$AF$2:$AF$579,'Por foco'!$A$2:$A$579,$A51,'Por foco'!$B$2:$B$579,$B51)</f>
        <v>0</v>
      </c>
      <c r="AE51" s="3" t="n">
        <f aca="false">SUMIFS('Por foco'!$AG$2:$AG$579,'Por foco'!$A$2:$A$579,$A51,'Por foco'!$B$2:$B$579,$B51)</f>
        <v>-2.8</v>
      </c>
      <c r="AF51" s="3" t="n">
        <f aca="false">SUMIFS('Por foco'!$AH$2:$AH$579,'Por foco'!$A$2:$A$579,$A51,'Por foco'!$B$2:$B$579,$B51)</f>
        <v>0</v>
      </c>
      <c r="AG51" s="3" t="n">
        <f aca="false">SUMIFS('Por foco'!$AI$2:$AI$579,'Por foco'!$A$2:$A$579,$A51,'Por foco'!$B$2:$B$579,$B51)</f>
        <v>10</v>
      </c>
      <c r="AH51" s="3" t="n">
        <f aca="false">SUMIFS('Por foco'!$AJ$2:$AJ$579,'Por foco'!$A$2:$A$579,$A51,'Por foco'!$B$2:$B$579,$B51)</f>
        <v>0</v>
      </c>
      <c r="AI51" s="3" t="n">
        <f aca="false">SUMIFS('Por foco'!$AK$2:$AK$579,'Por foco'!$A$2:$A$579,$A51,'Por foco'!$B$2:$B$579,$B51)</f>
        <v>0</v>
      </c>
      <c r="AJ51" s="3" t="n">
        <f aca="false">SUMIFS('Por foco'!$AL$2:$AL$579,'Por foco'!$A$2:$A$579,$A51,'Por foco'!$B$2:$B$579,$B51)</f>
        <v>0</v>
      </c>
      <c r="AK51" s="3" t="n">
        <f aca="false">SUMIFS('Por foco'!$AM$2:$AM$579,'Por foco'!$A$2:$A$579,$A51,'Por foco'!$B$2:$B$579,$B51)</f>
        <v>0</v>
      </c>
      <c r="AL51" s="3" t="n">
        <f aca="false">SUMIFS('Por foco'!$AN$2:$AN$579,'Por foco'!$A$2:$A$579,$A51,'Por foco'!$B$2:$B$579,$B51)</f>
        <v>5</v>
      </c>
      <c r="AM51" s="3" t="n">
        <f aca="false">SUMIFS('Por foco'!$AO$2:$AO$579,'Por foco'!$A$2:$A$579,$A51,'Por foco'!$B$2:$B$579,$B51)</f>
        <v>0</v>
      </c>
      <c r="AN51" s="3" t="n">
        <f aca="false">SUMIFS('Por foco'!$AP$2:$AP$579,'Por foco'!$A$2:$A$579,$A51,'Por foco'!$B$2:$B$579,$B51)</f>
        <v>2.4</v>
      </c>
      <c r="AO51" s="3" t="n">
        <f aca="false">SUMIFS('Por foco'!$AQ$2:$AQ$579,'Por foco'!$A$2:$A$579,$A51,'Por foco'!$B$2:$B$579,$B51)</f>
        <v>0</v>
      </c>
      <c r="AP51" s="3" t="n">
        <f aca="false">SUMIFS('Por foco'!$AR$2:$AR$579,'Por foco'!$A$2:$A$579,$A51,'Por foco'!$B$2:$B$579,$B51)</f>
        <v>0</v>
      </c>
      <c r="AQ51" s="3" t="n">
        <f aca="false">SUMIFS('Por foco'!$AS$2:$AS$579,'Por foco'!$A$2:$A$579,$A51,'Por foco'!$B$2:$B$579,$B51)</f>
        <v>0</v>
      </c>
      <c r="AR51" s="3" t="n">
        <f aca="false">SUMIFS('Por foco'!$AT$2:$AT$579,'Por foco'!$A$2:$A$579,$A51,'Por foco'!$B$2:$B$579,$B51)</f>
        <v>0</v>
      </c>
      <c r="AS51" s="3" t="n">
        <f aca="false">SUMIFS('Por foco'!$AU$2:$AU$579,'Por foco'!$A$2:$A$579,$A51,'Por foco'!$B$2:$B$579,$B51)</f>
        <v>0</v>
      </c>
      <c r="AT51" s="3" t="n">
        <f aca="false">SUMIFS('Por foco'!$AV$2:$AV$579,'Por foco'!$A$2:$A$579,$A51,'Por foco'!$B$2:$B$579,$B51)</f>
        <v>0</v>
      </c>
      <c r="AU51" s="3" t="n">
        <f aca="false">SUMIFS('Por foco'!$AW$2:$AW$579,'Por foco'!$A$2:$A$579,$A51,'Por foco'!$B$2:$B$579,$B51)</f>
        <v>0</v>
      </c>
      <c r="AV51" s="3" t="n">
        <f aca="false">SUMIFS('Por foco'!$AX$2:$AX$579,'Por foco'!$A$2:$A$579,$A51,'Por foco'!$B$2:$B$579,$B51)</f>
        <v>0</v>
      </c>
      <c r="AW51" s="3" t="n">
        <f aca="false">SUMIFS('Por foco'!$AY$2:$AY$579,'Por foco'!$A$2:$A$579,$A51,'Por foco'!$B$2:$B$579,$B51)</f>
        <v>0</v>
      </c>
      <c r="AX51" s="3" t="n">
        <f aca="false">SUMIFS('Por foco'!$AZ$2:$AZ$579,'Por foco'!$A$2:$A$579,$A51,'Por foco'!$B$2:$B$579,$B51)</f>
        <v>0</v>
      </c>
      <c r="AY51" s="3" t="n">
        <f aca="false">SUMIFS('Por foco'!$BA$2:$BA$579,'Por foco'!$A$2:$A$579,$A51,'Por foco'!$B$2:$B$579,$B51)</f>
        <v>0</v>
      </c>
      <c r="AZ51" s="3" t="n">
        <f aca="false">SUMIFS('Por foco'!$BB$2:$BB$579,'Por foco'!$A$2:$A$579,$A51,'Por foco'!$B$2:$B$579,$B51)</f>
        <v>0</v>
      </c>
      <c r="BA51" s="3" t="n">
        <f aca="false">SUMIFS('Por foco'!$BC$2:$BC$579,'Por foco'!$A$2:$A$579,$A51,'Por foco'!$B$2:$B$579,$B51)</f>
        <v>0</v>
      </c>
      <c r="BB51" s="3" t="n">
        <f aca="false">SUMIFS('Por foco'!$BD$2:$BD$579,'Por foco'!$A$2:$A$579,$A51,'Por foco'!$B$2:$B$579,$B51)</f>
        <v>0</v>
      </c>
      <c r="BC51" s="3" t="n">
        <f aca="false">SUMIFS('Por foco'!$BE$2:$BE$579,'Por foco'!$A$2:$A$579,$A51,'Por foco'!$B$2:$B$579,$B51)</f>
        <v>0</v>
      </c>
      <c r="BD51" s="3" t="n">
        <f aca="false">SUMIFS('Por foco'!$BF$2:$BF$579,'Por foco'!$A$2:$A$579,$A51,'Por foco'!$B$2:$B$579,$B51)</f>
        <v>0</v>
      </c>
      <c r="BE51" s="3" t="n">
        <f aca="false">SUMIFS('Por foco'!$BG$2:$BG$579,'Por foco'!$A$2:$A$579,$A51,'Por foco'!$B$2:$B$579,$B51)</f>
        <v>0</v>
      </c>
    </row>
    <row r="52" customFormat="false" ht="15" hidden="false" customHeight="false" outlineLevel="0" collapsed="false">
      <c r="A52" s="3" t="s">
        <v>65</v>
      </c>
      <c r="B52" s="3" t="s">
        <v>124</v>
      </c>
      <c r="C52" s="3" t="n">
        <f aca="false">COUNTIFS('Por foco'!$A$2:$A$579,$A52,'Por foco'!$B$2:$B$579,$B52)</f>
        <v>7</v>
      </c>
      <c r="D52" s="6" t="n">
        <f aca="false">SUMIFS('Por foco'!$F$2:$F$579,'Por foco'!$A$2:$A$579,$A52,'Por foco'!$B$2:$B$579,$B52)</f>
        <v>1898.5</v>
      </c>
      <c r="E52" s="3" t="n">
        <f aca="false">IF(C52=0,0,SUMIFS('Por foco'!$E$2:$E$579,'Por foco'!$A$2:$A$579,$A52,'Por foco'!$B$2:$B$579,$B52)/C52)</f>
        <v>0.5</v>
      </c>
      <c r="F52" s="3" t="n">
        <f aca="false">SUMIFS('Por foco'!$H$2:$H$579,'Por foco'!$A$2:$A$579,$A52,'Por foco'!$B$2:$B$579,$B52)</f>
        <v>448</v>
      </c>
      <c r="G52" s="3" t="n">
        <f aca="false">SUMIFS('Por foco'!$I$2:$I$579,'Por foco'!$A$2:$A$579,$A52,'Por foco'!$B$2:$B$579,$B52)</f>
        <v>0</v>
      </c>
      <c r="H52" s="3" t="n">
        <f aca="false">SUMIFS('Por foco'!$J$2:$J$579,'Por foco'!$A$2:$A$579,$A52,'Por foco'!$B$2:$B$579,$B52)</f>
        <v>0</v>
      </c>
      <c r="I52" s="3" t="n">
        <f aca="false">SUMIFS('Por foco'!$K$2:$K$579,'Por foco'!$A$2:$A$579,$A52,'Por foco'!$B$2:$B$579,$B52)</f>
        <v>20</v>
      </c>
      <c r="J52" s="3" t="n">
        <f aca="false">SUMIFS('Por foco'!$L$2:$L$579,'Por foco'!$A$2:$A$579,$A52,'Por foco'!$B$2:$B$579,$B52)</f>
        <v>200000</v>
      </c>
      <c r="K52" s="3" t="n">
        <f aca="false">SUMIFS('Por foco'!$M$2:$M$579,'Por foco'!$A$2:$A$579,$A52,'Por foco'!$B$2:$B$579,$B52)</f>
        <v>125</v>
      </c>
      <c r="L52" s="3" t="n">
        <f aca="false">SUMIFS('Por foco'!$N$2:$N$579,'Por foco'!$A$2:$A$579,$A52,'Por foco'!$B$2:$B$579,$B52)</f>
        <v>0</v>
      </c>
      <c r="M52" s="3" t="n">
        <f aca="false">SUMIFS('Por foco'!$O$2:$O$579,'Por foco'!$A$2:$A$579,$A52,'Por foco'!$B$2:$B$579,$B52)</f>
        <v>0</v>
      </c>
      <c r="N52" s="3" t="n">
        <f aca="false">SUMIFS('Por foco'!$P$2:$P$579,'Por foco'!$A$2:$A$579,$A52,'Por foco'!$B$2:$B$579,$B52)</f>
        <v>1</v>
      </c>
      <c r="O52" s="3" t="n">
        <f aca="false">SUMIFS('Por foco'!$Q$2:$Q$579,'Por foco'!$A$2:$A$579,$A52,'Por foco'!$B$2:$B$579,$B52)</f>
        <v>2</v>
      </c>
      <c r="P52" s="3" t="n">
        <f aca="false">SUMIFS('Por foco'!$R$2:$R$579,'Por foco'!$A$2:$A$579,$A52,'Por foco'!$B$2:$B$579,$B52)</f>
        <v>0</v>
      </c>
      <c r="Q52" s="3" t="n">
        <f aca="false">SUMIFS('Por foco'!$S$2:$S$579,'Por foco'!$A$2:$A$579,$A52,'Por foco'!$B$2:$B$579,$B52)</f>
        <v>0</v>
      </c>
      <c r="R52" s="3" t="n">
        <f aca="false">SUMIFS('Por foco'!$T$2:$T$579,'Por foco'!$A$2:$A$579,$A52,'Por foco'!$B$2:$B$579,$B52)</f>
        <v>0</v>
      </c>
      <c r="S52" s="3" t="n">
        <f aca="false">SUMIFS('Por foco'!$U$2:$U$579,'Por foco'!$A$2:$A$579,$A52,'Por foco'!$B$2:$B$579,$B52)</f>
        <v>0</v>
      </c>
      <c r="T52" s="3" t="n">
        <f aca="false">SUMIFS('Por foco'!$V$2:$V$579,'Por foco'!$A$2:$A$579,$A52,'Por foco'!$B$2:$B$579,$B52)</f>
        <v>0</v>
      </c>
      <c r="U52" s="3" t="n">
        <f aca="false">SUMIFS('Por foco'!$W$2:$W$579,'Por foco'!$A$2:$A$579,$A52,'Por foco'!$B$2:$B$579,$B52)</f>
        <v>0</v>
      </c>
      <c r="V52" s="3" t="n">
        <f aca="false">SUMIFS('Por foco'!$X$2:$X$579,'Por foco'!$A$2:$A$579,$A52,'Por foco'!$B$2:$B$579,$B52)</f>
        <v>0</v>
      </c>
      <c r="W52" s="3" t="n">
        <f aca="false">SUMIFS('Por foco'!$Y$2:$Y$579,'Por foco'!$A$2:$A$579,$A52,'Por foco'!$B$2:$B$579,$B52)</f>
        <v>0</v>
      </c>
      <c r="X52" s="3" t="n">
        <f aca="false">SUMIFS('Por foco'!$Z$2:$Z$579,'Por foco'!$A$2:$A$579,$A52,'Por foco'!$B$2:$B$579,$B52)</f>
        <v>1</v>
      </c>
      <c r="Y52" s="3" t="n">
        <f aca="false">SUMIFS('Por foco'!$AA$2:$AA$579,'Por foco'!$A$2:$A$579,$A52,'Por foco'!$B$2:$B$579,$B52)</f>
        <v>0.15</v>
      </c>
      <c r="Z52" s="3" t="n">
        <f aca="false">SUMIFS('Por foco'!$AB$2:$AB$579,'Por foco'!$A$2:$A$579,$A52,'Por foco'!$B$2:$B$579,$B52)</f>
        <v>-8.2</v>
      </c>
      <c r="AA52" s="3" t="n">
        <f aca="false">SUMIFS('Por foco'!$AC$2:$AC$579,'Por foco'!$A$2:$A$579,$A52,'Por foco'!$B$2:$B$579,$B52)</f>
        <v>20</v>
      </c>
      <c r="AB52" s="3" t="n">
        <f aca="false">SUMIFS('Por foco'!$AD$2:$AD$579,'Por foco'!$A$2:$A$579,$A52,'Por foco'!$B$2:$B$579,$B52)</f>
        <v>0</v>
      </c>
      <c r="AC52" s="3" t="n">
        <f aca="false">SUMIFS('Por foco'!$AE$2:$AE$579,'Por foco'!$A$2:$A$579,$A52,'Por foco'!$B$2:$B$579,$B52)</f>
        <v>0</v>
      </c>
      <c r="AD52" s="3" t="n">
        <f aca="false">SUMIFS('Por foco'!$AF$2:$AF$579,'Por foco'!$A$2:$A$579,$A52,'Por foco'!$B$2:$B$579,$B52)</f>
        <v>0</v>
      </c>
      <c r="AE52" s="3" t="n">
        <f aca="false">SUMIFS('Por foco'!$AG$2:$AG$579,'Por foco'!$A$2:$A$579,$A52,'Por foco'!$B$2:$B$579,$B52)</f>
        <v>-4.8</v>
      </c>
      <c r="AF52" s="3" t="n">
        <f aca="false">SUMIFS('Por foco'!$AH$2:$AH$579,'Por foco'!$A$2:$A$579,$A52,'Por foco'!$B$2:$B$579,$B52)</f>
        <v>0</v>
      </c>
      <c r="AG52" s="3" t="n">
        <f aca="false">SUMIFS('Por foco'!$AI$2:$AI$579,'Por foco'!$A$2:$A$579,$A52,'Por foco'!$B$2:$B$579,$B52)</f>
        <v>-5</v>
      </c>
      <c r="AH52" s="3" t="n">
        <f aca="false">SUMIFS('Por foco'!$AJ$2:$AJ$579,'Por foco'!$A$2:$A$579,$A52,'Por foco'!$B$2:$B$579,$B52)</f>
        <v>0</v>
      </c>
      <c r="AI52" s="3" t="n">
        <f aca="false">SUMIFS('Por foco'!$AK$2:$AK$579,'Por foco'!$A$2:$A$579,$A52,'Por foco'!$B$2:$B$579,$B52)</f>
        <v>0</v>
      </c>
      <c r="AJ52" s="3" t="n">
        <f aca="false">SUMIFS('Por foco'!$AL$2:$AL$579,'Por foco'!$A$2:$A$579,$A52,'Por foco'!$B$2:$B$579,$B52)</f>
        <v>0</v>
      </c>
      <c r="AK52" s="3" t="n">
        <f aca="false">SUMIFS('Por foco'!$AM$2:$AM$579,'Por foco'!$A$2:$A$579,$A52,'Por foco'!$B$2:$B$579,$B52)</f>
        <v>0</v>
      </c>
      <c r="AL52" s="3" t="n">
        <f aca="false">SUMIFS('Por foco'!$AN$2:$AN$579,'Por foco'!$A$2:$A$579,$A52,'Por foco'!$B$2:$B$579,$B52)</f>
        <v>0</v>
      </c>
      <c r="AM52" s="3" t="n">
        <f aca="false">SUMIFS('Por foco'!$AO$2:$AO$579,'Por foco'!$A$2:$A$579,$A52,'Por foco'!$B$2:$B$579,$B52)</f>
        <v>0</v>
      </c>
      <c r="AN52" s="3" t="n">
        <f aca="false">SUMIFS('Por foco'!$AP$2:$AP$579,'Por foco'!$A$2:$A$579,$A52,'Por foco'!$B$2:$B$579,$B52)</f>
        <v>15</v>
      </c>
      <c r="AO52" s="3" t="n">
        <f aca="false">SUMIFS('Por foco'!$AQ$2:$AQ$579,'Por foco'!$A$2:$A$579,$A52,'Por foco'!$B$2:$B$579,$B52)</f>
        <v>15</v>
      </c>
      <c r="AP52" s="3" t="n">
        <f aca="false">SUMIFS('Por foco'!$AR$2:$AR$579,'Por foco'!$A$2:$A$579,$A52,'Por foco'!$B$2:$B$579,$B52)</f>
        <v>0</v>
      </c>
      <c r="AQ52" s="3" t="n">
        <f aca="false">SUMIFS('Por foco'!$AS$2:$AS$579,'Por foco'!$A$2:$A$579,$A52,'Por foco'!$B$2:$B$579,$B52)</f>
        <v>20</v>
      </c>
      <c r="AR52" s="3" t="n">
        <f aca="false">SUMIFS('Por foco'!$AT$2:$AT$579,'Por foco'!$A$2:$A$579,$A52,'Por foco'!$B$2:$B$579,$B52)</f>
        <v>0</v>
      </c>
      <c r="AS52" s="3" t="n">
        <f aca="false">SUMIFS('Por foco'!$AU$2:$AU$579,'Por foco'!$A$2:$A$579,$A52,'Por foco'!$B$2:$B$579,$B52)</f>
        <v>0</v>
      </c>
      <c r="AT52" s="3" t="n">
        <f aca="false">SUMIFS('Por foco'!$AV$2:$AV$579,'Por foco'!$A$2:$A$579,$A52,'Por foco'!$B$2:$B$579,$B52)</f>
        <v>0</v>
      </c>
      <c r="AU52" s="3" t="n">
        <f aca="false">SUMIFS('Por foco'!$AW$2:$AW$579,'Por foco'!$A$2:$A$579,$A52,'Por foco'!$B$2:$B$579,$B52)</f>
        <v>0</v>
      </c>
      <c r="AV52" s="3" t="n">
        <f aca="false">SUMIFS('Por foco'!$AX$2:$AX$579,'Por foco'!$A$2:$A$579,$A52,'Por foco'!$B$2:$B$579,$B52)</f>
        <v>0</v>
      </c>
      <c r="AW52" s="3" t="n">
        <f aca="false">SUMIFS('Por foco'!$AY$2:$AY$579,'Por foco'!$A$2:$A$579,$A52,'Por foco'!$B$2:$B$579,$B52)</f>
        <v>0</v>
      </c>
      <c r="AX52" s="3" t="n">
        <f aca="false">SUMIFS('Por foco'!$AZ$2:$AZ$579,'Por foco'!$A$2:$A$579,$A52,'Por foco'!$B$2:$B$579,$B52)</f>
        <v>0</v>
      </c>
      <c r="AY52" s="3" t="n">
        <f aca="false">SUMIFS('Por foco'!$BA$2:$BA$579,'Por foco'!$A$2:$A$579,$A52,'Por foco'!$B$2:$B$579,$B52)</f>
        <v>0</v>
      </c>
      <c r="AZ52" s="3" t="n">
        <f aca="false">SUMIFS('Por foco'!$BB$2:$BB$579,'Por foco'!$A$2:$A$579,$A52,'Por foco'!$B$2:$B$579,$B52)</f>
        <v>0</v>
      </c>
      <c r="BA52" s="3" t="n">
        <f aca="false">SUMIFS('Por foco'!$BC$2:$BC$579,'Por foco'!$A$2:$A$579,$A52,'Por foco'!$B$2:$B$579,$B52)</f>
        <v>0</v>
      </c>
      <c r="BB52" s="3" t="n">
        <f aca="false">SUMIFS('Por foco'!$BD$2:$BD$579,'Por foco'!$A$2:$A$579,$A52,'Por foco'!$B$2:$B$579,$B52)</f>
        <v>0</v>
      </c>
      <c r="BC52" s="3" t="n">
        <f aca="false">SUMIFS('Por foco'!$BE$2:$BE$579,'Por foco'!$A$2:$A$579,$A52,'Por foco'!$B$2:$B$579,$B52)</f>
        <v>0</v>
      </c>
      <c r="BD52" s="3" t="n">
        <f aca="false">SUMIFS('Por foco'!$BF$2:$BF$579,'Por foco'!$A$2:$A$579,$A52,'Por foco'!$B$2:$B$579,$B52)</f>
        <v>0</v>
      </c>
      <c r="BE52" s="3" t="n">
        <f aca="false">SUMIFS('Por foco'!$BG$2:$BG$579,'Por foco'!$A$2:$A$579,$A52,'Por foco'!$B$2:$B$579,$B52)</f>
        <v>0</v>
      </c>
    </row>
    <row r="53" customFormat="false" ht="15" hidden="false" customHeight="false" outlineLevel="0" collapsed="false">
      <c r="A53" s="3" t="s">
        <v>65</v>
      </c>
      <c r="B53" s="3" t="s">
        <v>80</v>
      </c>
      <c r="C53" s="3" t="n">
        <f aca="false">COUNTIFS('Por foco'!$A$2:$A$579,$A53,'Por foco'!$B$2:$B$579,$B53)</f>
        <v>4</v>
      </c>
      <c r="D53" s="6" t="n">
        <f aca="false">SUMIFS('Por foco'!$F$2:$F$579,'Por foco'!$A$2:$A$579,$A53,'Por foco'!$B$2:$B$579,$B53)</f>
        <v>659.5</v>
      </c>
      <c r="E53" s="3" t="n">
        <f aca="false">IF(C53=0,0,SUMIFS('Por foco'!$E$2:$E$579,'Por foco'!$A$2:$A$579,$A53,'Por foco'!$B$2:$B$579,$B53)/C53)</f>
        <v>1</v>
      </c>
      <c r="F53" s="3" t="n">
        <f aca="false">SUMIFS('Por foco'!$H$2:$H$579,'Por foco'!$A$2:$A$579,$A53,'Por foco'!$B$2:$B$579,$B53)</f>
        <v>315</v>
      </c>
      <c r="G53" s="3" t="n">
        <f aca="false">SUMIFS('Por foco'!$I$2:$I$579,'Por foco'!$A$2:$A$579,$A53,'Por foco'!$B$2:$B$579,$B53)</f>
        <v>170</v>
      </c>
      <c r="H53" s="3" t="n">
        <f aca="false">SUMIFS('Por foco'!$J$2:$J$579,'Por foco'!$A$2:$A$579,$A53,'Por foco'!$B$2:$B$579,$B53)</f>
        <v>5</v>
      </c>
      <c r="I53" s="3" t="n">
        <f aca="false">SUMIFS('Por foco'!$K$2:$K$579,'Por foco'!$A$2:$A$579,$A53,'Por foco'!$B$2:$B$579,$B53)</f>
        <v>5</v>
      </c>
      <c r="J53" s="3" t="n">
        <f aca="false">SUMIFS('Por foco'!$L$2:$L$579,'Por foco'!$A$2:$A$579,$A53,'Por foco'!$B$2:$B$579,$B53)</f>
        <v>0</v>
      </c>
      <c r="K53" s="3" t="n">
        <f aca="false">SUMIFS('Por foco'!$M$2:$M$579,'Por foco'!$A$2:$A$579,$A53,'Por foco'!$B$2:$B$579,$B53)</f>
        <v>25</v>
      </c>
      <c r="L53" s="3" t="n">
        <f aca="false">SUMIFS('Por foco'!$N$2:$N$579,'Por foco'!$A$2:$A$579,$A53,'Por foco'!$B$2:$B$579,$B53)</f>
        <v>0</v>
      </c>
      <c r="M53" s="3" t="n">
        <f aca="false">SUMIFS('Por foco'!$O$2:$O$579,'Por foco'!$A$2:$A$579,$A53,'Por foco'!$B$2:$B$579,$B53)</f>
        <v>0</v>
      </c>
      <c r="N53" s="3" t="n">
        <f aca="false">SUMIFS('Por foco'!$P$2:$P$579,'Por foco'!$A$2:$A$579,$A53,'Por foco'!$B$2:$B$579,$B53)</f>
        <v>0</v>
      </c>
      <c r="O53" s="3" t="n">
        <f aca="false">SUMIFS('Por foco'!$Q$2:$Q$579,'Por foco'!$A$2:$A$579,$A53,'Por foco'!$B$2:$B$579,$B53)</f>
        <v>0</v>
      </c>
      <c r="P53" s="3" t="n">
        <f aca="false">SUMIFS('Por foco'!$R$2:$R$579,'Por foco'!$A$2:$A$579,$A53,'Por foco'!$B$2:$B$579,$B53)</f>
        <v>0</v>
      </c>
      <c r="Q53" s="3" t="n">
        <f aca="false">SUMIFS('Por foco'!$S$2:$S$579,'Por foco'!$A$2:$A$579,$A53,'Por foco'!$B$2:$B$579,$B53)</f>
        <v>0</v>
      </c>
      <c r="R53" s="3" t="n">
        <f aca="false">SUMIFS('Por foco'!$T$2:$T$579,'Por foco'!$A$2:$A$579,$A53,'Por foco'!$B$2:$B$579,$B53)</f>
        <v>0</v>
      </c>
      <c r="S53" s="3" t="n">
        <f aca="false">SUMIFS('Por foco'!$U$2:$U$579,'Por foco'!$A$2:$A$579,$A53,'Por foco'!$B$2:$B$579,$B53)</f>
        <v>0</v>
      </c>
      <c r="T53" s="3" t="n">
        <f aca="false">SUMIFS('Por foco'!$V$2:$V$579,'Por foco'!$A$2:$A$579,$A53,'Por foco'!$B$2:$B$579,$B53)</f>
        <v>0</v>
      </c>
      <c r="U53" s="3" t="n">
        <f aca="false">SUMIFS('Por foco'!$W$2:$W$579,'Por foco'!$A$2:$A$579,$A53,'Por foco'!$B$2:$B$579,$B53)</f>
        <v>0</v>
      </c>
      <c r="V53" s="3" t="n">
        <f aca="false">SUMIFS('Por foco'!$X$2:$X$579,'Por foco'!$A$2:$A$579,$A53,'Por foco'!$B$2:$B$579,$B53)</f>
        <v>0</v>
      </c>
      <c r="W53" s="3" t="n">
        <f aca="false">SUMIFS('Por foco'!$Y$2:$Y$579,'Por foco'!$A$2:$A$579,$A53,'Por foco'!$B$2:$B$579,$B53)</f>
        <v>0</v>
      </c>
      <c r="X53" s="3" t="n">
        <f aca="false">SUMIFS('Por foco'!$Z$2:$Z$579,'Por foco'!$A$2:$A$579,$A53,'Por foco'!$B$2:$B$579,$B53)</f>
        <v>7</v>
      </c>
      <c r="Y53" s="3" t="n">
        <f aca="false">SUMIFS('Por foco'!$AA$2:$AA$579,'Por foco'!$A$2:$A$579,$A53,'Por foco'!$B$2:$B$579,$B53)</f>
        <v>0.15</v>
      </c>
      <c r="Z53" s="3" t="n">
        <f aca="false">SUMIFS('Por foco'!$AB$2:$AB$579,'Por foco'!$A$2:$A$579,$A53,'Por foco'!$B$2:$B$579,$B53)</f>
        <v>5</v>
      </c>
      <c r="AA53" s="3" t="n">
        <f aca="false">SUMIFS('Por foco'!$AC$2:$AC$579,'Por foco'!$A$2:$A$579,$A53,'Por foco'!$B$2:$B$579,$B53)</f>
        <v>0</v>
      </c>
      <c r="AB53" s="3" t="n">
        <f aca="false">SUMIFS('Por foco'!$AD$2:$AD$579,'Por foco'!$A$2:$A$579,$A53,'Por foco'!$B$2:$B$579,$B53)</f>
        <v>0</v>
      </c>
      <c r="AC53" s="3" t="n">
        <f aca="false">SUMIFS('Por foco'!$AE$2:$AE$579,'Por foco'!$A$2:$A$579,$A53,'Por foco'!$B$2:$B$579,$B53)</f>
        <v>0</v>
      </c>
      <c r="AD53" s="3" t="n">
        <f aca="false">SUMIFS('Por foco'!$AF$2:$AF$579,'Por foco'!$A$2:$A$579,$A53,'Por foco'!$B$2:$B$579,$B53)</f>
        <v>0</v>
      </c>
      <c r="AE53" s="3" t="n">
        <f aca="false">SUMIFS('Por foco'!$AG$2:$AG$579,'Por foco'!$A$2:$A$579,$A53,'Por foco'!$B$2:$B$579,$B53)</f>
        <v>0</v>
      </c>
      <c r="AF53" s="3" t="n">
        <f aca="false">SUMIFS('Por foco'!$AH$2:$AH$579,'Por foco'!$A$2:$A$579,$A53,'Por foco'!$B$2:$B$579,$B53)</f>
        <v>0</v>
      </c>
      <c r="AG53" s="3" t="n">
        <f aca="false">SUMIFS('Por foco'!$AI$2:$AI$579,'Por foco'!$A$2:$A$579,$A53,'Por foco'!$B$2:$B$579,$B53)</f>
        <v>5</v>
      </c>
      <c r="AH53" s="3" t="n">
        <f aca="false">SUMIFS('Por foco'!$AJ$2:$AJ$579,'Por foco'!$A$2:$A$579,$A53,'Por foco'!$B$2:$B$579,$B53)</f>
        <v>0</v>
      </c>
      <c r="AI53" s="3" t="n">
        <f aca="false">SUMIFS('Por foco'!$AK$2:$AK$579,'Por foco'!$A$2:$A$579,$A53,'Por foco'!$B$2:$B$579,$B53)</f>
        <v>0</v>
      </c>
      <c r="AJ53" s="3" t="n">
        <f aca="false">SUMIFS('Por foco'!$AL$2:$AL$579,'Por foco'!$A$2:$A$579,$A53,'Por foco'!$B$2:$B$579,$B53)</f>
        <v>0</v>
      </c>
      <c r="AK53" s="3" t="n">
        <f aca="false">SUMIFS('Por foco'!$AM$2:$AM$579,'Por foco'!$A$2:$A$579,$A53,'Por foco'!$B$2:$B$579,$B53)</f>
        <v>0</v>
      </c>
      <c r="AL53" s="3" t="n">
        <f aca="false">SUMIFS('Por foco'!$AN$2:$AN$579,'Por foco'!$A$2:$A$579,$A53,'Por foco'!$B$2:$B$579,$B53)</f>
        <v>0</v>
      </c>
      <c r="AM53" s="3" t="n">
        <f aca="false">SUMIFS('Por foco'!$AO$2:$AO$579,'Por foco'!$A$2:$A$579,$A53,'Por foco'!$B$2:$B$579,$B53)</f>
        <v>0</v>
      </c>
      <c r="AN53" s="3" t="n">
        <f aca="false">SUMIFS('Por foco'!$AP$2:$AP$579,'Por foco'!$A$2:$A$579,$A53,'Por foco'!$B$2:$B$579,$B53)</f>
        <v>0</v>
      </c>
      <c r="AO53" s="3" t="n">
        <f aca="false">SUMIFS('Por foco'!$AQ$2:$AQ$579,'Por foco'!$A$2:$A$579,$A53,'Por foco'!$B$2:$B$579,$B53)</f>
        <v>0</v>
      </c>
      <c r="AP53" s="3" t="n">
        <f aca="false">SUMIFS('Por foco'!$AR$2:$AR$579,'Por foco'!$A$2:$A$579,$A53,'Por foco'!$B$2:$B$579,$B53)</f>
        <v>0</v>
      </c>
      <c r="AQ53" s="3" t="n">
        <f aca="false">SUMIFS('Por foco'!$AS$2:$AS$579,'Por foco'!$A$2:$A$579,$A53,'Por foco'!$B$2:$B$579,$B53)</f>
        <v>0</v>
      </c>
      <c r="AR53" s="3" t="n">
        <f aca="false">SUMIFS('Por foco'!$AT$2:$AT$579,'Por foco'!$A$2:$A$579,$A53,'Por foco'!$B$2:$B$579,$B53)</f>
        <v>0</v>
      </c>
      <c r="AS53" s="3" t="n">
        <f aca="false">SUMIFS('Por foco'!$AU$2:$AU$579,'Por foco'!$A$2:$A$579,$A53,'Por foco'!$B$2:$B$579,$B53)</f>
        <v>0</v>
      </c>
      <c r="AT53" s="3" t="n">
        <f aca="false">SUMIFS('Por foco'!$AV$2:$AV$579,'Por foco'!$A$2:$A$579,$A53,'Por foco'!$B$2:$B$579,$B53)</f>
        <v>0</v>
      </c>
      <c r="AU53" s="3" t="n">
        <f aca="false">SUMIFS('Por foco'!$AW$2:$AW$579,'Por foco'!$A$2:$A$579,$A53,'Por foco'!$B$2:$B$579,$B53)</f>
        <v>0</v>
      </c>
      <c r="AV53" s="3" t="n">
        <f aca="false">SUMIFS('Por foco'!$AX$2:$AX$579,'Por foco'!$A$2:$A$579,$A53,'Por foco'!$B$2:$B$579,$B53)</f>
        <v>0</v>
      </c>
      <c r="AW53" s="3" t="n">
        <f aca="false">SUMIFS('Por foco'!$AY$2:$AY$579,'Por foco'!$A$2:$A$579,$A53,'Por foco'!$B$2:$B$579,$B53)</f>
        <v>0</v>
      </c>
      <c r="AX53" s="3" t="n">
        <f aca="false">SUMIFS('Por foco'!$AZ$2:$AZ$579,'Por foco'!$A$2:$A$579,$A53,'Por foco'!$B$2:$B$579,$B53)</f>
        <v>0</v>
      </c>
      <c r="AY53" s="3" t="n">
        <f aca="false">SUMIFS('Por foco'!$BA$2:$BA$579,'Por foco'!$A$2:$A$579,$A53,'Por foco'!$B$2:$B$579,$B53)</f>
        <v>0</v>
      </c>
      <c r="AZ53" s="3" t="n">
        <f aca="false">SUMIFS('Por foco'!$BB$2:$BB$579,'Por foco'!$A$2:$A$579,$A53,'Por foco'!$B$2:$B$579,$B53)</f>
        <v>0</v>
      </c>
      <c r="BA53" s="3" t="n">
        <f aca="false">SUMIFS('Por foco'!$BC$2:$BC$579,'Por foco'!$A$2:$A$579,$A53,'Por foco'!$B$2:$B$579,$B53)</f>
        <v>0</v>
      </c>
      <c r="BB53" s="3" t="n">
        <f aca="false">SUMIFS('Por foco'!$BD$2:$BD$579,'Por foco'!$A$2:$A$579,$A53,'Por foco'!$B$2:$B$579,$B53)</f>
        <v>0</v>
      </c>
      <c r="BC53" s="3" t="n">
        <f aca="false">SUMIFS('Por foco'!$BE$2:$BE$579,'Por foco'!$A$2:$A$579,$A53,'Por foco'!$B$2:$B$579,$B53)</f>
        <v>0</v>
      </c>
      <c r="BD53" s="3" t="n">
        <f aca="false">SUMIFS('Por foco'!$BF$2:$BF$579,'Por foco'!$A$2:$A$579,$A53,'Por foco'!$B$2:$B$579,$B53)</f>
        <v>0</v>
      </c>
      <c r="BE53" s="3" t="n">
        <f aca="false">SUMIFS('Por foco'!$BG$2:$BG$579,'Por foco'!$A$2:$A$579,$A53,'Por foco'!$B$2:$B$579,$B53)</f>
        <v>0</v>
      </c>
    </row>
    <row r="54" customFormat="false" ht="15" hidden="false" customHeight="false" outlineLevel="0" collapsed="false">
      <c r="A54" s="3" t="s">
        <v>65</v>
      </c>
      <c r="B54" s="3" t="s">
        <v>125</v>
      </c>
      <c r="C54" s="3" t="n">
        <f aca="false">COUNTIFS('Por foco'!$A$2:$A$579,$A54,'Por foco'!$B$2:$B$579,$B54)</f>
        <v>7</v>
      </c>
      <c r="D54" s="6" t="n">
        <f aca="false">SUMIFS('Por foco'!$F$2:$F$579,'Por foco'!$A$2:$A$579,$A54,'Por foco'!$B$2:$B$579,$B54)</f>
        <v>1532</v>
      </c>
      <c r="E54" s="3" t="n">
        <f aca="false">IF(C54=0,0,SUMIFS('Por foco'!$E$2:$E$579,'Por foco'!$A$2:$A$579,$A54,'Por foco'!$B$2:$B$579,$B54)/C54)</f>
        <v>0.571428571428571</v>
      </c>
      <c r="F54" s="3" t="n">
        <f aca="false">SUMIFS('Por foco'!$H$2:$H$579,'Por foco'!$A$2:$A$579,$A54,'Por foco'!$B$2:$B$579,$B54)</f>
        <v>469</v>
      </c>
      <c r="G54" s="3" t="n">
        <f aca="false">SUMIFS('Por foco'!$I$2:$I$579,'Por foco'!$A$2:$A$579,$A54,'Por foco'!$B$2:$B$579,$B54)</f>
        <v>0</v>
      </c>
      <c r="H54" s="3" t="n">
        <f aca="false">SUMIFS('Por foco'!$J$2:$J$579,'Por foco'!$A$2:$A$579,$A54,'Por foco'!$B$2:$B$579,$B54)</f>
        <v>0</v>
      </c>
      <c r="I54" s="3" t="n">
        <f aca="false">SUMIFS('Por foco'!$K$2:$K$579,'Por foco'!$A$2:$A$579,$A54,'Por foco'!$B$2:$B$579,$B54)</f>
        <v>0</v>
      </c>
      <c r="J54" s="3" t="n">
        <f aca="false">SUMIFS('Por foco'!$L$2:$L$579,'Por foco'!$A$2:$A$579,$A54,'Por foco'!$B$2:$B$579,$B54)</f>
        <v>0</v>
      </c>
      <c r="K54" s="3" t="n">
        <f aca="false">SUMIFS('Por foco'!$M$2:$M$579,'Por foco'!$A$2:$A$579,$A54,'Por foco'!$B$2:$B$579,$B54)</f>
        <v>0</v>
      </c>
      <c r="L54" s="3" t="n">
        <f aca="false">SUMIFS('Por foco'!$N$2:$N$579,'Por foco'!$A$2:$A$579,$A54,'Por foco'!$B$2:$B$579,$B54)</f>
        <v>0</v>
      </c>
      <c r="M54" s="3" t="n">
        <f aca="false">SUMIFS('Por foco'!$O$2:$O$579,'Por foco'!$A$2:$A$579,$A54,'Por foco'!$B$2:$B$579,$B54)</f>
        <v>0</v>
      </c>
      <c r="N54" s="3" t="n">
        <f aca="false">SUMIFS('Por foco'!$P$2:$P$579,'Por foco'!$A$2:$A$579,$A54,'Por foco'!$B$2:$B$579,$B54)</f>
        <v>0</v>
      </c>
      <c r="O54" s="3" t="n">
        <f aca="false">SUMIFS('Por foco'!$Q$2:$Q$579,'Por foco'!$A$2:$A$579,$A54,'Por foco'!$B$2:$B$579,$B54)</f>
        <v>0</v>
      </c>
      <c r="P54" s="3" t="n">
        <f aca="false">SUMIFS('Por foco'!$R$2:$R$579,'Por foco'!$A$2:$A$579,$A54,'Por foco'!$B$2:$B$579,$B54)</f>
        <v>7</v>
      </c>
      <c r="Q54" s="3" t="n">
        <f aca="false">SUMIFS('Por foco'!$S$2:$S$579,'Por foco'!$A$2:$A$579,$A54,'Por foco'!$B$2:$B$579,$B54)</f>
        <v>0</v>
      </c>
      <c r="R54" s="3" t="n">
        <f aca="false">SUMIFS('Por foco'!$T$2:$T$579,'Por foco'!$A$2:$A$579,$A54,'Por foco'!$B$2:$B$579,$B54)</f>
        <v>0</v>
      </c>
      <c r="S54" s="3" t="n">
        <f aca="false">SUMIFS('Por foco'!$U$2:$U$579,'Por foco'!$A$2:$A$579,$A54,'Por foco'!$B$2:$B$579,$B54)</f>
        <v>3</v>
      </c>
      <c r="T54" s="3" t="n">
        <f aca="false">SUMIFS('Por foco'!$V$2:$V$579,'Por foco'!$A$2:$A$579,$A54,'Por foco'!$B$2:$B$579,$B54)</f>
        <v>0</v>
      </c>
      <c r="U54" s="3" t="n">
        <f aca="false">SUMIFS('Por foco'!$W$2:$W$579,'Por foco'!$A$2:$A$579,$A54,'Por foco'!$B$2:$B$579,$B54)</f>
        <v>0</v>
      </c>
      <c r="V54" s="3" t="n">
        <f aca="false">SUMIFS('Por foco'!$X$2:$X$579,'Por foco'!$A$2:$A$579,$A54,'Por foco'!$B$2:$B$579,$B54)</f>
        <v>0</v>
      </c>
      <c r="W54" s="3" t="n">
        <f aca="false">SUMIFS('Por foco'!$Y$2:$Y$579,'Por foco'!$A$2:$A$579,$A54,'Por foco'!$B$2:$B$579,$B54)</f>
        <v>0</v>
      </c>
      <c r="X54" s="3" t="n">
        <f aca="false">SUMIFS('Por foco'!$Z$2:$Z$579,'Por foco'!$A$2:$A$579,$A54,'Por foco'!$B$2:$B$579,$B54)</f>
        <v>0</v>
      </c>
      <c r="Y54" s="3" t="n">
        <f aca="false">SUMIFS('Por foco'!$AA$2:$AA$579,'Por foco'!$A$2:$A$579,$A54,'Por foco'!$B$2:$B$579,$B54)</f>
        <v>0</v>
      </c>
      <c r="Z54" s="3" t="n">
        <f aca="false">SUMIFS('Por foco'!$AB$2:$AB$579,'Por foco'!$A$2:$A$579,$A54,'Por foco'!$B$2:$B$579,$B54)</f>
        <v>-6.2</v>
      </c>
      <c r="AA54" s="3" t="n">
        <f aca="false">SUMIFS('Por foco'!$AC$2:$AC$579,'Por foco'!$A$2:$A$579,$A54,'Por foco'!$B$2:$B$579,$B54)</f>
        <v>0</v>
      </c>
      <c r="AB54" s="3" t="n">
        <f aca="false">SUMIFS('Por foco'!$AD$2:$AD$579,'Por foco'!$A$2:$A$579,$A54,'Por foco'!$B$2:$B$579,$B54)</f>
        <v>0</v>
      </c>
      <c r="AC54" s="3" t="n">
        <f aca="false">SUMIFS('Por foco'!$AE$2:$AE$579,'Por foco'!$A$2:$A$579,$A54,'Por foco'!$B$2:$B$579,$B54)</f>
        <v>0</v>
      </c>
      <c r="AD54" s="3" t="n">
        <f aca="false">SUMIFS('Por foco'!$AF$2:$AF$579,'Por foco'!$A$2:$A$579,$A54,'Por foco'!$B$2:$B$579,$B54)</f>
        <v>0</v>
      </c>
      <c r="AE54" s="3" t="n">
        <f aca="false">SUMIFS('Por foco'!$AG$2:$AG$579,'Por foco'!$A$2:$A$579,$A54,'Por foco'!$B$2:$B$579,$B54)</f>
        <v>10.8</v>
      </c>
      <c r="AF54" s="3" t="n">
        <f aca="false">SUMIFS('Por foco'!$AH$2:$AH$579,'Por foco'!$A$2:$A$579,$A54,'Por foco'!$B$2:$B$579,$B54)</f>
        <v>0</v>
      </c>
      <c r="AG54" s="3" t="n">
        <f aca="false">SUMIFS('Por foco'!$AI$2:$AI$579,'Por foco'!$A$2:$A$579,$A54,'Por foco'!$B$2:$B$579,$B54)</f>
        <v>35</v>
      </c>
      <c r="AH54" s="3" t="n">
        <f aca="false">SUMIFS('Por foco'!$AJ$2:$AJ$579,'Por foco'!$A$2:$A$579,$A54,'Por foco'!$B$2:$B$579,$B54)</f>
        <v>0</v>
      </c>
      <c r="AI54" s="3" t="n">
        <f aca="false">SUMIFS('Por foco'!$AK$2:$AK$579,'Por foco'!$A$2:$A$579,$A54,'Por foco'!$B$2:$B$579,$B54)</f>
        <v>0</v>
      </c>
      <c r="AJ54" s="3" t="n">
        <f aca="false">SUMIFS('Por foco'!$AL$2:$AL$579,'Por foco'!$A$2:$A$579,$A54,'Por foco'!$B$2:$B$579,$B54)</f>
        <v>0</v>
      </c>
      <c r="AK54" s="3" t="n">
        <f aca="false">SUMIFS('Por foco'!$AM$2:$AM$579,'Por foco'!$A$2:$A$579,$A54,'Por foco'!$B$2:$B$579,$B54)</f>
        <v>0</v>
      </c>
      <c r="AL54" s="3" t="n">
        <f aca="false">SUMIFS('Por foco'!$AN$2:$AN$579,'Por foco'!$A$2:$A$579,$A54,'Por foco'!$B$2:$B$579,$B54)</f>
        <v>0</v>
      </c>
      <c r="AM54" s="3" t="n">
        <f aca="false">SUMIFS('Por foco'!$AO$2:$AO$579,'Por foco'!$A$2:$A$579,$A54,'Por foco'!$B$2:$B$579,$B54)</f>
        <v>0</v>
      </c>
      <c r="AN54" s="3" t="n">
        <f aca="false">SUMIFS('Por foco'!$AP$2:$AP$579,'Por foco'!$A$2:$A$579,$A54,'Por foco'!$B$2:$B$579,$B54)</f>
        <v>0</v>
      </c>
      <c r="AO54" s="3" t="n">
        <f aca="false">SUMIFS('Por foco'!$AQ$2:$AQ$579,'Por foco'!$A$2:$A$579,$A54,'Por foco'!$B$2:$B$579,$B54)</f>
        <v>0</v>
      </c>
      <c r="AP54" s="3" t="n">
        <f aca="false">SUMIFS('Por foco'!$AR$2:$AR$579,'Por foco'!$A$2:$A$579,$A54,'Por foco'!$B$2:$B$579,$B54)</f>
        <v>0</v>
      </c>
      <c r="AQ54" s="3" t="n">
        <f aca="false">SUMIFS('Por foco'!$AS$2:$AS$579,'Por foco'!$A$2:$A$579,$A54,'Por foco'!$B$2:$B$579,$B54)</f>
        <v>0</v>
      </c>
      <c r="AR54" s="3" t="n">
        <f aca="false">SUMIFS('Por foco'!$AT$2:$AT$579,'Por foco'!$A$2:$A$579,$A54,'Por foco'!$B$2:$B$579,$B54)</f>
        <v>0</v>
      </c>
      <c r="AS54" s="3" t="n">
        <f aca="false">SUMIFS('Por foco'!$AU$2:$AU$579,'Por foco'!$A$2:$A$579,$A54,'Por foco'!$B$2:$B$579,$B54)</f>
        <v>0</v>
      </c>
      <c r="AT54" s="3" t="n">
        <f aca="false">SUMIFS('Por foco'!$AV$2:$AV$579,'Por foco'!$A$2:$A$579,$A54,'Por foco'!$B$2:$B$579,$B54)</f>
        <v>0</v>
      </c>
      <c r="AU54" s="3" t="n">
        <f aca="false">SUMIFS('Por foco'!$AW$2:$AW$579,'Por foco'!$A$2:$A$579,$A54,'Por foco'!$B$2:$B$579,$B54)</f>
        <v>0</v>
      </c>
      <c r="AV54" s="3" t="n">
        <f aca="false">SUMIFS('Por foco'!$AX$2:$AX$579,'Por foco'!$A$2:$A$579,$A54,'Por foco'!$B$2:$B$579,$B54)</f>
        <v>0</v>
      </c>
      <c r="AW54" s="3" t="n">
        <f aca="false">SUMIFS('Por foco'!$AY$2:$AY$579,'Por foco'!$A$2:$A$579,$A54,'Por foco'!$B$2:$B$579,$B54)</f>
        <v>0</v>
      </c>
      <c r="AX54" s="3" t="n">
        <f aca="false">SUMIFS('Por foco'!$AZ$2:$AZ$579,'Por foco'!$A$2:$A$579,$A54,'Por foco'!$B$2:$B$579,$B54)</f>
        <v>0</v>
      </c>
      <c r="AY54" s="3" t="n">
        <f aca="false">SUMIFS('Por foco'!$BA$2:$BA$579,'Por foco'!$A$2:$A$579,$A54,'Por foco'!$B$2:$B$579,$B54)</f>
        <v>0</v>
      </c>
      <c r="AZ54" s="3" t="n">
        <f aca="false">SUMIFS('Por foco'!$BB$2:$BB$579,'Por foco'!$A$2:$A$579,$A54,'Por foco'!$B$2:$B$579,$B54)</f>
        <v>0</v>
      </c>
      <c r="BA54" s="3" t="n">
        <f aca="false">SUMIFS('Por foco'!$BC$2:$BC$579,'Por foco'!$A$2:$A$579,$A54,'Por foco'!$B$2:$B$579,$B54)</f>
        <v>0</v>
      </c>
      <c r="BB54" s="3" t="n">
        <f aca="false">SUMIFS('Por foco'!$BD$2:$BD$579,'Por foco'!$A$2:$A$579,$A54,'Por foco'!$B$2:$B$579,$B54)</f>
        <v>0</v>
      </c>
      <c r="BC54" s="3" t="n">
        <f aca="false">SUMIFS('Por foco'!$BE$2:$BE$579,'Por foco'!$A$2:$A$579,$A54,'Por foco'!$B$2:$B$579,$B54)</f>
        <v>0</v>
      </c>
      <c r="BD54" s="3" t="n">
        <f aca="false">SUMIFS('Por foco'!$BF$2:$BF$579,'Por foco'!$A$2:$A$579,$A54,'Por foco'!$B$2:$B$579,$B54)</f>
        <v>0</v>
      </c>
      <c r="BE54" s="3" t="n">
        <f aca="false">SUMIFS('Por foco'!$BG$2:$BG$579,'Por foco'!$A$2:$A$579,$A54,'Por foco'!$B$2:$B$579,$B54)</f>
        <v>0</v>
      </c>
    </row>
    <row r="55" customFormat="false" ht="15" hidden="false" customHeight="false" outlineLevel="0" collapsed="false">
      <c r="A55" s="3" t="s">
        <v>65</v>
      </c>
      <c r="B55" s="3" t="s">
        <v>126</v>
      </c>
      <c r="C55" s="3" t="n">
        <f aca="false">COUNTIFS('Por foco'!$A$2:$A$579,$A55,'Por foco'!$B$2:$B$579,$B55)</f>
        <v>6</v>
      </c>
      <c r="D55" s="6" t="n">
        <f aca="false">SUMIFS('Por foco'!$F$2:$F$579,'Por foco'!$A$2:$A$579,$A55,'Por foco'!$B$2:$B$579,$B55)</f>
        <v>998.5</v>
      </c>
      <c r="E55" s="3" t="n">
        <f aca="false">IF(C55=0,0,SUMIFS('Por foco'!$E$2:$E$579,'Por foco'!$A$2:$A$579,$A55,'Por foco'!$B$2:$B$579,$B55)/C55)</f>
        <v>0.5</v>
      </c>
      <c r="F55" s="3" t="n">
        <f aca="false">SUMIFS('Por foco'!$H$2:$H$579,'Por foco'!$A$2:$A$579,$A55,'Por foco'!$B$2:$B$579,$B55)</f>
        <v>420</v>
      </c>
      <c r="G55" s="3" t="n">
        <f aca="false">SUMIFS('Por foco'!$I$2:$I$579,'Por foco'!$A$2:$A$579,$A55,'Por foco'!$B$2:$B$579,$B55)</f>
        <v>50</v>
      </c>
      <c r="H55" s="3" t="n">
        <f aca="false">SUMIFS('Por foco'!$J$2:$J$579,'Por foco'!$A$2:$A$579,$A55,'Por foco'!$B$2:$B$579,$B55)</f>
        <v>0</v>
      </c>
      <c r="I55" s="3" t="n">
        <f aca="false">SUMIFS('Por foco'!$K$2:$K$579,'Por foco'!$A$2:$A$579,$A55,'Por foco'!$B$2:$B$579,$B55)</f>
        <v>0</v>
      </c>
      <c r="J55" s="3" t="n">
        <f aca="false">SUMIFS('Por foco'!$L$2:$L$579,'Por foco'!$A$2:$A$579,$A55,'Por foco'!$B$2:$B$579,$B55)</f>
        <v>0</v>
      </c>
      <c r="K55" s="3" t="n">
        <f aca="false">SUMIFS('Por foco'!$M$2:$M$579,'Por foco'!$A$2:$A$579,$A55,'Por foco'!$B$2:$B$579,$B55)</f>
        <v>0</v>
      </c>
      <c r="L55" s="3" t="n">
        <f aca="false">SUMIFS('Por foco'!$N$2:$N$579,'Por foco'!$A$2:$A$579,$A55,'Por foco'!$B$2:$B$579,$B55)</f>
        <v>0</v>
      </c>
      <c r="M55" s="3" t="n">
        <f aca="false">SUMIFS('Por foco'!$O$2:$O$579,'Por foco'!$A$2:$A$579,$A55,'Por foco'!$B$2:$B$579,$B55)</f>
        <v>0</v>
      </c>
      <c r="N55" s="3" t="n">
        <f aca="false">SUMIFS('Por foco'!$P$2:$P$579,'Por foco'!$A$2:$A$579,$A55,'Por foco'!$B$2:$B$579,$B55)</f>
        <v>0</v>
      </c>
      <c r="O55" s="3" t="n">
        <f aca="false">SUMIFS('Por foco'!$Q$2:$Q$579,'Por foco'!$A$2:$A$579,$A55,'Por foco'!$B$2:$B$579,$B55)</f>
        <v>3</v>
      </c>
      <c r="P55" s="3" t="n">
        <f aca="false">SUMIFS('Por foco'!$R$2:$R$579,'Por foco'!$A$2:$A$579,$A55,'Por foco'!$B$2:$B$579,$B55)</f>
        <v>0</v>
      </c>
      <c r="Q55" s="3" t="n">
        <f aca="false">SUMIFS('Por foco'!$S$2:$S$579,'Por foco'!$A$2:$A$579,$A55,'Por foco'!$B$2:$B$579,$B55)</f>
        <v>2</v>
      </c>
      <c r="R55" s="3" t="n">
        <f aca="false">SUMIFS('Por foco'!$T$2:$T$579,'Por foco'!$A$2:$A$579,$A55,'Por foco'!$B$2:$B$579,$B55)</f>
        <v>0</v>
      </c>
      <c r="S55" s="3" t="n">
        <f aca="false">SUMIFS('Por foco'!$U$2:$U$579,'Por foco'!$A$2:$A$579,$A55,'Por foco'!$B$2:$B$579,$B55)</f>
        <v>0</v>
      </c>
      <c r="T55" s="3" t="n">
        <f aca="false">SUMIFS('Por foco'!$V$2:$V$579,'Por foco'!$A$2:$A$579,$A55,'Por foco'!$B$2:$B$579,$B55)</f>
        <v>0</v>
      </c>
      <c r="U55" s="3" t="n">
        <f aca="false">SUMIFS('Por foco'!$W$2:$W$579,'Por foco'!$A$2:$A$579,$A55,'Por foco'!$B$2:$B$579,$B55)</f>
        <v>0</v>
      </c>
      <c r="V55" s="3" t="n">
        <f aca="false">SUMIFS('Por foco'!$X$2:$X$579,'Por foco'!$A$2:$A$579,$A55,'Por foco'!$B$2:$B$579,$B55)</f>
        <v>0</v>
      </c>
      <c r="W55" s="3" t="n">
        <f aca="false">SUMIFS('Por foco'!$Y$2:$Y$579,'Por foco'!$A$2:$A$579,$A55,'Por foco'!$B$2:$B$579,$B55)</f>
        <v>0</v>
      </c>
      <c r="X55" s="3" t="n">
        <f aca="false">SUMIFS('Por foco'!$Z$2:$Z$579,'Por foco'!$A$2:$A$579,$A55,'Por foco'!$B$2:$B$579,$B55)</f>
        <v>0</v>
      </c>
      <c r="Y55" s="3" t="n">
        <f aca="false">SUMIFS('Por foco'!$AA$2:$AA$579,'Por foco'!$A$2:$A$579,$A55,'Por foco'!$B$2:$B$579,$B55)</f>
        <v>-0.05</v>
      </c>
      <c r="Z55" s="3" t="n">
        <f aca="false">SUMIFS('Por foco'!$AB$2:$AB$579,'Por foco'!$A$2:$A$579,$A55,'Por foco'!$B$2:$B$579,$B55)</f>
        <v>0</v>
      </c>
      <c r="AA55" s="3" t="n">
        <f aca="false">SUMIFS('Por foco'!$AC$2:$AC$579,'Por foco'!$A$2:$A$579,$A55,'Por foco'!$B$2:$B$579,$B55)</f>
        <v>0</v>
      </c>
      <c r="AB55" s="3" t="n">
        <f aca="false">SUMIFS('Por foco'!$AD$2:$AD$579,'Por foco'!$A$2:$A$579,$A55,'Por foco'!$B$2:$B$579,$B55)</f>
        <v>0</v>
      </c>
      <c r="AC55" s="3" t="n">
        <f aca="false">SUMIFS('Por foco'!$AE$2:$AE$579,'Por foco'!$A$2:$A$579,$A55,'Por foco'!$B$2:$B$579,$B55)</f>
        <v>0</v>
      </c>
      <c r="AD55" s="3" t="n">
        <f aca="false">SUMIFS('Por foco'!$AF$2:$AF$579,'Por foco'!$A$2:$A$579,$A55,'Por foco'!$B$2:$B$579,$B55)</f>
        <v>0</v>
      </c>
      <c r="AE55" s="3" t="n">
        <f aca="false">SUMIFS('Por foco'!$AG$2:$AG$579,'Por foco'!$A$2:$A$579,$A55,'Por foco'!$B$2:$B$579,$B55)</f>
        <v>25</v>
      </c>
      <c r="AF55" s="3" t="n">
        <f aca="false">SUMIFS('Por foco'!$AH$2:$AH$579,'Por foco'!$A$2:$A$579,$A55,'Por foco'!$B$2:$B$579,$B55)</f>
        <v>0</v>
      </c>
      <c r="AG55" s="3" t="n">
        <f aca="false">SUMIFS('Por foco'!$AI$2:$AI$579,'Por foco'!$A$2:$A$579,$A55,'Por foco'!$B$2:$B$579,$B55)</f>
        <v>-10</v>
      </c>
      <c r="AH55" s="3" t="n">
        <f aca="false">SUMIFS('Por foco'!$AJ$2:$AJ$579,'Por foco'!$A$2:$A$579,$A55,'Por foco'!$B$2:$B$579,$B55)</f>
        <v>0</v>
      </c>
      <c r="AI55" s="3" t="n">
        <f aca="false">SUMIFS('Por foco'!$AK$2:$AK$579,'Por foco'!$A$2:$A$579,$A55,'Por foco'!$B$2:$B$579,$B55)</f>
        <v>0</v>
      </c>
      <c r="AJ55" s="3" t="n">
        <f aca="false">SUMIFS('Por foco'!$AL$2:$AL$579,'Por foco'!$A$2:$A$579,$A55,'Por foco'!$B$2:$B$579,$B55)</f>
        <v>0</v>
      </c>
      <c r="AK55" s="3" t="n">
        <f aca="false">SUMIFS('Por foco'!$AM$2:$AM$579,'Por foco'!$A$2:$A$579,$A55,'Por foco'!$B$2:$B$579,$B55)</f>
        <v>0</v>
      </c>
      <c r="AL55" s="3" t="n">
        <f aca="false">SUMIFS('Por foco'!$AN$2:$AN$579,'Por foco'!$A$2:$A$579,$A55,'Por foco'!$B$2:$B$579,$B55)</f>
        <v>10</v>
      </c>
      <c r="AM55" s="3" t="n">
        <f aca="false">SUMIFS('Por foco'!$AO$2:$AO$579,'Por foco'!$A$2:$A$579,$A55,'Por foco'!$B$2:$B$579,$B55)</f>
        <v>0</v>
      </c>
      <c r="AN55" s="3" t="n">
        <f aca="false">SUMIFS('Por foco'!$AP$2:$AP$579,'Por foco'!$A$2:$A$579,$A55,'Por foco'!$B$2:$B$579,$B55)</f>
        <v>0</v>
      </c>
      <c r="AO55" s="3" t="n">
        <f aca="false">SUMIFS('Por foco'!$AQ$2:$AQ$579,'Por foco'!$A$2:$A$579,$A55,'Por foco'!$B$2:$B$579,$B55)</f>
        <v>0</v>
      </c>
      <c r="AP55" s="3" t="n">
        <f aca="false">SUMIFS('Por foco'!$AR$2:$AR$579,'Por foco'!$A$2:$A$579,$A55,'Por foco'!$B$2:$B$579,$B55)</f>
        <v>0</v>
      </c>
      <c r="AQ55" s="3" t="n">
        <f aca="false">SUMIFS('Por foco'!$AS$2:$AS$579,'Por foco'!$A$2:$A$579,$A55,'Por foco'!$B$2:$B$579,$B55)</f>
        <v>0</v>
      </c>
      <c r="AR55" s="3" t="n">
        <f aca="false">SUMIFS('Por foco'!$AT$2:$AT$579,'Por foco'!$A$2:$A$579,$A55,'Por foco'!$B$2:$B$579,$B55)</f>
        <v>0</v>
      </c>
      <c r="AS55" s="3" t="n">
        <f aca="false">SUMIFS('Por foco'!$AU$2:$AU$579,'Por foco'!$A$2:$A$579,$A55,'Por foco'!$B$2:$B$579,$B55)</f>
        <v>0</v>
      </c>
      <c r="AT55" s="3" t="n">
        <f aca="false">SUMIFS('Por foco'!$AV$2:$AV$579,'Por foco'!$A$2:$A$579,$A55,'Por foco'!$B$2:$B$579,$B55)</f>
        <v>0</v>
      </c>
      <c r="AU55" s="3" t="n">
        <f aca="false">SUMIFS('Por foco'!$AW$2:$AW$579,'Por foco'!$A$2:$A$579,$A55,'Por foco'!$B$2:$B$579,$B55)</f>
        <v>0</v>
      </c>
      <c r="AV55" s="3" t="n">
        <f aca="false">SUMIFS('Por foco'!$AX$2:$AX$579,'Por foco'!$A$2:$A$579,$A55,'Por foco'!$B$2:$B$579,$B55)</f>
        <v>0</v>
      </c>
      <c r="AW55" s="3" t="n">
        <f aca="false">SUMIFS('Por foco'!$AY$2:$AY$579,'Por foco'!$A$2:$A$579,$A55,'Por foco'!$B$2:$B$579,$B55)</f>
        <v>0</v>
      </c>
      <c r="AX55" s="3" t="n">
        <f aca="false">SUMIFS('Por foco'!$AZ$2:$AZ$579,'Por foco'!$A$2:$A$579,$A55,'Por foco'!$B$2:$B$579,$B55)</f>
        <v>0</v>
      </c>
      <c r="AY55" s="3" t="n">
        <f aca="false">SUMIFS('Por foco'!$BA$2:$BA$579,'Por foco'!$A$2:$A$579,$A55,'Por foco'!$B$2:$B$579,$B55)</f>
        <v>0</v>
      </c>
      <c r="AZ55" s="3" t="n">
        <f aca="false">SUMIFS('Por foco'!$BB$2:$BB$579,'Por foco'!$A$2:$A$579,$A55,'Por foco'!$B$2:$B$579,$B55)</f>
        <v>0</v>
      </c>
      <c r="BA55" s="3" t="n">
        <f aca="false">SUMIFS('Por foco'!$BC$2:$BC$579,'Por foco'!$A$2:$A$579,$A55,'Por foco'!$B$2:$B$579,$B55)</f>
        <v>0</v>
      </c>
      <c r="BB55" s="3" t="n">
        <f aca="false">SUMIFS('Por foco'!$BD$2:$BD$579,'Por foco'!$A$2:$A$579,$A55,'Por foco'!$B$2:$B$579,$B55)</f>
        <v>0</v>
      </c>
      <c r="BC55" s="3" t="n">
        <f aca="false">SUMIFS('Por foco'!$BE$2:$BE$579,'Por foco'!$A$2:$A$579,$A55,'Por foco'!$B$2:$B$579,$B55)</f>
        <v>0</v>
      </c>
      <c r="BD55" s="3" t="n">
        <f aca="false">SUMIFS('Por foco'!$BF$2:$BF$579,'Por foco'!$A$2:$A$579,$A55,'Por foco'!$B$2:$B$579,$B55)</f>
        <v>0</v>
      </c>
      <c r="BE55" s="3" t="n">
        <f aca="false">SUMIFS('Por foco'!$BG$2:$BG$579,'Por foco'!$A$2:$A$579,$A55,'Por foco'!$B$2:$B$579,$B55)</f>
        <v>0</v>
      </c>
    </row>
    <row r="56" customFormat="false" ht="15" hidden="false" customHeight="false" outlineLevel="0" collapsed="false">
      <c r="A56" s="3" t="s">
        <v>65</v>
      </c>
      <c r="B56" s="3" t="s">
        <v>127</v>
      </c>
      <c r="C56" s="3" t="n">
        <f aca="false">COUNTIFS('Por foco'!$A$2:$A$579,$A56,'Por foco'!$B$2:$B$579,$B56)</f>
        <v>6</v>
      </c>
      <c r="D56" s="6" t="n">
        <f aca="false">SUMIFS('Por foco'!$F$2:$F$579,'Por foco'!$A$2:$A$579,$A56,'Por foco'!$B$2:$B$579,$B56)</f>
        <v>1313</v>
      </c>
      <c r="E56" s="3" t="n">
        <f aca="false">IF(C56=0,0,SUMIFS('Por foco'!$E$2:$E$579,'Por foco'!$A$2:$A$579,$A56,'Por foco'!$B$2:$B$579,$B56)/C56)</f>
        <v>1</v>
      </c>
      <c r="F56" s="3" t="n">
        <f aca="false">SUMIFS('Por foco'!$H$2:$H$579,'Por foco'!$A$2:$A$579,$A56,'Por foco'!$B$2:$B$579,$B56)</f>
        <v>364</v>
      </c>
      <c r="G56" s="3" t="n">
        <f aca="false">SUMIFS('Por foco'!$I$2:$I$579,'Por foco'!$A$2:$A$579,$A56,'Por foco'!$B$2:$B$579,$B56)</f>
        <v>0</v>
      </c>
      <c r="H56" s="3" t="n">
        <f aca="false">SUMIFS('Por foco'!$J$2:$J$579,'Por foco'!$A$2:$A$579,$A56,'Por foco'!$B$2:$B$579,$B56)</f>
        <v>0</v>
      </c>
      <c r="I56" s="3" t="n">
        <f aca="false">SUMIFS('Por foco'!$K$2:$K$579,'Por foco'!$A$2:$A$579,$A56,'Por foco'!$B$2:$B$579,$B56)</f>
        <v>0</v>
      </c>
      <c r="J56" s="3" t="n">
        <f aca="false">SUMIFS('Por foco'!$L$2:$L$579,'Por foco'!$A$2:$A$579,$A56,'Por foco'!$B$2:$B$579,$B56)</f>
        <v>0</v>
      </c>
      <c r="K56" s="3" t="n">
        <f aca="false">SUMIFS('Por foco'!$M$2:$M$579,'Por foco'!$A$2:$A$579,$A56,'Por foco'!$B$2:$B$579,$B56)</f>
        <v>0</v>
      </c>
      <c r="L56" s="3" t="n">
        <f aca="false">SUMIFS('Por foco'!$N$2:$N$579,'Por foco'!$A$2:$A$579,$A56,'Por foco'!$B$2:$B$579,$B56)</f>
        <v>0</v>
      </c>
      <c r="M56" s="3" t="n">
        <f aca="false">SUMIFS('Por foco'!$O$2:$O$579,'Por foco'!$A$2:$A$579,$A56,'Por foco'!$B$2:$B$579,$B56)</f>
        <v>0</v>
      </c>
      <c r="N56" s="3" t="n">
        <f aca="false">SUMIFS('Por foco'!$P$2:$P$579,'Por foco'!$A$2:$A$579,$A56,'Por foco'!$B$2:$B$579,$B56)</f>
        <v>1</v>
      </c>
      <c r="O56" s="3" t="n">
        <f aca="false">SUMIFS('Por foco'!$Q$2:$Q$579,'Por foco'!$A$2:$A$579,$A56,'Por foco'!$B$2:$B$579,$B56)</f>
        <v>1</v>
      </c>
      <c r="P56" s="3" t="n">
        <f aca="false">SUMIFS('Por foco'!$R$2:$R$579,'Por foco'!$A$2:$A$579,$A56,'Por foco'!$B$2:$B$579,$B56)</f>
        <v>4</v>
      </c>
      <c r="Q56" s="3" t="n">
        <f aca="false">SUMIFS('Por foco'!$S$2:$S$579,'Por foco'!$A$2:$A$579,$A56,'Por foco'!$B$2:$B$579,$B56)</f>
        <v>2</v>
      </c>
      <c r="R56" s="3" t="n">
        <f aca="false">SUMIFS('Por foco'!$T$2:$T$579,'Por foco'!$A$2:$A$579,$A56,'Por foco'!$B$2:$B$579,$B56)</f>
        <v>2</v>
      </c>
      <c r="S56" s="3" t="n">
        <f aca="false">SUMIFS('Por foco'!$U$2:$U$579,'Por foco'!$A$2:$A$579,$A56,'Por foco'!$B$2:$B$579,$B56)</f>
        <v>0</v>
      </c>
      <c r="T56" s="3" t="n">
        <f aca="false">SUMIFS('Por foco'!$V$2:$V$579,'Por foco'!$A$2:$A$579,$A56,'Por foco'!$B$2:$B$579,$B56)</f>
        <v>0</v>
      </c>
      <c r="U56" s="3" t="n">
        <f aca="false">SUMIFS('Por foco'!$W$2:$W$579,'Por foco'!$A$2:$A$579,$A56,'Por foco'!$B$2:$B$579,$B56)</f>
        <v>0</v>
      </c>
      <c r="V56" s="3" t="n">
        <f aca="false">SUMIFS('Por foco'!$X$2:$X$579,'Por foco'!$A$2:$A$579,$A56,'Por foco'!$B$2:$B$579,$B56)</f>
        <v>0</v>
      </c>
      <c r="W56" s="3" t="n">
        <f aca="false">SUMIFS('Por foco'!$Y$2:$Y$579,'Por foco'!$A$2:$A$579,$A56,'Por foco'!$B$2:$B$579,$B56)</f>
        <v>0</v>
      </c>
      <c r="X56" s="3" t="n">
        <f aca="false">SUMIFS('Por foco'!$Z$2:$Z$579,'Por foco'!$A$2:$A$579,$A56,'Por foco'!$B$2:$B$579,$B56)</f>
        <v>0</v>
      </c>
      <c r="Y56" s="3" t="n">
        <f aca="false">SUMIFS('Por foco'!$AA$2:$AA$579,'Por foco'!$A$2:$A$579,$A56,'Por foco'!$B$2:$B$579,$B56)</f>
        <v>0</v>
      </c>
      <c r="Z56" s="3" t="n">
        <f aca="false">SUMIFS('Por foco'!$AB$2:$AB$579,'Por foco'!$A$2:$A$579,$A56,'Por foco'!$B$2:$B$579,$B56)</f>
        <v>-0.4</v>
      </c>
      <c r="AA56" s="3" t="n">
        <f aca="false">SUMIFS('Por foco'!$AC$2:$AC$579,'Por foco'!$A$2:$A$579,$A56,'Por foco'!$B$2:$B$579,$B56)</f>
        <v>0</v>
      </c>
      <c r="AB56" s="3" t="n">
        <f aca="false">SUMIFS('Por foco'!$AD$2:$AD$579,'Por foco'!$A$2:$A$579,$A56,'Por foco'!$B$2:$B$579,$B56)</f>
        <v>0</v>
      </c>
      <c r="AC56" s="3" t="n">
        <f aca="false">SUMIFS('Por foco'!$AE$2:$AE$579,'Por foco'!$A$2:$A$579,$A56,'Por foco'!$B$2:$B$579,$B56)</f>
        <v>0</v>
      </c>
      <c r="AD56" s="3" t="n">
        <f aca="false">SUMIFS('Por foco'!$AF$2:$AF$579,'Por foco'!$A$2:$A$579,$A56,'Por foco'!$B$2:$B$579,$B56)</f>
        <v>0</v>
      </c>
      <c r="AE56" s="3" t="n">
        <f aca="false">SUMIFS('Por foco'!$AG$2:$AG$579,'Por foco'!$A$2:$A$579,$A56,'Por foco'!$B$2:$B$579,$B56)</f>
        <v>11.6</v>
      </c>
      <c r="AF56" s="3" t="n">
        <f aca="false">SUMIFS('Por foco'!$AH$2:$AH$579,'Por foco'!$A$2:$A$579,$A56,'Por foco'!$B$2:$B$579,$B56)</f>
        <v>0</v>
      </c>
      <c r="AG56" s="3" t="n">
        <f aca="false">SUMIFS('Por foco'!$AI$2:$AI$579,'Por foco'!$A$2:$A$579,$A56,'Por foco'!$B$2:$B$579,$B56)</f>
        <v>0</v>
      </c>
      <c r="AH56" s="3" t="n">
        <f aca="false">SUMIFS('Por foco'!$AJ$2:$AJ$579,'Por foco'!$A$2:$A$579,$A56,'Por foco'!$B$2:$B$579,$B56)</f>
        <v>0</v>
      </c>
      <c r="AI56" s="3" t="n">
        <f aca="false">SUMIFS('Por foco'!$AK$2:$AK$579,'Por foco'!$A$2:$A$579,$A56,'Por foco'!$B$2:$B$579,$B56)</f>
        <v>0</v>
      </c>
      <c r="AJ56" s="3" t="n">
        <f aca="false">SUMIFS('Por foco'!$AL$2:$AL$579,'Por foco'!$A$2:$A$579,$A56,'Por foco'!$B$2:$B$579,$B56)</f>
        <v>0</v>
      </c>
      <c r="AK56" s="3" t="n">
        <f aca="false">SUMIFS('Por foco'!$AM$2:$AM$579,'Por foco'!$A$2:$A$579,$A56,'Por foco'!$B$2:$B$579,$B56)</f>
        <v>0</v>
      </c>
      <c r="AL56" s="3" t="n">
        <f aca="false">SUMIFS('Por foco'!$AN$2:$AN$579,'Por foco'!$A$2:$A$579,$A56,'Por foco'!$B$2:$B$579,$B56)</f>
        <v>0</v>
      </c>
      <c r="AM56" s="3" t="n">
        <f aca="false">SUMIFS('Por foco'!$AO$2:$AO$579,'Por foco'!$A$2:$A$579,$A56,'Por foco'!$B$2:$B$579,$B56)</f>
        <v>0</v>
      </c>
      <c r="AN56" s="3" t="n">
        <f aca="false">SUMIFS('Por foco'!$AP$2:$AP$579,'Por foco'!$A$2:$A$579,$A56,'Por foco'!$B$2:$B$579,$B56)</f>
        <v>-1.2</v>
      </c>
      <c r="AO56" s="3" t="n">
        <f aca="false">SUMIFS('Por foco'!$AQ$2:$AQ$579,'Por foco'!$A$2:$A$579,$A56,'Por foco'!$B$2:$B$579,$B56)</f>
        <v>0</v>
      </c>
      <c r="AP56" s="3" t="n">
        <f aca="false">SUMIFS('Por foco'!$AR$2:$AR$579,'Por foco'!$A$2:$A$579,$A56,'Por foco'!$B$2:$B$579,$B56)</f>
        <v>0</v>
      </c>
      <c r="AQ56" s="3" t="n">
        <f aca="false">SUMIFS('Por foco'!$AS$2:$AS$579,'Por foco'!$A$2:$A$579,$A56,'Por foco'!$B$2:$B$579,$B56)</f>
        <v>0</v>
      </c>
      <c r="AR56" s="3" t="n">
        <f aca="false">SUMIFS('Por foco'!$AT$2:$AT$579,'Por foco'!$A$2:$A$579,$A56,'Por foco'!$B$2:$B$579,$B56)</f>
        <v>0</v>
      </c>
      <c r="AS56" s="3" t="n">
        <f aca="false">SUMIFS('Por foco'!$AU$2:$AU$579,'Por foco'!$A$2:$A$579,$A56,'Por foco'!$B$2:$B$579,$B56)</f>
        <v>0</v>
      </c>
      <c r="AT56" s="3" t="n">
        <f aca="false">SUMIFS('Por foco'!$AV$2:$AV$579,'Por foco'!$A$2:$A$579,$A56,'Por foco'!$B$2:$B$579,$B56)</f>
        <v>0</v>
      </c>
      <c r="AU56" s="3" t="n">
        <f aca="false">SUMIFS('Por foco'!$AW$2:$AW$579,'Por foco'!$A$2:$A$579,$A56,'Por foco'!$B$2:$B$579,$B56)</f>
        <v>0</v>
      </c>
      <c r="AV56" s="3" t="n">
        <f aca="false">SUMIFS('Por foco'!$AX$2:$AX$579,'Por foco'!$A$2:$A$579,$A56,'Por foco'!$B$2:$B$579,$B56)</f>
        <v>0</v>
      </c>
      <c r="AW56" s="3" t="n">
        <f aca="false">SUMIFS('Por foco'!$AY$2:$AY$579,'Por foco'!$A$2:$A$579,$A56,'Por foco'!$B$2:$B$579,$B56)</f>
        <v>0</v>
      </c>
      <c r="AX56" s="3" t="n">
        <f aca="false">SUMIFS('Por foco'!$AZ$2:$AZ$579,'Por foco'!$A$2:$A$579,$A56,'Por foco'!$B$2:$B$579,$B56)</f>
        <v>0</v>
      </c>
      <c r="AY56" s="3" t="n">
        <f aca="false">SUMIFS('Por foco'!$BA$2:$BA$579,'Por foco'!$A$2:$A$579,$A56,'Por foco'!$B$2:$B$579,$B56)</f>
        <v>0</v>
      </c>
      <c r="AZ56" s="3" t="n">
        <f aca="false">SUMIFS('Por foco'!$BB$2:$BB$579,'Por foco'!$A$2:$A$579,$A56,'Por foco'!$B$2:$B$579,$B56)</f>
        <v>0</v>
      </c>
      <c r="BA56" s="3" t="n">
        <f aca="false">SUMIFS('Por foco'!$BC$2:$BC$579,'Por foco'!$A$2:$A$579,$A56,'Por foco'!$B$2:$B$579,$B56)</f>
        <v>0</v>
      </c>
      <c r="BB56" s="3" t="n">
        <f aca="false">SUMIFS('Por foco'!$BD$2:$BD$579,'Por foco'!$A$2:$A$579,$A56,'Por foco'!$B$2:$B$579,$B56)</f>
        <v>0</v>
      </c>
      <c r="BC56" s="3" t="n">
        <f aca="false">SUMIFS('Por foco'!$BE$2:$BE$579,'Por foco'!$A$2:$A$579,$A56,'Por foco'!$B$2:$B$579,$B56)</f>
        <v>0</v>
      </c>
      <c r="BD56" s="3" t="n">
        <f aca="false">SUMIFS('Por foco'!$BF$2:$BF$579,'Por foco'!$A$2:$A$579,$A56,'Por foco'!$B$2:$B$579,$B56)</f>
        <v>0</v>
      </c>
      <c r="BE56" s="3" t="n">
        <f aca="false">SUMIFS('Por foco'!$BG$2:$BG$579,'Por foco'!$A$2:$A$579,$A56,'Por foco'!$B$2:$B$579,$B56)</f>
        <v>0</v>
      </c>
    </row>
    <row r="57" customFormat="false" ht="15" hidden="false" customHeight="false" outlineLevel="0" collapsed="false">
      <c r="A57" s="3" t="s">
        <v>65</v>
      </c>
      <c r="B57" s="3" t="s">
        <v>128</v>
      </c>
      <c r="C57" s="3" t="n">
        <f aca="false">COUNTIFS('Por foco'!$A$2:$A$579,$A57,'Por foco'!$B$2:$B$579,$B57)</f>
        <v>6</v>
      </c>
      <c r="D57" s="6" t="n">
        <f aca="false">SUMIFS('Por foco'!$F$2:$F$579,'Por foco'!$A$2:$A$579,$A57,'Por foco'!$B$2:$B$579,$B57)</f>
        <v>730</v>
      </c>
      <c r="E57" s="3" t="n">
        <f aca="false">IF(C57=0,0,SUMIFS('Por foco'!$E$2:$E$579,'Por foco'!$A$2:$A$579,$A57,'Por foco'!$B$2:$B$579,$B57)/C57)</f>
        <v>1</v>
      </c>
      <c r="F57" s="3" t="n">
        <f aca="false">SUMIFS('Por foco'!$H$2:$H$579,'Por foco'!$A$2:$A$579,$A57,'Por foco'!$B$2:$B$579,$B57)</f>
        <v>343</v>
      </c>
      <c r="G57" s="3" t="n">
        <f aca="false">SUMIFS('Por foco'!$I$2:$I$579,'Por foco'!$A$2:$A$579,$A57,'Por foco'!$B$2:$B$579,$B57)</f>
        <v>50</v>
      </c>
      <c r="H57" s="3" t="n">
        <f aca="false">SUMIFS('Por foco'!$J$2:$J$579,'Por foco'!$A$2:$A$579,$A57,'Por foco'!$B$2:$B$579,$B57)</f>
        <v>0</v>
      </c>
      <c r="I57" s="3" t="n">
        <f aca="false">SUMIFS('Por foco'!$K$2:$K$579,'Por foco'!$A$2:$A$579,$A57,'Por foco'!$B$2:$B$579,$B57)</f>
        <v>0</v>
      </c>
      <c r="J57" s="3" t="n">
        <f aca="false">SUMIFS('Por foco'!$L$2:$L$579,'Por foco'!$A$2:$A$579,$A57,'Por foco'!$B$2:$B$579,$B57)</f>
        <v>0</v>
      </c>
      <c r="K57" s="3" t="n">
        <f aca="false">SUMIFS('Por foco'!$M$2:$M$579,'Por foco'!$A$2:$A$579,$A57,'Por foco'!$B$2:$B$579,$B57)</f>
        <v>225</v>
      </c>
      <c r="L57" s="3" t="n">
        <f aca="false">SUMIFS('Por foco'!$N$2:$N$579,'Por foco'!$A$2:$A$579,$A57,'Por foco'!$B$2:$B$579,$B57)</f>
        <v>0</v>
      </c>
      <c r="M57" s="3" t="n">
        <f aca="false">SUMIFS('Por foco'!$O$2:$O$579,'Por foco'!$A$2:$A$579,$A57,'Por foco'!$B$2:$B$579,$B57)</f>
        <v>0</v>
      </c>
      <c r="N57" s="3" t="n">
        <f aca="false">SUMIFS('Por foco'!$P$2:$P$579,'Por foco'!$A$2:$A$579,$A57,'Por foco'!$B$2:$B$579,$B57)</f>
        <v>0</v>
      </c>
      <c r="O57" s="3" t="n">
        <f aca="false">SUMIFS('Por foco'!$Q$2:$Q$579,'Por foco'!$A$2:$A$579,$A57,'Por foco'!$B$2:$B$579,$B57)</f>
        <v>4</v>
      </c>
      <c r="P57" s="3" t="n">
        <f aca="false">SUMIFS('Por foco'!$R$2:$R$579,'Por foco'!$A$2:$A$579,$A57,'Por foco'!$B$2:$B$579,$B57)</f>
        <v>0</v>
      </c>
      <c r="Q57" s="3" t="n">
        <f aca="false">SUMIFS('Por foco'!$S$2:$S$579,'Por foco'!$A$2:$A$579,$A57,'Por foco'!$B$2:$B$579,$B57)</f>
        <v>0</v>
      </c>
      <c r="R57" s="3" t="n">
        <f aca="false">SUMIFS('Por foco'!$T$2:$T$579,'Por foco'!$A$2:$A$579,$A57,'Por foco'!$B$2:$B$579,$B57)</f>
        <v>0</v>
      </c>
      <c r="S57" s="3" t="n">
        <f aca="false">SUMIFS('Por foco'!$U$2:$U$579,'Por foco'!$A$2:$A$579,$A57,'Por foco'!$B$2:$B$579,$B57)</f>
        <v>2</v>
      </c>
      <c r="T57" s="3" t="n">
        <f aca="false">SUMIFS('Por foco'!$V$2:$V$579,'Por foco'!$A$2:$A$579,$A57,'Por foco'!$B$2:$B$579,$B57)</f>
        <v>0</v>
      </c>
      <c r="U57" s="3" t="n">
        <f aca="false">SUMIFS('Por foco'!$W$2:$W$579,'Por foco'!$A$2:$A$579,$A57,'Por foco'!$B$2:$B$579,$B57)</f>
        <v>0</v>
      </c>
      <c r="V57" s="3" t="n">
        <f aca="false">SUMIFS('Por foco'!$X$2:$X$579,'Por foco'!$A$2:$A$579,$A57,'Por foco'!$B$2:$B$579,$B57)</f>
        <v>0</v>
      </c>
      <c r="W57" s="3" t="n">
        <f aca="false">SUMIFS('Por foco'!$Y$2:$Y$579,'Por foco'!$A$2:$A$579,$A57,'Por foco'!$B$2:$B$579,$B57)</f>
        <v>0</v>
      </c>
      <c r="X57" s="3" t="n">
        <f aca="false">SUMIFS('Por foco'!$Z$2:$Z$579,'Por foco'!$A$2:$A$579,$A57,'Por foco'!$B$2:$B$579,$B57)</f>
        <v>0</v>
      </c>
      <c r="Y57" s="3" t="n">
        <f aca="false">SUMIFS('Por foco'!$AA$2:$AA$579,'Por foco'!$A$2:$A$579,$A57,'Por foco'!$B$2:$B$579,$B57)</f>
        <v>0</v>
      </c>
      <c r="Z57" s="3" t="n">
        <f aca="false">SUMIFS('Por foco'!$AB$2:$AB$579,'Por foco'!$A$2:$A$579,$A57,'Por foco'!$B$2:$B$579,$B57)</f>
        <v>0</v>
      </c>
      <c r="AA57" s="3" t="n">
        <f aca="false">SUMIFS('Por foco'!$AC$2:$AC$579,'Por foco'!$A$2:$A$579,$A57,'Por foco'!$B$2:$B$579,$B57)</f>
        <v>0</v>
      </c>
      <c r="AB57" s="3" t="n">
        <f aca="false">SUMIFS('Por foco'!$AD$2:$AD$579,'Por foco'!$A$2:$A$579,$A57,'Por foco'!$B$2:$B$579,$B57)</f>
        <v>0</v>
      </c>
      <c r="AC57" s="3" t="n">
        <f aca="false">SUMIFS('Por foco'!$AE$2:$AE$579,'Por foco'!$A$2:$A$579,$A57,'Por foco'!$B$2:$B$579,$B57)</f>
        <v>0</v>
      </c>
      <c r="AD57" s="3" t="n">
        <f aca="false">SUMIFS('Por foco'!$AF$2:$AF$579,'Por foco'!$A$2:$A$579,$A57,'Por foco'!$B$2:$B$579,$B57)</f>
        <v>0</v>
      </c>
      <c r="AE57" s="3" t="n">
        <f aca="false">SUMIFS('Por foco'!$AG$2:$AG$579,'Por foco'!$A$2:$A$579,$A57,'Por foco'!$B$2:$B$579,$B57)</f>
        <v>0</v>
      </c>
      <c r="AF57" s="3" t="n">
        <f aca="false">SUMIFS('Por foco'!$AH$2:$AH$579,'Por foco'!$A$2:$A$579,$A57,'Por foco'!$B$2:$B$579,$B57)</f>
        <v>0</v>
      </c>
      <c r="AG57" s="3" t="n">
        <f aca="false">SUMIFS('Por foco'!$AI$2:$AI$579,'Por foco'!$A$2:$A$579,$A57,'Por foco'!$B$2:$B$579,$B57)</f>
        <v>0</v>
      </c>
      <c r="AH57" s="3" t="n">
        <f aca="false">SUMIFS('Por foco'!$AJ$2:$AJ$579,'Por foco'!$A$2:$A$579,$A57,'Por foco'!$B$2:$B$579,$B57)</f>
        <v>0</v>
      </c>
      <c r="AI57" s="3" t="n">
        <f aca="false">SUMIFS('Por foco'!$AK$2:$AK$579,'Por foco'!$A$2:$A$579,$A57,'Por foco'!$B$2:$B$579,$B57)</f>
        <v>0</v>
      </c>
      <c r="AJ57" s="3" t="n">
        <f aca="false">SUMIFS('Por foco'!$AL$2:$AL$579,'Por foco'!$A$2:$A$579,$A57,'Por foco'!$B$2:$B$579,$B57)</f>
        <v>0</v>
      </c>
      <c r="AK57" s="3" t="n">
        <f aca="false">SUMIFS('Por foco'!$AM$2:$AM$579,'Por foco'!$A$2:$A$579,$A57,'Por foco'!$B$2:$B$579,$B57)</f>
        <v>0</v>
      </c>
      <c r="AL57" s="3" t="n">
        <f aca="false">SUMIFS('Por foco'!$AN$2:$AN$579,'Por foco'!$A$2:$A$579,$A57,'Por foco'!$B$2:$B$579,$B57)</f>
        <v>0</v>
      </c>
      <c r="AM57" s="3" t="n">
        <f aca="false">SUMIFS('Por foco'!$AO$2:$AO$579,'Por foco'!$A$2:$A$579,$A57,'Por foco'!$B$2:$B$579,$B57)</f>
        <v>0</v>
      </c>
      <c r="AN57" s="3" t="n">
        <f aca="false">SUMIFS('Por foco'!$AP$2:$AP$579,'Por foco'!$A$2:$A$579,$A57,'Por foco'!$B$2:$B$579,$B57)</f>
        <v>0</v>
      </c>
      <c r="AO57" s="3" t="n">
        <f aca="false">SUMIFS('Por foco'!$AQ$2:$AQ$579,'Por foco'!$A$2:$A$579,$A57,'Por foco'!$B$2:$B$579,$B57)</f>
        <v>5</v>
      </c>
      <c r="AP57" s="3" t="n">
        <f aca="false">SUMIFS('Por foco'!$AR$2:$AR$579,'Por foco'!$A$2:$A$579,$A57,'Por foco'!$B$2:$B$579,$B57)</f>
        <v>10</v>
      </c>
      <c r="AQ57" s="3" t="n">
        <f aca="false">SUMIFS('Por foco'!$AS$2:$AS$579,'Por foco'!$A$2:$A$579,$A57,'Por foco'!$B$2:$B$579,$B57)</f>
        <v>13</v>
      </c>
      <c r="AR57" s="3" t="n">
        <f aca="false">SUMIFS('Por foco'!$AT$2:$AT$579,'Por foco'!$A$2:$A$579,$A57,'Por foco'!$B$2:$B$579,$B57)</f>
        <v>0</v>
      </c>
      <c r="AS57" s="3" t="n">
        <f aca="false">SUMIFS('Por foco'!$AU$2:$AU$579,'Por foco'!$A$2:$A$579,$A57,'Por foco'!$B$2:$B$579,$B57)</f>
        <v>0</v>
      </c>
      <c r="AT57" s="3" t="n">
        <f aca="false">SUMIFS('Por foco'!$AV$2:$AV$579,'Por foco'!$A$2:$A$579,$A57,'Por foco'!$B$2:$B$579,$B57)</f>
        <v>0</v>
      </c>
      <c r="AU57" s="3" t="n">
        <f aca="false">SUMIFS('Por foco'!$AW$2:$AW$579,'Por foco'!$A$2:$A$579,$A57,'Por foco'!$B$2:$B$579,$B57)</f>
        <v>0</v>
      </c>
      <c r="AV57" s="3" t="n">
        <f aca="false">SUMIFS('Por foco'!$AX$2:$AX$579,'Por foco'!$A$2:$A$579,$A57,'Por foco'!$B$2:$B$579,$B57)</f>
        <v>0</v>
      </c>
      <c r="AW57" s="3" t="n">
        <f aca="false">SUMIFS('Por foco'!$AY$2:$AY$579,'Por foco'!$A$2:$A$579,$A57,'Por foco'!$B$2:$B$579,$B57)</f>
        <v>0</v>
      </c>
      <c r="AX57" s="3" t="n">
        <f aca="false">SUMIFS('Por foco'!$AZ$2:$AZ$579,'Por foco'!$A$2:$A$579,$A57,'Por foco'!$B$2:$B$579,$B57)</f>
        <v>0</v>
      </c>
      <c r="AY57" s="3" t="n">
        <f aca="false">SUMIFS('Por foco'!$BA$2:$BA$579,'Por foco'!$A$2:$A$579,$A57,'Por foco'!$B$2:$B$579,$B57)</f>
        <v>0</v>
      </c>
      <c r="AZ57" s="3" t="n">
        <f aca="false">SUMIFS('Por foco'!$BB$2:$BB$579,'Por foco'!$A$2:$A$579,$A57,'Por foco'!$B$2:$B$579,$B57)</f>
        <v>0</v>
      </c>
      <c r="BA57" s="3" t="n">
        <f aca="false">SUMIFS('Por foco'!$BC$2:$BC$579,'Por foco'!$A$2:$A$579,$A57,'Por foco'!$B$2:$B$579,$B57)</f>
        <v>0</v>
      </c>
      <c r="BB57" s="3" t="n">
        <f aca="false">SUMIFS('Por foco'!$BD$2:$BD$579,'Por foco'!$A$2:$A$579,$A57,'Por foco'!$B$2:$B$579,$B57)</f>
        <v>0</v>
      </c>
      <c r="BC57" s="3" t="n">
        <f aca="false">SUMIFS('Por foco'!$BE$2:$BE$579,'Por foco'!$A$2:$A$579,$A57,'Por foco'!$B$2:$B$579,$B57)</f>
        <v>0</v>
      </c>
      <c r="BD57" s="3" t="n">
        <f aca="false">SUMIFS('Por foco'!$BF$2:$BF$579,'Por foco'!$A$2:$A$579,$A57,'Por foco'!$B$2:$B$579,$B57)</f>
        <v>0</v>
      </c>
      <c r="BE57" s="3" t="n">
        <f aca="false">SUMIFS('Por foco'!$BG$2:$BG$579,'Por foco'!$A$2:$A$579,$A57,'Por foco'!$B$2:$B$579,$B57)</f>
        <v>0</v>
      </c>
    </row>
    <row r="58" customFormat="false" ht="15" hidden="false" customHeight="false" outlineLevel="0" collapsed="false">
      <c r="A58" s="3" t="s">
        <v>65</v>
      </c>
      <c r="B58" s="3" t="s">
        <v>129</v>
      </c>
      <c r="C58" s="3" t="n">
        <f aca="false">COUNTIFS('Por foco'!$A$2:$A$579,$A58,'Por foco'!$B$2:$B$579,$B58)</f>
        <v>6</v>
      </c>
      <c r="D58" s="6" t="n">
        <f aca="false">SUMIFS('Por foco'!$F$2:$F$579,'Por foco'!$A$2:$A$579,$A58,'Por foco'!$B$2:$B$579,$B58)</f>
        <v>543</v>
      </c>
      <c r="E58" s="3" t="n">
        <f aca="false">IF(C58=0,0,SUMIFS('Por foco'!$E$2:$E$579,'Por foco'!$A$2:$A$579,$A58,'Por foco'!$B$2:$B$579,$B58)/C58)</f>
        <v>1</v>
      </c>
      <c r="F58" s="3" t="n">
        <f aca="false">SUMIFS('Por foco'!$H$2:$H$579,'Por foco'!$A$2:$A$579,$A58,'Por foco'!$B$2:$B$579,$B58)</f>
        <v>343</v>
      </c>
      <c r="G58" s="3" t="n">
        <f aca="false">SUMIFS('Por foco'!$I$2:$I$579,'Por foco'!$A$2:$A$579,$A58,'Por foco'!$B$2:$B$579,$B58)</f>
        <v>0</v>
      </c>
      <c r="H58" s="3" t="n">
        <f aca="false">SUMIFS('Por foco'!$J$2:$J$579,'Por foco'!$A$2:$A$579,$A58,'Por foco'!$B$2:$B$579,$B58)</f>
        <v>0</v>
      </c>
      <c r="I58" s="3" t="n">
        <f aca="false">SUMIFS('Por foco'!$K$2:$K$579,'Por foco'!$A$2:$A$579,$A58,'Por foco'!$B$2:$B$579,$B58)</f>
        <v>0</v>
      </c>
      <c r="J58" s="3" t="n">
        <f aca="false">SUMIFS('Por foco'!$L$2:$L$579,'Por foco'!$A$2:$A$579,$A58,'Por foco'!$B$2:$B$579,$B58)</f>
        <v>0</v>
      </c>
      <c r="K58" s="3" t="n">
        <f aca="false">SUMIFS('Por foco'!$M$2:$M$579,'Por foco'!$A$2:$A$579,$A58,'Por foco'!$B$2:$B$579,$B58)</f>
        <v>0</v>
      </c>
      <c r="L58" s="3" t="n">
        <f aca="false">SUMIFS('Por foco'!$N$2:$N$579,'Por foco'!$A$2:$A$579,$A58,'Por foco'!$B$2:$B$579,$B58)</f>
        <v>25</v>
      </c>
      <c r="M58" s="3" t="n">
        <f aca="false">SUMIFS('Por foco'!$O$2:$O$579,'Por foco'!$A$2:$A$579,$A58,'Por foco'!$B$2:$B$579,$B58)</f>
        <v>50</v>
      </c>
      <c r="N58" s="3" t="n">
        <f aca="false">SUMIFS('Por foco'!$P$2:$P$579,'Por foco'!$A$2:$A$579,$A58,'Por foco'!$B$2:$B$579,$B58)</f>
        <v>0</v>
      </c>
      <c r="O58" s="3" t="n">
        <f aca="false">SUMIFS('Por foco'!$Q$2:$Q$579,'Por foco'!$A$2:$A$579,$A58,'Por foco'!$B$2:$B$579,$B58)</f>
        <v>8</v>
      </c>
      <c r="P58" s="3" t="n">
        <f aca="false">SUMIFS('Por foco'!$R$2:$R$579,'Por foco'!$A$2:$A$579,$A58,'Por foco'!$B$2:$B$579,$B58)</f>
        <v>0</v>
      </c>
      <c r="Q58" s="3" t="n">
        <f aca="false">SUMIFS('Por foco'!$S$2:$S$579,'Por foco'!$A$2:$A$579,$A58,'Por foco'!$B$2:$B$579,$B58)</f>
        <v>0</v>
      </c>
      <c r="R58" s="3" t="n">
        <f aca="false">SUMIFS('Por foco'!$T$2:$T$579,'Por foco'!$A$2:$A$579,$A58,'Por foco'!$B$2:$B$579,$B58)</f>
        <v>2</v>
      </c>
      <c r="S58" s="3" t="n">
        <f aca="false">SUMIFS('Por foco'!$U$2:$U$579,'Por foco'!$A$2:$A$579,$A58,'Por foco'!$B$2:$B$579,$B58)</f>
        <v>0</v>
      </c>
      <c r="T58" s="3" t="n">
        <f aca="false">SUMIFS('Por foco'!$V$2:$V$579,'Por foco'!$A$2:$A$579,$A58,'Por foco'!$B$2:$B$579,$B58)</f>
        <v>2</v>
      </c>
      <c r="U58" s="3" t="n">
        <f aca="false">SUMIFS('Por foco'!$W$2:$W$579,'Por foco'!$A$2:$A$579,$A58,'Por foco'!$B$2:$B$579,$B58)</f>
        <v>0</v>
      </c>
      <c r="V58" s="3" t="n">
        <f aca="false">SUMIFS('Por foco'!$X$2:$X$579,'Por foco'!$A$2:$A$579,$A58,'Por foco'!$B$2:$B$579,$B58)</f>
        <v>0</v>
      </c>
      <c r="W58" s="3" t="n">
        <f aca="false">SUMIFS('Por foco'!$Y$2:$Y$579,'Por foco'!$A$2:$A$579,$A58,'Por foco'!$B$2:$B$579,$B58)</f>
        <v>100</v>
      </c>
      <c r="X58" s="3" t="n">
        <f aca="false">SUMIFS('Por foco'!$Z$2:$Z$579,'Por foco'!$A$2:$A$579,$A58,'Por foco'!$B$2:$B$579,$B58)</f>
        <v>0</v>
      </c>
      <c r="Y58" s="3" t="n">
        <f aca="false">SUMIFS('Por foco'!$AA$2:$AA$579,'Por foco'!$A$2:$A$579,$A58,'Por foco'!$B$2:$B$579,$B58)</f>
        <v>0</v>
      </c>
      <c r="Z58" s="3" t="n">
        <f aca="false">SUMIFS('Por foco'!$AB$2:$AB$579,'Por foco'!$A$2:$A$579,$A58,'Por foco'!$B$2:$B$579,$B58)</f>
        <v>6.6</v>
      </c>
      <c r="AA58" s="3" t="n">
        <f aca="false">SUMIFS('Por foco'!$AC$2:$AC$579,'Por foco'!$A$2:$A$579,$A58,'Por foco'!$B$2:$B$579,$B58)</f>
        <v>0</v>
      </c>
      <c r="AB58" s="3" t="n">
        <f aca="false">SUMIFS('Por foco'!$AD$2:$AD$579,'Por foco'!$A$2:$A$579,$A58,'Por foco'!$B$2:$B$579,$B58)</f>
        <v>0</v>
      </c>
      <c r="AC58" s="3" t="n">
        <f aca="false">SUMIFS('Por foco'!$AE$2:$AE$579,'Por foco'!$A$2:$A$579,$A58,'Por foco'!$B$2:$B$579,$B58)</f>
        <v>0</v>
      </c>
      <c r="AD58" s="3" t="n">
        <f aca="false">SUMIFS('Por foco'!$AF$2:$AF$579,'Por foco'!$A$2:$A$579,$A58,'Por foco'!$B$2:$B$579,$B58)</f>
        <v>0</v>
      </c>
      <c r="AE58" s="3" t="n">
        <f aca="false">SUMIFS('Por foco'!$AG$2:$AG$579,'Por foco'!$A$2:$A$579,$A58,'Por foco'!$B$2:$B$579,$B58)</f>
        <v>-0.4</v>
      </c>
      <c r="AF58" s="3" t="n">
        <f aca="false">SUMIFS('Por foco'!$AH$2:$AH$579,'Por foco'!$A$2:$A$579,$A58,'Por foco'!$B$2:$B$579,$B58)</f>
        <v>0</v>
      </c>
      <c r="AG58" s="3" t="n">
        <f aca="false">SUMIFS('Por foco'!$AI$2:$AI$579,'Por foco'!$A$2:$A$579,$A58,'Por foco'!$B$2:$B$579,$B58)</f>
        <v>0</v>
      </c>
      <c r="AH58" s="3" t="n">
        <f aca="false">SUMIFS('Por foco'!$AJ$2:$AJ$579,'Por foco'!$A$2:$A$579,$A58,'Por foco'!$B$2:$B$579,$B58)</f>
        <v>0</v>
      </c>
      <c r="AI58" s="3" t="n">
        <f aca="false">SUMIFS('Por foco'!$AK$2:$AK$579,'Por foco'!$A$2:$A$579,$A58,'Por foco'!$B$2:$B$579,$B58)</f>
        <v>0</v>
      </c>
      <c r="AJ58" s="3" t="n">
        <f aca="false">SUMIFS('Por foco'!$AL$2:$AL$579,'Por foco'!$A$2:$A$579,$A58,'Por foco'!$B$2:$B$579,$B58)</f>
        <v>0</v>
      </c>
      <c r="AK58" s="3" t="n">
        <f aca="false">SUMIFS('Por foco'!$AM$2:$AM$579,'Por foco'!$A$2:$A$579,$A58,'Por foco'!$B$2:$B$579,$B58)</f>
        <v>0</v>
      </c>
      <c r="AL58" s="3" t="n">
        <f aca="false">SUMIFS('Por foco'!$AN$2:$AN$579,'Por foco'!$A$2:$A$579,$A58,'Por foco'!$B$2:$B$579,$B58)</f>
        <v>0</v>
      </c>
      <c r="AM58" s="3" t="n">
        <f aca="false">SUMIFS('Por foco'!$AO$2:$AO$579,'Por foco'!$A$2:$A$579,$A58,'Por foco'!$B$2:$B$579,$B58)</f>
        <v>0</v>
      </c>
      <c r="AN58" s="3" t="n">
        <f aca="false">SUMIFS('Por foco'!$AP$2:$AP$579,'Por foco'!$A$2:$A$579,$A58,'Por foco'!$B$2:$B$579,$B58)</f>
        <v>-1.2</v>
      </c>
      <c r="AO58" s="3" t="n">
        <f aca="false">SUMIFS('Por foco'!$AQ$2:$AQ$579,'Por foco'!$A$2:$A$579,$A58,'Por foco'!$B$2:$B$579,$B58)</f>
        <v>0</v>
      </c>
      <c r="AP58" s="3" t="n">
        <f aca="false">SUMIFS('Por foco'!$AR$2:$AR$579,'Por foco'!$A$2:$A$579,$A58,'Por foco'!$B$2:$B$579,$B58)</f>
        <v>5</v>
      </c>
      <c r="AQ58" s="3" t="n">
        <f aca="false">SUMIFS('Por foco'!$AS$2:$AS$579,'Por foco'!$A$2:$A$579,$A58,'Por foco'!$B$2:$B$579,$B58)</f>
        <v>0</v>
      </c>
      <c r="AR58" s="3" t="n">
        <f aca="false">SUMIFS('Por foco'!$AT$2:$AT$579,'Por foco'!$A$2:$A$579,$A58,'Por foco'!$B$2:$B$579,$B58)</f>
        <v>0</v>
      </c>
      <c r="AS58" s="3" t="n">
        <f aca="false">SUMIFS('Por foco'!$AU$2:$AU$579,'Por foco'!$A$2:$A$579,$A58,'Por foco'!$B$2:$B$579,$B58)</f>
        <v>0</v>
      </c>
      <c r="AT58" s="3" t="n">
        <f aca="false">SUMIFS('Por foco'!$AV$2:$AV$579,'Por foco'!$A$2:$A$579,$A58,'Por foco'!$B$2:$B$579,$B58)</f>
        <v>0</v>
      </c>
      <c r="AU58" s="3" t="n">
        <f aca="false">SUMIFS('Por foco'!$AW$2:$AW$579,'Por foco'!$A$2:$A$579,$A58,'Por foco'!$B$2:$B$579,$B58)</f>
        <v>0</v>
      </c>
      <c r="AV58" s="3" t="n">
        <f aca="false">SUMIFS('Por foco'!$AX$2:$AX$579,'Por foco'!$A$2:$A$579,$A58,'Por foco'!$B$2:$B$579,$B58)</f>
        <v>0</v>
      </c>
      <c r="AW58" s="3" t="n">
        <f aca="false">SUMIFS('Por foco'!$AY$2:$AY$579,'Por foco'!$A$2:$A$579,$A58,'Por foco'!$B$2:$B$579,$B58)</f>
        <v>0</v>
      </c>
      <c r="AX58" s="3" t="n">
        <f aca="false">SUMIFS('Por foco'!$AZ$2:$AZ$579,'Por foco'!$A$2:$A$579,$A58,'Por foco'!$B$2:$B$579,$B58)</f>
        <v>0</v>
      </c>
      <c r="AY58" s="3" t="n">
        <f aca="false">SUMIFS('Por foco'!$BA$2:$BA$579,'Por foco'!$A$2:$A$579,$A58,'Por foco'!$B$2:$B$579,$B58)</f>
        <v>0</v>
      </c>
      <c r="AZ58" s="3" t="n">
        <f aca="false">SUMIFS('Por foco'!$BB$2:$BB$579,'Por foco'!$A$2:$A$579,$A58,'Por foco'!$B$2:$B$579,$B58)</f>
        <v>0</v>
      </c>
      <c r="BA58" s="3" t="n">
        <f aca="false">SUMIFS('Por foco'!$BC$2:$BC$579,'Por foco'!$A$2:$A$579,$A58,'Por foco'!$B$2:$B$579,$B58)</f>
        <v>0</v>
      </c>
      <c r="BB58" s="3" t="n">
        <f aca="false">SUMIFS('Por foco'!$BD$2:$BD$579,'Por foco'!$A$2:$A$579,$A58,'Por foco'!$B$2:$B$579,$B58)</f>
        <v>0</v>
      </c>
      <c r="BC58" s="3" t="n">
        <f aca="false">SUMIFS('Por foco'!$BE$2:$BE$579,'Por foco'!$A$2:$A$579,$A58,'Por foco'!$B$2:$B$579,$B58)</f>
        <v>0</v>
      </c>
      <c r="BD58" s="3" t="n">
        <f aca="false">SUMIFS('Por foco'!$BF$2:$BF$579,'Por foco'!$A$2:$A$579,$A58,'Por foco'!$B$2:$B$579,$B58)</f>
        <v>0</v>
      </c>
      <c r="BE58" s="3" t="n">
        <f aca="false">SUMIFS('Por foco'!$BG$2:$BG$579,'Por foco'!$A$2:$A$579,$A58,'Por foco'!$B$2:$B$579,$B58)</f>
        <v>0</v>
      </c>
    </row>
    <row r="59" customFormat="false" ht="15" hidden="false" customHeight="false" outlineLevel="0" collapsed="false">
      <c r="A59" s="3" t="s">
        <v>65</v>
      </c>
      <c r="B59" s="3" t="s">
        <v>130</v>
      </c>
      <c r="C59" s="3" t="n">
        <f aca="false">COUNTIFS('Por foco'!$A$2:$A$579,$A59,'Por foco'!$B$2:$B$579,$B59)</f>
        <v>8</v>
      </c>
      <c r="D59" s="6" t="n">
        <f aca="false">SUMIFS('Por foco'!$F$2:$F$579,'Por foco'!$A$2:$A$579,$A59,'Por foco'!$B$2:$B$579,$B59)</f>
        <v>1240</v>
      </c>
      <c r="E59" s="3" t="n">
        <f aca="false">IF(C59=0,0,SUMIFS('Por foco'!$E$2:$E$579,'Por foco'!$A$2:$A$579,$A59,'Por foco'!$B$2:$B$579,$B59)/C59)</f>
        <v>1</v>
      </c>
      <c r="F59" s="3" t="n">
        <f aca="false">SUMIFS('Por foco'!$H$2:$H$579,'Por foco'!$A$2:$A$579,$A59,'Por foco'!$B$2:$B$579,$B59)</f>
        <v>448</v>
      </c>
      <c r="G59" s="3" t="n">
        <f aca="false">SUMIFS('Por foco'!$I$2:$I$579,'Por foco'!$A$2:$A$579,$A59,'Por foco'!$B$2:$B$579,$B59)</f>
        <v>300</v>
      </c>
      <c r="H59" s="3" t="n">
        <f aca="false">SUMIFS('Por foco'!$J$2:$J$579,'Por foco'!$A$2:$A$579,$A59,'Por foco'!$B$2:$B$579,$B59)</f>
        <v>10</v>
      </c>
      <c r="I59" s="3" t="n">
        <f aca="false">SUMIFS('Por foco'!$K$2:$K$579,'Por foco'!$A$2:$A$579,$A59,'Por foco'!$B$2:$B$579,$B59)</f>
        <v>0</v>
      </c>
      <c r="J59" s="3" t="n">
        <f aca="false">SUMIFS('Por foco'!$L$2:$L$579,'Por foco'!$A$2:$A$579,$A59,'Por foco'!$B$2:$B$579,$B59)</f>
        <v>100000</v>
      </c>
      <c r="K59" s="3" t="n">
        <f aca="false">SUMIFS('Por foco'!$M$2:$M$579,'Por foco'!$A$2:$A$579,$A59,'Por foco'!$B$2:$B$579,$B59)</f>
        <v>0</v>
      </c>
      <c r="L59" s="3" t="n">
        <f aca="false">SUMIFS('Por foco'!$N$2:$N$579,'Por foco'!$A$2:$A$579,$A59,'Por foco'!$B$2:$B$579,$B59)</f>
        <v>0</v>
      </c>
      <c r="M59" s="3" t="n">
        <f aca="false">SUMIFS('Por foco'!$O$2:$O$579,'Por foco'!$A$2:$A$579,$A59,'Por foco'!$B$2:$B$579,$B59)</f>
        <v>0</v>
      </c>
      <c r="N59" s="3" t="n">
        <f aca="false">SUMIFS('Por foco'!$P$2:$P$579,'Por foco'!$A$2:$A$579,$A59,'Por foco'!$B$2:$B$579,$B59)</f>
        <v>1</v>
      </c>
      <c r="O59" s="3" t="n">
        <f aca="false">SUMIFS('Por foco'!$Q$2:$Q$579,'Por foco'!$A$2:$A$579,$A59,'Por foco'!$B$2:$B$579,$B59)</f>
        <v>2</v>
      </c>
      <c r="P59" s="3" t="n">
        <f aca="false">SUMIFS('Por foco'!$R$2:$R$579,'Por foco'!$A$2:$A$579,$A59,'Por foco'!$B$2:$B$579,$B59)</f>
        <v>4</v>
      </c>
      <c r="Q59" s="3" t="n">
        <f aca="false">SUMIFS('Por foco'!$S$2:$S$579,'Por foco'!$A$2:$A$579,$A59,'Por foco'!$B$2:$B$579,$B59)</f>
        <v>0</v>
      </c>
      <c r="R59" s="3" t="n">
        <f aca="false">SUMIFS('Por foco'!$T$2:$T$579,'Por foco'!$A$2:$A$579,$A59,'Por foco'!$B$2:$B$579,$B59)</f>
        <v>0</v>
      </c>
      <c r="S59" s="3" t="n">
        <f aca="false">SUMIFS('Por foco'!$U$2:$U$579,'Por foco'!$A$2:$A$579,$A59,'Por foco'!$B$2:$B$579,$B59)</f>
        <v>0</v>
      </c>
      <c r="T59" s="3" t="n">
        <f aca="false">SUMIFS('Por foco'!$V$2:$V$579,'Por foco'!$A$2:$A$579,$A59,'Por foco'!$B$2:$B$579,$B59)</f>
        <v>0</v>
      </c>
      <c r="U59" s="3" t="n">
        <f aca="false">SUMIFS('Por foco'!$W$2:$W$579,'Por foco'!$A$2:$A$579,$A59,'Por foco'!$B$2:$B$579,$B59)</f>
        <v>0</v>
      </c>
      <c r="V59" s="3" t="n">
        <f aca="false">SUMIFS('Por foco'!$X$2:$X$579,'Por foco'!$A$2:$A$579,$A59,'Por foco'!$B$2:$B$579,$B59)</f>
        <v>0</v>
      </c>
      <c r="W59" s="3" t="n">
        <f aca="false">SUMIFS('Por foco'!$Y$2:$Y$579,'Por foco'!$A$2:$A$579,$A59,'Por foco'!$B$2:$B$579,$B59)</f>
        <v>0</v>
      </c>
      <c r="X59" s="3" t="n">
        <f aca="false">SUMIFS('Por foco'!$Z$2:$Z$579,'Por foco'!$A$2:$A$579,$A59,'Por foco'!$B$2:$B$579,$B59)</f>
        <v>0</v>
      </c>
      <c r="Y59" s="3" t="n">
        <f aca="false">SUMIFS('Por foco'!$AA$2:$AA$579,'Por foco'!$A$2:$A$579,$A59,'Por foco'!$B$2:$B$579,$B59)</f>
        <v>0</v>
      </c>
      <c r="Z59" s="3" t="n">
        <f aca="false">SUMIFS('Por foco'!$AB$2:$AB$579,'Por foco'!$A$2:$A$579,$A59,'Por foco'!$B$2:$B$579,$B59)</f>
        <v>1.6</v>
      </c>
      <c r="AA59" s="3" t="n">
        <f aca="false">SUMIFS('Por foco'!$AC$2:$AC$579,'Por foco'!$A$2:$A$579,$A59,'Por foco'!$B$2:$B$579,$B59)</f>
        <v>0</v>
      </c>
      <c r="AB59" s="3" t="n">
        <f aca="false">SUMIFS('Por foco'!$AD$2:$AD$579,'Por foco'!$A$2:$A$579,$A59,'Por foco'!$B$2:$B$579,$B59)</f>
        <v>0</v>
      </c>
      <c r="AC59" s="3" t="n">
        <f aca="false">SUMIFS('Por foco'!$AE$2:$AE$579,'Por foco'!$A$2:$A$579,$A59,'Por foco'!$B$2:$B$579,$B59)</f>
        <v>0</v>
      </c>
      <c r="AD59" s="3" t="n">
        <f aca="false">SUMIFS('Por foco'!$AF$2:$AF$579,'Por foco'!$A$2:$A$579,$A59,'Por foco'!$B$2:$B$579,$B59)</f>
        <v>0</v>
      </c>
      <c r="AE59" s="3" t="n">
        <f aca="false">SUMIFS('Por foco'!$AG$2:$AG$579,'Por foco'!$A$2:$A$579,$A59,'Por foco'!$B$2:$B$579,$B59)</f>
        <v>1.2</v>
      </c>
      <c r="AF59" s="3" t="n">
        <f aca="false">SUMIFS('Por foco'!$AH$2:$AH$579,'Por foco'!$A$2:$A$579,$A59,'Por foco'!$B$2:$B$579,$B59)</f>
        <v>0</v>
      </c>
      <c r="AG59" s="3" t="n">
        <f aca="false">SUMIFS('Por foco'!$AI$2:$AI$579,'Por foco'!$A$2:$A$579,$A59,'Por foco'!$B$2:$B$579,$B59)</f>
        <v>0</v>
      </c>
      <c r="AH59" s="3" t="n">
        <f aca="false">SUMIFS('Por foco'!$AJ$2:$AJ$579,'Por foco'!$A$2:$A$579,$A59,'Por foco'!$B$2:$B$579,$B59)</f>
        <v>0</v>
      </c>
      <c r="AI59" s="3" t="n">
        <f aca="false">SUMIFS('Por foco'!$AK$2:$AK$579,'Por foco'!$A$2:$A$579,$A59,'Por foco'!$B$2:$B$579,$B59)</f>
        <v>0</v>
      </c>
      <c r="AJ59" s="3" t="n">
        <f aca="false">SUMIFS('Por foco'!$AL$2:$AL$579,'Por foco'!$A$2:$A$579,$A59,'Por foco'!$B$2:$B$579,$B59)</f>
        <v>0</v>
      </c>
      <c r="AK59" s="3" t="n">
        <f aca="false">SUMIFS('Por foco'!$AM$2:$AM$579,'Por foco'!$A$2:$A$579,$A59,'Por foco'!$B$2:$B$579,$B59)</f>
        <v>0</v>
      </c>
      <c r="AL59" s="3" t="n">
        <f aca="false">SUMIFS('Por foco'!$AN$2:$AN$579,'Por foco'!$A$2:$A$579,$A59,'Por foco'!$B$2:$B$579,$B59)</f>
        <v>0</v>
      </c>
      <c r="AM59" s="3" t="n">
        <f aca="false">SUMIFS('Por foco'!$AO$2:$AO$579,'Por foco'!$A$2:$A$579,$A59,'Por foco'!$B$2:$B$579,$B59)</f>
        <v>0</v>
      </c>
      <c r="AN59" s="3" t="n">
        <f aca="false">SUMIFS('Por foco'!$AP$2:$AP$579,'Por foco'!$A$2:$A$579,$A59,'Por foco'!$B$2:$B$579,$B59)</f>
        <v>-5.4</v>
      </c>
      <c r="AO59" s="3" t="n">
        <f aca="false">SUMIFS('Por foco'!$AQ$2:$AQ$579,'Por foco'!$A$2:$A$579,$A59,'Por foco'!$B$2:$B$579,$B59)</f>
        <v>0</v>
      </c>
      <c r="AP59" s="3" t="n">
        <f aca="false">SUMIFS('Por foco'!$AR$2:$AR$579,'Por foco'!$A$2:$A$579,$A59,'Por foco'!$B$2:$B$579,$B59)</f>
        <v>0</v>
      </c>
      <c r="AQ59" s="3" t="n">
        <f aca="false">SUMIFS('Por foco'!$AS$2:$AS$579,'Por foco'!$A$2:$A$579,$A59,'Por foco'!$B$2:$B$579,$B59)</f>
        <v>0</v>
      </c>
      <c r="AR59" s="3" t="n">
        <f aca="false">SUMIFS('Por foco'!$AT$2:$AT$579,'Por foco'!$A$2:$A$579,$A59,'Por foco'!$B$2:$B$579,$B59)</f>
        <v>0</v>
      </c>
      <c r="AS59" s="3" t="n">
        <f aca="false">SUMIFS('Por foco'!$AU$2:$AU$579,'Por foco'!$A$2:$A$579,$A59,'Por foco'!$B$2:$B$579,$B59)</f>
        <v>0</v>
      </c>
      <c r="AT59" s="3" t="n">
        <f aca="false">SUMIFS('Por foco'!$AV$2:$AV$579,'Por foco'!$A$2:$A$579,$A59,'Por foco'!$B$2:$B$579,$B59)</f>
        <v>0</v>
      </c>
      <c r="AU59" s="3" t="n">
        <f aca="false">SUMIFS('Por foco'!$AW$2:$AW$579,'Por foco'!$A$2:$A$579,$A59,'Por foco'!$B$2:$B$579,$B59)</f>
        <v>0</v>
      </c>
      <c r="AV59" s="3" t="n">
        <f aca="false">SUMIFS('Por foco'!$AX$2:$AX$579,'Por foco'!$A$2:$A$579,$A59,'Por foco'!$B$2:$B$579,$B59)</f>
        <v>0</v>
      </c>
      <c r="AW59" s="3" t="n">
        <f aca="false">SUMIFS('Por foco'!$AY$2:$AY$579,'Por foco'!$A$2:$A$579,$A59,'Por foco'!$B$2:$B$579,$B59)</f>
        <v>0</v>
      </c>
      <c r="AX59" s="3" t="n">
        <f aca="false">SUMIFS('Por foco'!$AZ$2:$AZ$579,'Por foco'!$A$2:$A$579,$A59,'Por foco'!$B$2:$B$579,$B59)</f>
        <v>0</v>
      </c>
      <c r="AY59" s="3" t="n">
        <f aca="false">SUMIFS('Por foco'!$BA$2:$BA$579,'Por foco'!$A$2:$A$579,$A59,'Por foco'!$B$2:$B$579,$B59)</f>
        <v>0</v>
      </c>
      <c r="AZ59" s="3" t="n">
        <f aca="false">SUMIFS('Por foco'!$BB$2:$BB$579,'Por foco'!$A$2:$A$579,$A59,'Por foco'!$B$2:$B$579,$B59)</f>
        <v>0</v>
      </c>
      <c r="BA59" s="3" t="n">
        <f aca="false">SUMIFS('Por foco'!$BC$2:$BC$579,'Por foco'!$A$2:$A$579,$A59,'Por foco'!$B$2:$B$579,$B59)</f>
        <v>0</v>
      </c>
      <c r="BB59" s="3" t="n">
        <f aca="false">SUMIFS('Por foco'!$BD$2:$BD$579,'Por foco'!$A$2:$A$579,$A59,'Por foco'!$B$2:$B$579,$B59)</f>
        <v>0</v>
      </c>
      <c r="BC59" s="3" t="n">
        <f aca="false">SUMIFS('Por foco'!$BE$2:$BE$579,'Por foco'!$A$2:$A$579,$A59,'Por foco'!$B$2:$B$579,$B59)</f>
        <v>0</v>
      </c>
      <c r="BD59" s="3" t="n">
        <f aca="false">SUMIFS('Por foco'!$BF$2:$BF$579,'Por foco'!$A$2:$A$579,$A59,'Por foco'!$B$2:$B$579,$B59)</f>
        <v>0</v>
      </c>
      <c r="BE59" s="3" t="n">
        <f aca="false">SUMIFS('Por foco'!$BG$2:$BG$579,'Por foco'!$A$2:$A$579,$A59,'Por foco'!$B$2:$B$579,$B59)</f>
        <v>0</v>
      </c>
    </row>
    <row r="60" customFormat="false" ht="15" hidden="false" customHeight="false" outlineLevel="0" collapsed="false">
      <c r="A60" s="3" t="s">
        <v>65</v>
      </c>
      <c r="B60" s="3" t="s">
        <v>131</v>
      </c>
      <c r="C60" s="3" t="n">
        <f aca="false">COUNTIFS('Por foco'!$A$2:$A$579,$A60,'Por foco'!$B$2:$B$579,$B60)</f>
        <v>6</v>
      </c>
      <c r="D60" s="6" t="n">
        <f aca="false">SUMIFS('Por foco'!$F$2:$F$579,'Por foco'!$A$2:$A$579,$A60,'Por foco'!$B$2:$B$579,$B60)</f>
        <v>1155</v>
      </c>
      <c r="E60" s="3" t="n">
        <f aca="false">IF(C60=0,0,SUMIFS('Por foco'!$E$2:$E$579,'Por foco'!$A$2:$A$579,$A60,'Por foco'!$B$2:$B$579,$B60)/C60)</f>
        <v>1</v>
      </c>
      <c r="F60" s="3" t="n">
        <f aca="false">SUMIFS('Por foco'!$H$2:$H$579,'Por foco'!$A$2:$A$579,$A60,'Por foco'!$B$2:$B$579,$B60)</f>
        <v>413</v>
      </c>
      <c r="G60" s="3" t="n">
        <f aca="false">SUMIFS('Por foco'!$I$2:$I$579,'Por foco'!$A$2:$A$579,$A60,'Por foco'!$B$2:$B$579,$B60)</f>
        <v>150</v>
      </c>
      <c r="H60" s="3" t="n">
        <f aca="false">SUMIFS('Por foco'!$J$2:$J$579,'Por foco'!$A$2:$A$579,$A60,'Por foco'!$B$2:$B$579,$B60)</f>
        <v>0</v>
      </c>
      <c r="I60" s="3" t="n">
        <f aca="false">SUMIFS('Por foco'!$K$2:$K$579,'Por foco'!$A$2:$A$579,$A60,'Por foco'!$B$2:$B$579,$B60)</f>
        <v>0</v>
      </c>
      <c r="J60" s="3" t="n">
        <f aca="false">SUMIFS('Por foco'!$L$2:$L$579,'Por foco'!$A$2:$A$579,$A60,'Por foco'!$B$2:$B$579,$B60)</f>
        <v>0</v>
      </c>
      <c r="K60" s="3" t="n">
        <f aca="false">SUMIFS('Por foco'!$M$2:$M$579,'Por foco'!$A$2:$A$579,$A60,'Por foco'!$B$2:$B$579,$B60)</f>
        <v>0</v>
      </c>
      <c r="L60" s="3" t="n">
        <f aca="false">SUMIFS('Por foco'!$N$2:$N$579,'Por foco'!$A$2:$A$579,$A60,'Por foco'!$B$2:$B$579,$B60)</f>
        <v>0</v>
      </c>
      <c r="M60" s="3" t="n">
        <f aca="false">SUMIFS('Por foco'!$O$2:$O$579,'Por foco'!$A$2:$A$579,$A60,'Por foco'!$B$2:$B$579,$B60)</f>
        <v>0</v>
      </c>
      <c r="N60" s="3" t="n">
        <f aca="false">SUMIFS('Por foco'!$P$2:$P$579,'Por foco'!$A$2:$A$579,$A60,'Por foco'!$B$2:$B$579,$B60)</f>
        <v>0</v>
      </c>
      <c r="O60" s="3" t="n">
        <f aca="false">SUMIFS('Por foco'!$Q$2:$Q$579,'Por foco'!$A$2:$A$579,$A60,'Por foco'!$B$2:$B$579,$B60)</f>
        <v>0</v>
      </c>
      <c r="P60" s="3" t="n">
        <f aca="false">SUMIFS('Por foco'!$R$2:$R$579,'Por foco'!$A$2:$A$579,$A60,'Por foco'!$B$2:$B$579,$B60)</f>
        <v>2</v>
      </c>
      <c r="Q60" s="3" t="n">
        <f aca="false">SUMIFS('Por foco'!$S$2:$S$579,'Por foco'!$A$2:$A$579,$A60,'Por foco'!$B$2:$B$579,$B60)</f>
        <v>0</v>
      </c>
      <c r="R60" s="3" t="n">
        <f aca="false">SUMIFS('Por foco'!$T$2:$T$579,'Por foco'!$A$2:$A$579,$A60,'Por foco'!$B$2:$B$579,$B60)</f>
        <v>0</v>
      </c>
      <c r="S60" s="3" t="n">
        <f aca="false">SUMIFS('Por foco'!$U$2:$U$579,'Por foco'!$A$2:$A$579,$A60,'Por foco'!$B$2:$B$579,$B60)</f>
        <v>0</v>
      </c>
      <c r="T60" s="3" t="n">
        <f aca="false">SUMIFS('Por foco'!$V$2:$V$579,'Por foco'!$A$2:$A$579,$A60,'Por foco'!$B$2:$B$579,$B60)</f>
        <v>0</v>
      </c>
      <c r="U60" s="3" t="n">
        <f aca="false">SUMIFS('Por foco'!$W$2:$W$579,'Por foco'!$A$2:$A$579,$A60,'Por foco'!$B$2:$B$579,$B60)</f>
        <v>0</v>
      </c>
      <c r="V60" s="3" t="n">
        <f aca="false">SUMIFS('Por foco'!$X$2:$X$579,'Por foco'!$A$2:$A$579,$A60,'Por foco'!$B$2:$B$579,$B60)</f>
        <v>0</v>
      </c>
      <c r="W60" s="3" t="n">
        <f aca="false">SUMIFS('Por foco'!$Y$2:$Y$579,'Por foco'!$A$2:$A$579,$A60,'Por foco'!$B$2:$B$579,$B60)</f>
        <v>0</v>
      </c>
      <c r="X60" s="3" t="n">
        <f aca="false">SUMIFS('Por foco'!$Z$2:$Z$579,'Por foco'!$A$2:$A$579,$A60,'Por foco'!$B$2:$B$579,$B60)</f>
        <v>0</v>
      </c>
      <c r="Y60" s="3" t="n">
        <f aca="false">SUMIFS('Por foco'!$AA$2:$AA$579,'Por foco'!$A$2:$A$579,$A60,'Por foco'!$B$2:$B$579,$B60)</f>
        <v>0</v>
      </c>
      <c r="Z60" s="3" t="n">
        <f aca="false">SUMIFS('Por foco'!$AB$2:$AB$579,'Por foco'!$A$2:$A$579,$A60,'Por foco'!$B$2:$B$579,$B60)</f>
        <v>22</v>
      </c>
      <c r="AA60" s="3" t="n">
        <f aca="false">SUMIFS('Por foco'!$AC$2:$AC$579,'Por foco'!$A$2:$A$579,$A60,'Por foco'!$B$2:$B$579,$B60)</f>
        <v>0</v>
      </c>
      <c r="AB60" s="3" t="n">
        <f aca="false">SUMIFS('Por foco'!$AD$2:$AD$579,'Por foco'!$A$2:$A$579,$A60,'Por foco'!$B$2:$B$579,$B60)</f>
        <v>0</v>
      </c>
      <c r="AC60" s="3" t="n">
        <f aca="false">SUMIFS('Por foco'!$AE$2:$AE$579,'Por foco'!$A$2:$A$579,$A60,'Por foco'!$B$2:$B$579,$B60)</f>
        <v>0</v>
      </c>
      <c r="AD60" s="3" t="n">
        <f aca="false">SUMIFS('Por foco'!$AF$2:$AF$579,'Por foco'!$A$2:$A$579,$A60,'Por foco'!$B$2:$B$579,$B60)</f>
        <v>0</v>
      </c>
      <c r="AE60" s="3" t="n">
        <f aca="false">SUMIFS('Por foco'!$AG$2:$AG$579,'Por foco'!$A$2:$A$579,$A60,'Por foco'!$B$2:$B$579,$B60)</f>
        <v>15</v>
      </c>
      <c r="AF60" s="3" t="n">
        <f aca="false">SUMIFS('Por foco'!$AH$2:$AH$579,'Por foco'!$A$2:$A$579,$A60,'Por foco'!$B$2:$B$579,$B60)</f>
        <v>0</v>
      </c>
      <c r="AG60" s="3" t="n">
        <f aca="false">SUMIFS('Por foco'!$AI$2:$AI$579,'Por foco'!$A$2:$A$579,$A60,'Por foco'!$B$2:$B$579,$B60)</f>
        <v>5</v>
      </c>
      <c r="AH60" s="3" t="n">
        <f aca="false">SUMIFS('Por foco'!$AJ$2:$AJ$579,'Por foco'!$A$2:$A$579,$A60,'Por foco'!$B$2:$B$579,$B60)</f>
        <v>0</v>
      </c>
      <c r="AI60" s="3" t="n">
        <f aca="false">SUMIFS('Por foco'!$AK$2:$AK$579,'Por foco'!$A$2:$A$579,$A60,'Por foco'!$B$2:$B$579,$B60)</f>
        <v>0</v>
      </c>
      <c r="AJ60" s="3" t="n">
        <f aca="false">SUMIFS('Por foco'!$AL$2:$AL$579,'Por foco'!$A$2:$A$579,$A60,'Por foco'!$B$2:$B$579,$B60)</f>
        <v>0</v>
      </c>
      <c r="AK60" s="3" t="n">
        <f aca="false">SUMIFS('Por foco'!$AM$2:$AM$579,'Por foco'!$A$2:$A$579,$A60,'Por foco'!$B$2:$B$579,$B60)</f>
        <v>0</v>
      </c>
      <c r="AL60" s="3" t="n">
        <f aca="false">SUMIFS('Por foco'!$AN$2:$AN$579,'Por foco'!$A$2:$A$579,$A60,'Por foco'!$B$2:$B$579,$B60)</f>
        <v>10</v>
      </c>
      <c r="AM60" s="3" t="n">
        <f aca="false">SUMIFS('Por foco'!$AO$2:$AO$579,'Por foco'!$A$2:$A$579,$A60,'Por foco'!$B$2:$B$579,$B60)</f>
        <v>0</v>
      </c>
      <c r="AN60" s="3" t="n">
        <f aca="false">SUMIFS('Por foco'!$AP$2:$AP$579,'Por foco'!$A$2:$A$579,$A60,'Por foco'!$B$2:$B$579,$B60)</f>
        <v>-3</v>
      </c>
      <c r="AO60" s="3" t="n">
        <f aca="false">SUMIFS('Por foco'!$AQ$2:$AQ$579,'Por foco'!$A$2:$A$579,$A60,'Por foco'!$B$2:$B$579,$B60)</f>
        <v>0</v>
      </c>
      <c r="AP60" s="3" t="n">
        <f aca="false">SUMIFS('Por foco'!$AR$2:$AR$579,'Por foco'!$A$2:$A$579,$A60,'Por foco'!$B$2:$B$579,$B60)</f>
        <v>0</v>
      </c>
      <c r="AQ60" s="3" t="n">
        <f aca="false">SUMIFS('Por foco'!$AS$2:$AS$579,'Por foco'!$A$2:$A$579,$A60,'Por foco'!$B$2:$B$579,$B60)</f>
        <v>0</v>
      </c>
      <c r="AR60" s="3" t="n">
        <f aca="false">SUMIFS('Por foco'!$AT$2:$AT$579,'Por foco'!$A$2:$A$579,$A60,'Por foco'!$B$2:$B$579,$B60)</f>
        <v>0</v>
      </c>
      <c r="AS60" s="3" t="n">
        <f aca="false">SUMIFS('Por foco'!$AU$2:$AU$579,'Por foco'!$A$2:$A$579,$A60,'Por foco'!$B$2:$B$579,$B60)</f>
        <v>0</v>
      </c>
      <c r="AT60" s="3" t="n">
        <f aca="false">SUMIFS('Por foco'!$AV$2:$AV$579,'Por foco'!$A$2:$A$579,$A60,'Por foco'!$B$2:$B$579,$B60)</f>
        <v>0</v>
      </c>
      <c r="AU60" s="3" t="n">
        <f aca="false">SUMIFS('Por foco'!$AW$2:$AW$579,'Por foco'!$A$2:$A$579,$A60,'Por foco'!$B$2:$B$579,$B60)</f>
        <v>0</v>
      </c>
      <c r="AV60" s="3" t="n">
        <f aca="false">SUMIFS('Por foco'!$AX$2:$AX$579,'Por foco'!$A$2:$A$579,$A60,'Por foco'!$B$2:$B$579,$B60)</f>
        <v>0</v>
      </c>
      <c r="AW60" s="3" t="n">
        <f aca="false">SUMIFS('Por foco'!$AY$2:$AY$579,'Por foco'!$A$2:$A$579,$A60,'Por foco'!$B$2:$B$579,$B60)</f>
        <v>0</v>
      </c>
      <c r="AX60" s="3" t="n">
        <f aca="false">SUMIFS('Por foco'!$AZ$2:$AZ$579,'Por foco'!$A$2:$A$579,$A60,'Por foco'!$B$2:$B$579,$B60)</f>
        <v>0</v>
      </c>
      <c r="AY60" s="3" t="n">
        <f aca="false">SUMIFS('Por foco'!$BA$2:$BA$579,'Por foco'!$A$2:$A$579,$A60,'Por foco'!$B$2:$B$579,$B60)</f>
        <v>0</v>
      </c>
      <c r="AZ60" s="3" t="n">
        <f aca="false">SUMIFS('Por foco'!$BB$2:$BB$579,'Por foco'!$A$2:$A$579,$A60,'Por foco'!$B$2:$B$579,$B60)</f>
        <v>0</v>
      </c>
      <c r="BA60" s="3" t="n">
        <f aca="false">SUMIFS('Por foco'!$BC$2:$BC$579,'Por foco'!$A$2:$A$579,$A60,'Por foco'!$B$2:$B$579,$B60)</f>
        <v>0</v>
      </c>
      <c r="BB60" s="3" t="n">
        <f aca="false">SUMIFS('Por foco'!$BD$2:$BD$579,'Por foco'!$A$2:$A$579,$A60,'Por foco'!$B$2:$B$579,$B60)</f>
        <v>0</v>
      </c>
      <c r="BC60" s="3" t="n">
        <f aca="false">SUMIFS('Por foco'!$BE$2:$BE$579,'Por foco'!$A$2:$A$579,$A60,'Por foco'!$B$2:$B$579,$B60)</f>
        <v>0</v>
      </c>
      <c r="BD60" s="3" t="n">
        <f aca="false">SUMIFS('Por foco'!$BF$2:$BF$579,'Por foco'!$A$2:$A$579,$A60,'Por foco'!$B$2:$B$579,$B60)</f>
        <v>0</v>
      </c>
      <c r="BE60" s="3" t="n">
        <f aca="false">SUMIFS('Por foco'!$BG$2:$BG$579,'Por foco'!$A$2:$A$579,$A60,'Por foco'!$B$2:$B$579,$B60)</f>
        <v>0</v>
      </c>
    </row>
    <row r="61" customFormat="false" ht="15" hidden="false" customHeight="false" outlineLevel="0" collapsed="false">
      <c r="A61" s="3" t="s">
        <v>66</v>
      </c>
      <c r="B61" s="3" t="s">
        <v>132</v>
      </c>
      <c r="C61" s="3" t="n">
        <f aca="false">COUNTIFS('Por foco'!$A$2:$A$579,$A61,'Por foco'!$B$2:$B$579,$B61)</f>
        <v>8</v>
      </c>
      <c r="D61" s="6" t="n">
        <f aca="false">SUMIFS('Por foco'!$F$2:$F$579,'Por foco'!$A$2:$A$579,$A61,'Por foco'!$B$2:$B$579,$B61)</f>
        <v>1602</v>
      </c>
      <c r="E61" s="3" t="n">
        <f aca="false">IF(C61=0,0,SUMIFS('Por foco'!$E$2:$E$579,'Por foco'!$A$2:$A$579,$A61,'Por foco'!$B$2:$B$579,$B61)/C61)</f>
        <v>0.625</v>
      </c>
      <c r="F61" s="3" t="n">
        <f aca="false">SUMIFS('Por foco'!$H$2:$H$579,'Por foco'!$A$2:$A$579,$A61,'Por foco'!$B$2:$B$579,$B61)</f>
        <v>546</v>
      </c>
      <c r="G61" s="3" t="n">
        <f aca="false">SUMIFS('Por foco'!$I$2:$I$579,'Por foco'!$A$2:$A$579,$A61,'Por foco'!$B$2:$B$579,$B61)</f>
        <v>250</v>
      </c>
      <c r="H61" s="3" t="n">
        <f aca="false">SUMIFS('Por foco'!$J$2:$J$579,'Por foco'!$A$2:$A$579,$A61,'Por foco'!$B$2:$B$579,$B61)</f>
        <v>3</v>
      </c>
      <c r="I61" s="3" t="n">
        <f aca="false">SUMIFS('Por foco'!$K$2:$K$579,'Por foco'!$A$2:$A$579,$A61,'Por foco'!$B$2:$B$579,$B61)</f>
        <v>5</v>
      </c>
      <c r="J61" s="3" t="n">
        <f aca="false">SUMIFS('Por foco'!$L$2:$L$579,'Por foco'!$A$2:$A$579,$A61,'Por foco'!$B$2:$B$579,$B61)</f>
        <v>0</v>
      </c>
      <c r="K61" s="3" t="n">
        <f aca="false">SUMIFS('Por foco'!$M$2:$M$579,'Por foco'!$A$2:$A$579,$A61,'Por foco'!$B$2:$B$579,$B61)</f>
        <v>0</v>
      </c>
      <c r="L61" s="3" t="n">
        <f aca="false">SUMIFS('Por foco'!$N$2:$N$579,'Por foco'!$A$2:$A$579,$A61,'Por foco'!$B$2:$B$579,$B61)</f>
        <v>0</v>
      </c>
      <c r="M61" s="3" t="n">
        <f aca="false">SUMIFS('Por foco'!$O$2:$O$579,'Por foco'!$A$2:$A$579,$A61,'Por foco'!$B$2:$B$579,$B61)</f>
        <v>0</v>
      </c>
      <c r="N61" s="3" t="n">
        <f aca="false">SUMIFS('Por foco'!$P$2:$P$579,'Por foco'!$A$2:$A$579,$A61,'Por foco'!$B$2:$B$579,$B61)</f>
        <v>1</v>
      </c>
      <c r="O61" s="3" t="n">
        <f aca="false">SUMIFS('Por foco'!$Q$2:$Q$579,'Por foco'!$A$2:$A$579,$A61,'Por foco'!$B$2:$B$579,$B61)</f>
        <v>0</v>
      </c>
      <c r="P61" s="3" t="n">
        <f aca="false">SUMIFS('Por foco'!$R$2:$R$579,'Por foco'!$A$2:$A$579,$A61,'Por foco'!$B$2:$B$579,$B61)</f>
        <v>0</v>
      </c>
      <c r="Q61" s="3" t="n">
        <f aca="false">SUMIFS('Por foco'!$S$2:$S$579,'Por foco'!$A$2:$A$579,$A61,'Por foco'!$B$2:$B$579,$B61)</f>
        <v>0</v>
      </c>
      <c r="R61" s="3" t="n">
        <f aca="false">SUMIFS('Por foco'!$T$2:$T$579,'Por foco'!$A$2:$A$579,$A61,'Por foco'!$B$2:$B$579,$B61)</f>
        <v>0</v>
      </c>
      <c r="S61" s="3" t="n">
        <f aca="false">SUMIFS('Por foco'!$U$2:$U$579,'Por foco'!$A$2:$A$579,$A61,'Por foco'!$B$2:$B$579,$B61)</f>
        <v>0</v>
      </c>
      <c r="T61" s="3" t="n">
        <f aca="false">SUMIFS('Por foco'!$V$2:$V$579,'Por foco'!$A$2:$A$579,$A61,'Por foco'!$B$2:$B$579,$B61)</f>
        <v>0</v>
      </c>
      <c r="U61" s="3" t="n">
        <f aca="false">SUMIFS('Por foco'!$W$2:$W$579,'Por foco'!$A$2:$A$579,$A61,'Por foco'!$B$2:$B$579,$B61)</f>
        <v>0</v>
      </c>
      <c r="V61" s="3" t="n">
        <f aca="false">SUMIFS('Por foco'!$X$2:$X$579,'Por foco'!$A$2:$A$579,$A61,'Por foco'!$B$2:$B$579,$B61)</f>
        <v>0</v>
      </c>
      <c r="W61" s="3" t="n">
        <f aca="false">SUMIFS('Por foco'!$Y$2:$Y$579,'Por foco'!$A$2:$A$579,$A61,'Por foco'!$B$2:$B$579,$B61)</f>
        <v>0</v>
      </c>
      <c r="X61" s="3" t="n">
        <f aca="false">SUMIFS('Por foco'!$Z$2:$Z$579,'Por foco'!$A$2:$A$579,$A61,'Por foco'!$B$2:$B$579,$B61)</f>
        <v>2</v>
      </c>
      <c r="Y61" s="3" t="n">
        <f aca="false">SUMIFS('Por foco'!$AA$2:$AA$579,'Por foco'!$A$2:$A$579,$A61,'Por foco'!$B$2:$B$579,$B61)</f>
        <v>0.4</v>
      </c>
      <c r="Z61" s="3" t="n">
        <f aca="false">SUMIFS('Por foco'!$AB$2:$AB$579,'Por foco'!$A$2:$A$579,$A61,'Por foco'!$B$2:$B$579,$B61)</f>
        <v>35</v>
      </c>
      <c r="AA61" s="3" t="n">
        <f aca="false">SUMIFS('Por foco'!$AC$2:$AC$579,'Por foco'!$A$2:$A$579,$A61,'Por foco'!$B$2:$B$579,$B61)</f>
        <v>0</v>
      </c>
      <c r="AB61" s="3" t="n">
        <f aca="false">SUMIFS('Por foco'!$AD$2:$AD$579,'Por foco'!$A$2:$A$579,$A61,'Por foco'!$B$2:$B$579,$B61)</f>
        <v>0</v>
      </c>
      <c r="AC61" s="3" t="n">
        <f aca="false">SUMIFS('Por foco'!$AE$2:$AE$579,'Por foco'!$A$2:$A$579,$A61,'Por foco'!$B$2:$B$579,$B61)</f>
        <v>0</v>
      </c>
      <c r="AD61" s="3" t="n">
        <f aca="false">SUMIFS('Por foco'!$AF$2:$AF$579,'Por foco'!$A$2:$A$579,$A61,'Por foco'!$B$2:$B$579,$B61)</f>
        <v>0</v>
      </c>
      <c r="AE61" s="3" t="n">
        <f aca="false">SUMIFS('Por foco'!$AG$2:$AG$579,'Por foco'!$A$2:$A$579,$A61,'Por foco'!$B$2:$B$579,$B61)</f>
        <v>10</v>
      </c>
      <c r="AF61" s="3" t="n">
        <f aca="false">SUMIFS('Por foco'!$AH$2:$AH$579,'Por foco'!$A$2:$A$579,$A61,'Por foco'!$B$2:$B$579,$B61)</f>
        <v>0</v>
      </c>
      <c r="AG61" s="3" t="n">
        <f aca="false">SUMIFS('Por foco'!$AI$2:$AI$579,'Por foco'!$A$2:$A$579,$A61,'Por foco'!$B$2:$B$579,$B61)</f>
        <v>0</v>
      </c>
      <c r="AH61" s="3" t="n">
        <f aca="false">SUMIFS('Por foco'!$AJ$2:$AJ$579,'Por foco'!$A$2:$A$579,$A61,'Por foco'!$B$2:$B$579,$B61)</f>
        <v>0</v>
      </c>
      <c r="AI61" s="3" t="n">
        <f aca="false">SUMIFS('Por foco'!$AK$2:$AK$579,'Por foco'!$A$2:$A$579,$A61,'Por foco'!$B$2:$B$579,$B61)</f>
        <v>0</v>
      </c>
      <c r="AJ61" s="3" t="n">
        <f aca="false">SUMIFS('Por foco'!$AL$2:$AL$579,'Por foco'!$A$2:$A$579,$A61,'Por foco'!$B$2:$B$579,$B61)</f>
        <v>0</v>
      </c>
      <c r="AK61" s="3" t="n">
        <f aca="false">SUMIFS('Por foco'!$AM$2:$AM$579,'Por foco'!$A$2:$A$579,$A61,'Por foco'!$B$2:$B$579,$B61)</f>
        <v>0</v>
      </c>
      <c r="AL61" s="3" t="n">
        <f aca="false">SUMIFS('Por foco'!$AN$2:$AN$579,'Por foco'!$A$2:$A$579,$A61,'Por foco'!$B$2:$B$579,$B61)</f>
        <v>0</v>
      </c>
      <c r="AM61" s="3" t="n">
        <f aca="false">SUMIFS('Por foco'!$AO$2:$AO$579,'Por foco'!$A$2:$A$579,$A61,'Por foco'!$B$2:$B$579,$B61)</f>
        <v>0</v>
      </c>
      <c r="AN61" s="3" t="n">
        <f aca="false">SUMIFS('Por foco'!$AP$2:$AP$579,'Por foco'!$A$2:$A$579,$A61,'Por foco'!$B$2:$B$579,$B61)</f>
        <v>0</v>
      </c>
      <c r="AO61" s="3" t="n">
        <f aca="false">SUMIFS('Por foco'!$AQ$2:$AQ$579,'Por foco'!$A$2:$A$579,$A61,'Por foco'!$B$2:$B$579,$B61)</f>
        <v>0</v>
      </c>
      <c r="AP61" s="3" t="n">
        <f aca="false">SUMIFS('Por foco'!$AR$2:$AR$579,'Por foco'!$A$2:$A$579,$A61,'Por foco'!$B$2:$B$579,$B61)</f>
        <v>0</v>
      </c>
      <c r="AQ61" s="3" t="n">
        <f aca="false">SUMIFS('Por foco'!$AS$2:$AS$579,'Por foco'!$A$2:$A$579,$A61,'Por foco'!$B$2:$B$579,$B61)</f>
        <v>0</v>
      </c>
      <c r="AR61" s="3" t="n">
        <f aca="false">SUMIFS('Por foco'!$AT$2:$AT$579,'Por foco'!$A$2:$A$579,$A61,'Por foco'!$B$2:$B$579,$B61)</f>
        <v>0</v>
      </c>
      <c r="AS61" s="3" t="n">
        <f aca="false">SUMIFS('Por foco'!$AU$2:$AU$579,'Por foco'!$A$2:$A$579,$A61,'Por foco'!$B$2:$B$579,$B61)</f>
        <v>0</v>
      </c>
      <c r="AT61" s="3" t="n">
        <f aca="false">SUMIFS('Por foco'!$AV$2:$AV$579,'Por foco'!$A$2:$A$579,$A61,'Por foco'!$B$2:$B$579,$B61)</f>
        <v>0</v>
      </c>
      <c r="AU61" s="3" t="n">
        <f aca="false">SUMIFS('Por foco'!$AW$2:$AW$579,'Por foco'!$A$2:$A$579,$A61,'Por foco'!$B$2:$B$579,$B61)</f>
        <v>0</v>
      </c>
      <c r="AV61" s="3" t="n">
        <f aca="false">SUMIFS('Por foco'!$AX$2:$AX$579,'Por foco'!$A$2:$A$579,$A61,'Por foco'!$B$2:$B$579,$B61)</f>
        <v>0</v>
      </c>
      <c r="AW61" s="3" t="n">
        <f aca="false">SUMIFS('Por foco'!$AY$2:$AY$579,'Por foco'!$A$2:$A$579,$A61,'Por foco'!$B$2:$B$579,$B61)</f>
        <v>0</v>
      </c>
      <c r="AX61" s="3" t="n">
        <f aca="false">SUMIFS('Por foco'!$AZ$2:$AZ$579,'Por foco'!$A$2:$A$579,$A61,'Por foco'!$B$2:$B$579,$B61)</f>
        <v>0</v>
      </c>
      <c r="AY61" s="3" t="n">
        <f aca="false">SUMIFS('Por foco'!$BA$2:$BA$579,'Por foco'!$A$2:$A$579,$A61,'Por foco'!$B$2:$B$579,$B61)</f>
        <v>0</v>
      </c>
      <c r="AZ61" s="3" t="n">
        <f aca="false">SUMIFS('Por foco'!$BB$2:$BB$579,'Por foco'!$A$2:$A$579,$A61,'Por foco'!$B$2:$B$579,$B61)</f>
        <v>0</v>
      </c>
      <c r="BA61" s="3" t="n">
        <f aca="false">SUMIFS('Por foco'!$BC$2:$BC$579,'Por foco'!$A$2:$A$579,$A61,'Por foco'!$B$2:$B$579,$B61)</f>
        <v>0</v>
      </c>
      <c r="BB61" s="3" t="n">
        <f aca="false">SUMIFS('Por foco'!$BD$2:$BD$579,'Por foco'!$A$2:$A$579,$A61,'Por foco'!$B$2:$B$579,$B61)</f>
        <v>0</v>
      </c>
      <c r="BC61" s="3" t="n">
        <f aca="false">SUMIFS('Por foco'!$BE$2:$BE$579,'Por foco'!$A$2:$A$579,$A61,'Por foco'!$B$2:$B$579,$B61)</f>
        <v>0</v>
      </c>
      <c r="BD61" s="3" t="n">
        <f aca="false">SUMIFS('Por foco'!$BF$2:$BF$579,'Por foco'!$A$2:$A$579,$A61,'Por foco'!$B$2:$B$579,$B61)</f>
        <v>0</v>
      </c>
      <c r="BE61" s="3" t="n">
        <f aca="false">SUMIFS('Por foco'!$BG$2:$BG$579,'Por foco'!$A$2:$A$579,$A61,'Por foco'!$B$2:$B$579,$B61)</f>
        <v>0</v>
      </c>
    </row>
    <row r="62" customFormat="false" ht="15" hidden="false" customHeight="false" outlineLevel="0" collapsed="false">
      <c r="A62" s="3" t="s">
        <v>66</v>
      </c>
      <c r="B62" s="3" t="s">
        <v>133</v>
      </c>
      <c r="C62" s="3" t="n">
        <f aca="false">COUNTIFS('Por foco'!$A$2:$A$579,$A62,'Por foco'!$B$2:$B$579,$B62)</f>
        <v>6</v>
      </c>
      <c r="D62" s="6" t="n">
        <f aca="false">SUMIFS('Por foco'!$F$2:$F$579,'Por foco'!$A$2:$A$579,$A62,'Por foco'!$B$2:$B$579,$B62)</f>
        <v>1648</v>
      </c>
      <c r="E62" s="3" t="n">
        <f aca="false">IF(C62=0,0,SUMIFS('Por foco'!$E$2:$E$579,'Por foco'!$A$2:$A$579,$A62,'Por foco'!$B$2:$B$579,$B62)/C62)</f>
        <v>0.5</v>
      </c>
      <c r="F62" s="3" t="n">
        <f aca="false">SUMIFS('Por foco'!$H$2:$H$579,'Por foco'!$A$2:$A$579,$A62,'Por foco'!$B$2:$B$579,$B62)</f>
        <v>378</v>
      </c>
      <c r="G62" s="3" t="n">
        <f aca="false">SUMIFS('Por foco'!$I$2:$I$579,'Por foco'!$A$2:$A$579,$A62,'Por foco'!$B$2:$B$579,$B62)</f>
        <v>150</v>
      </c>
      <c r="H62" s="3" t="n">
        <f aca="false">SUMIFS('Por foco'!$J$2:$J$579,'Por foco'!$A$2:$A$579,$A62,'Por foco'!$B$2:$B$579,$B62)</f>
        <v>0</v>
      </c>
      <c r="I62" s="3" t="n">
        <f aca="false">SUMIFS('Por foco'!$K$2:$K$579,'Por foco'!$A$2:$A$579,$A62,'Por foco'!$B$2:$B$579,$B62)</f>
        <v>35</v>
      </c>
      <c r="J62" s="3" t="n">
        <f aca="false">SUMIFS('Por foco'!$L$2:$L$579,'Por foco'!$A$2:$A$579,$A62,'Por foco'!$B$2:$B$579,$B62)</f>
        <v>100000</v>
      </c>
      <c r="K62" s="3" t="n">
        <f aca="false">SUMIFS('Por foco'!$M$2:$M$579,'Por foco'!$A$2:$A$579,$A62,'Por foco'!$B$2:$B$579,$B62)</f>
        <v>100</v>
      </c>
      <c r="L62" s="3" t="n">
        <f aca="false">SUMIFS('Por foco'!$N$2:$N$579,'Por foco'!$A$2:$A$579,$A62,'Por foco'!$B$2:$B$579,$B62)</f>
        <v>0</v>
      </c>
      <c r="M62" s="3" t="n">
        <f aca="false">SUMIFS('Por foco'!$O$2:$O$579,'Por foco'!$A$2:$A$579,$A62,'Por foco'!$B$2:$B$579,$B62)</f>
        <v>0</v>
      </c>
      <c r="N62" s="3" t="n">
        <f aca="false">SUMIFS('Por foco'!$P$2:$P$579,'Por foco'!$A$2:$A$579,$A62,'Por foco'!$B$2:$B$579,$B62)</f>
        <v>1</v>
      </c>
      <c r="O62" s="3" t="n">
        <f aca="false">SUMIFS('Por foco'!$Q$2:$Q$579,'Por foco'!$A$2:$A$579,$A62,'Por foco'!$B$2:$B$579,$B62)</f>
        <v>2</v>
      </c>
      <c r="P62" s="3" t="n">
        <f aca="false">SUMIFS('Por foco'!$R$2:$R$579,'Por foco'!$A$2:$A$579,$A62,'Por foco'!$B$2:$B$579,$B62)</f>
        <v>0</v>
      </c>
      <c r="Q62" s="3" t="n">
        <f aca="false">SUMIFS('Por foco'!$S$2:$S$579,'Por foco'!$A$2:$A$579,$A62,'Por foco'!$B$2:$B$579,$B62)</f>
        <v>0</v>
      </c>
      <c r="R62" s="3" t="n">
        <f aca="false">SUMIFS('Por foco'!$T$2:$T$579,'Por foco'!$A$2:$A$579,$A62,'Por foco'!$B$2:$B$579,$B62)</f>
        <v>0</v>
      </c>
      <c r="S62" s="3" t="n">
        <f aca="false">SUMIFS('Por foco'!$U$2:$U$579,'Por foco'!$A$2:$A$579,$A62,'Por foco'!$B$2:$B$579,$B62)</f>
        <v>0</v>
      </c>
      <c r="T62" s="3" t="n">
        <f aca="false">SUMIFS('Por foco'!$V$2:$V$579,'Por foco'!$A$2:$A$579,$A62,'Por foco'!$B$2:$B$579,$B62)</f>
        <v>0</v>
      </c>
      <c r="U62" s="3" t="n">
        <f aca="false">SUMIFS('Por foco'!$W$2:$W$579,'Por foco'!$A$2:$A$579,$A62,'Por foco'!$B$2:$B$579,$B62)</f>
        <v>0</v>
      </c>
      <c r="V62" s="3" t="n">
        <f aca="false">SUMIFS('Por foco'!$X$2:$X$579,'Por foco'!$A$2:$A$579,$A62,'Por foco'!$B$2:$B$579,$B62)</f>
        <v>0</v>
      </c>
      <c r="W62" s="3" t="n">
        <f aca="false">SUMIFS('Por foco'!$Y$2:$Y$579,'Por foco'!$A$2:$A$579,$A62,'Por foco'!$B$2:$B$579,$B62)</f>
        <v>0</v>
      </c>
      <c r="X62" s="3" t="n">
        <f aca="false">SUMIFS('Por foco'!$Z$2:$Z$579,'Por foco'!$A$2:$A$579,$A62,'Por foco'!$B$2:$B$579,$B62)</f>
        <v>1</v>
      </c>
      <c r="Y62" s="3" t="n">
        <f aca="false">SUMIFS('Por foco'!$AA$2:$AA$579,'Por foco'!$A$2:$A$579,$A62,'Por foco'!$B$2:$B$579,$B62)</f>
        <v>0.1</v>
      </c>
      <c r="Z62" s="3" t="n">
        <f aca="false">SUMIFS('Por foco'!$AB$2:$AB$579,'Por foco'!$A$2:$A$579,$A62,'Por foco'!$B$2:$B$579,$B62)</f>
        <v>0</v>
      </c>
      <c r="AA62" s="3" t="n">
        <f aca="false">SUMIFS('Por foco'!$AC$2:$AC$579,'Por foco'!$A$2:$A$579,$A62,'Por foco'!$B$2:$B$579,$B62)</f>
        <v>25</v>
      </c>
      <c r="AB62" s="3" t="n">
        <f aca="false">SUMIFS('Por foco'!$AD$2:$AD$579,'Por foco'!$A$2:$A$579,$A62,'Por foco'!$B$2:$B$579,$B62)</f>
        <v>0</v>
      </c>
      <c r="AC62" s="3" t="n">
        <f aca="false">SUMIFS('Por foco'!$AE$2:$AE$579,'Por foco'!$A$2:$A$579,$A62,'Por foco'!$B$2:$B$579,$B62)</f>
        <v>0</v>
      </c>
      <c r="AD62" s="3" t="n">
        <f aca="false">SUMIFS('Por foco'!$AF$2:$AF$579,'Por foco'!$A$2:$A$579,$A62,'Por foco'!$B$2:$B$579,$B62)</f>
        <v>0</v>
      </c>
      <c r="AE62" s="3" t="n">
        <f aca="false">SUMIFS('Por foco'!$AG$2:$AG$579,'Por foco'!$A$2:$A$579,$A62,'Por foco'!$B$2:$B$579,$B62)</f>
        <v>0</v>
      </c>
      <c r="AF62" s="3" t="n">
        <f aca="false">SUMIFS('Por foco'!$AH$2:$AH$579,'Por foco'!$A$2:$A$579,$A62,'Por foco'!$B$2:$B$579,$B62)</f>
        <v>0</v>
      </c>
      <c r="AG62" s="3" t="n">
        <f aca="false">SUMIFS('Por foco'!$AI$2:$AI$579,'Por foco'!$A$2:$A$579,$A62,'Por foco'!$B$2:$B$579,$B62)</f>
        <v>0</v>
      </c>
      <c r="AH62" s="3" t="n">
        <f aca="false">SUMIFS('Por foco'!$AJ$2:$AJ$579,'Por foco'!$A$2:$A$579,$A62,'Por foco'!$B$2:$B$579,$B62)</f>
        <v>0</v>
      </c>
      <c r="AI62" s="3" t="n">
        <f aca="false">SUMIFS('Por foco'!$AK$2:$AK$579,'Por foco'!$A$2:$A$579,$A62,'Por foco'!$B$2:$B$579,$B62)</f>
        <v>0</v>
      </c>
      <c r="AJ62" s="3" t="n">
        <f aca="false">SUMIFS('Por foco'!$AL$2:$AL$579,'Por foco'!$A$2:$A$579,$A62,'Por foco'!$B$2:$B$579,$B62)</f>
        <v>0</v>
      </c>
      <c r="AK62" s="3" t="n">
        <f aca="false">SUMIFS('Por foco'!$AM$2:$AM$579,'Por foco'!$A$2:$A$579,$A62,'Por foco'!$B$2:$B$579,$B62)</f>
        <v>0</v>
      </c>
      <c r="AL62" s="3" t="n">
        <f aca="false">SUMIFS('Por foco'!$AN$2:$AN$579,'Por foco'!$A$2:$A$579,$A62,'Por foco'!$B$2:$B$579,$B62)</f>
        <v>0</v>
      </c>
      <c r="AM62" s="3" t="n">
        <f aca="false">SUMIFS('Por foco'!$AO$2:$AO$579,'Por foco'!$A$2:$A$579,$A62,'Por foco'!$B$2:$B$579,$B62)</f>
        <v>0</v>
      </c>
      <c r="AN62" s="3" t="n">
        <f aca="false">SUMIFS('Por foco'!$AP$2:$AP$579,'Por foco'!$A$2:$A$579,$A62,'Por foco'!$B$2:$B$579,$B62)</f>
        <v>0</v>
      </c>
      <c r="AO62" s="3" t="n">
        <f aca="false">SUMIFS('Por foco'!$AQ$2:$AQ$579,'Por foco'!$A$2:$A$579,$A62,'Por foco'!$B$2:$B$579,$B62)</f>
        <v>15</v>
      </c>
      <c r="AP62" s="3" t="n">
        <f aca="false">SUMIFS('Por foco'!$AR$2:$AR$579,'Por foco'!$A$2:$A$579,$A62,'Por foco'!$B$2:$B$579,$B62)</f>
        <v>0</v>
      </c>
      <c r="AQ62" s="3" t="n">
        <f aca="false">SUMIFS('Por foco'!$AS$2:$AS$579,'Por foco'!$A$2:$A$579,$A62,'Por foco'!$B$2:$B$579,$B62)</f>
        <v>5</v>
      </c>
      <c r="AR62" s="3" t="n">
        <f aca="false">SUMIFS('Por foco'!$AT$2:$AT$579,'Por foco'!$A$2:$A$579,$A62,'Por foco'!$B$2:$B$579,$B62)</f>
        <v>0</v>
      </c>
      <c r="AS62" s="3" t="n">
        <f aca="false">SUMIFS('Por foco'!$AU$2:$AU$579,'Por foco'!$A$2:$A$579,$A62,'Por foco'!$B$2:$B$579,$B62)</f>
        <v>0</v>
      </c>
      <c r="AT62" s="3" t="n">
        <f aca="false">SUMIFS('Por foco'!$AV$2:$AV$579,'Por foco'!$A$2:$A$579,$A62,'Por foco'!$B$2:$B$579,$B62)</f>
        <v>0</v>
      </c>
      <c r="AU62" s="3" t="n">
        <f aca="false">SUMIFS('Por foco'!$AW$2:$AW$579,'Por foco'!$A$2:$A$579,$A62,'Por foco'!$B$2:$B$579,$B62)</f>
        <v>0</v>
      </c>
      <c r="AV62" s="3" t="n">
        <f aca="false">SUMIFS('Por foco'!$AX$2:$AX$579,'Por foco'!$A$2:$A$579,$A62,'Por foco'!$B$2:$B$579,$B62)</f>
        <v>0</v>
      </c>
      <c r="AW62" s="3" t="n">
        <f aca="false">SUMIFS('Por foco'!$AY$2:$AY$579,'Por foco'!$A$2:$A$579,$A62,'Por foco'!$B$2:$B$579,$B62)</f>
        <v>0</v>
      </c>
      <c r="AX62" s="3" t="n">
        <f aca="false">SUMIFS('Por foco'!$AZ$2:$AZ$579,'Por foco'!$A$2:$A$579,$A62,'Por foco'!$B$2:$B$579,$B62)</f>
        <v>0</v>
      </c>
      <c r="AY62" s="3" t="n">
        <f aca="false">SUMIFS('Por foco'!$BA$2:$BA$579,'Por foco'!$A$2:$A$579,$A62,'Por foco'!$B$2:$B$579,$B62)</f>
        <v>0</v>
      </c>
      <c r="AZ62" s="3" t="n">
        <f aca="false">SUMIFS('Por foco'!$BB$2:$BB$579,'Por foco'!$A$2:$A$579,$A62,'Por foco'!$B$2:$B$579,$B62)</f>
        <v>0</v>
      </c>
      <c r="BA62" s="3" t="n">
        <f aca="false">SUMIFS('Por foco'!$BC$2:$BC$579,'Por foco'!$A$2:$A$579,$A62,'Por foco'!$B$2:$B$579,$B62)</f>
        <v>0</v>
      </c>
      <c r="BB62" s="3" t="n">
        <f aca="false">SUMIFS('Por foco'!$BD$2:$BD$579,'Por foco'!$A$2:$A$579,$A62,'Por foco'!$B$2:$B$579,$B62)</f>
        <v>0</v>
      </c>
      <c r="BC62" s="3" t="n">
        <f aca="false">SUMIFS('Por foco'!$BE$2:$BE$579,'Por foco'!$A$2:$A$579,$A62,'Por foco'!$B$2:$B$579,$B62)</f>
        <v>0</v>
      </c>
      <c r="BD62" s="3" t="n">
        <f aca="false">SUMIFS('Por foco'!$BF$2:$BF$579,'Por foco'!$A$2:$A$579,$A62,'Por foco'!$B$2:$B$579,$B62)</f>
        <v>0</v>
      </c>
      <c r="BE62" s="3" t="n">
        <f aca="false">SUMIFS('Por foco'!$BG$2:$BG$579,'Por foco'!$A$2:$A$579,$A62,'Por foco'!$B$2:$B$579,$B62)</f>
        <v>0</v>
      </c>
    </row>
    <row r="63" customFormat="false" ht="15" hidden="false" customHeight="false" outlineLevel="0" collapsed="false">
      <c r="A63" s="3" t="s">
        <v>66</v>
      </c>
      <c r="B63" s="3" t="s">
        <v>80</v>
      </c>
      <c r="C63" s="3" t="n">
        <f aca="false">COUNTIFS('Por foco'!$A$2:$A$579,$A63,'Por foco'!$B$2:$B$579,$B63)</f>
        <v>4</v>
      </c>
      <c r="D63" s="6" t="n">
        <f aca="false">SUMIFS('Por foco'!$F$2:$F$579,'Por foco'!$A$2:$A$579,$A63,'Por foco'!$B$2:$B$579,$B63)</f>
        <v>724.5</v>
      </c>
      <c r="E63" s="3" t="n">
        <f aca="false">IF(C63=0,0,SUMIFS('Por foco'!$E$2:$E$579,'Por foco'!$A$2:$A$579,$A63,'Por foco'!$B$2:$B$579,$B63)/C63)</f>
        <v>1</v>
      </c>
      <c r="F63" s="3" t="n">
        <f aca="false">SUMIFS('Por foco'!$H$2:$H$579,'Por foco'!$A$2:$A$579,$A63,'Por foco'!$B$2:$B$579,$B63)</f>
        <v>315</v>
      </c>
      <c r="G63" s="3" t="n">
        <f aca="false">SUMIFS('Por foco'!$I$2:$I$579,'Por foco'!$A$2:$A$579,$A63,'Por foco'!$B$2:$B$579,$B63)</f>
        <v>170</v>
      </c>
      <c r="H63" s="3" t="n">
        <f aca="false">SUMIFS('Por foco'!$J$2:$J$579,'Por foco'!$A$2:$A$579,$A63,'Por foco'!$B$2:$B$579,$B63)</f>
        <v>5</v>
      </c>
      <c r="I63" s="3" t="n">
        <f aca="false">SUMIFS('Por foco'!$K$2:$K$579,'Por foco'!$A$2:$A$579,$A63,'Por foco'!$B$2:$B$579,$B63)</f>
        <v>5</v>
      </c>
      <c r="J63" s="3" t="n">
        <f aca="false">SUMIFS('Por foco'!$L$2:$L$579,'Por foco'!$A$2:$A$579,$A63,'Por foco'!$B$2:$B$579,$B63)</f>
        <v>0</v>
      </c>
      <c r="K63" s="3" t="n">
        <f aca="false">SUMIFS('Por foco'!$M$2:$M$579,'Por foco'!$A$2:$A$579,$A63,'Por foco'!$B$2:$B$579,$B63)</f>
        <v>25</v>
      </c>
      <c r="L63" s="3" t="n">
        <f aca="false">SUMIFS('Por foco'!$N$2:$N$579,'Por foco'!$A$2:$A$579,$A63,'Por foco'!$B$2:$B$579,$B63)</f>
        <v>0</v>
      </c>
      <c r="M63" s="3" t="n">
        <f aca="false">SUMIFS('Por foco'!$O$2:$O$579,'Por foco'!$A$2:$A$579,$A63,'Por foco'!$B$2:$B$579,$B63)</f>
        <v>0</v>
      </c>
      <c r="N63" s="3" t="n">
        <f aca="false">SUMIFS('Por foco'!$P$2:$P$579,'Por foco'!$A$2:$A$579,$A63,'Por foco'!$B$2:$B$579,$B63)</f>
        <v>0</v>
      </c>
      <c r="O63" s="3" t="n">
        <f aca="false">SUMIFS('Por foco'!$Q$2:$Q$579,'Por foco'!$A$2:$A$579,$A63,'Por foco'!$B$2:$B$579,$B63)</f>
        <v>0</v>
      </c>
      <c r="P63" s="3" t="n">
        <f aca="false">SUMIFS('Por foco'!$R$2:$R$579,'Por foco'!$A$2:$A$579,$A63,'Por foco'!$B$2:$B$579,$B63)</f>
        <v>0</v>
      </c>
      <c r="Q63" s="3" t="n">
        <f aca="false">SUMIFS('Por foco'!$S$2:$S$579,'Por foco'!$A$2:$A$579,$A63,'Por foco'!$B$2:$B$579,$B63)</f>
        <v>0</v>
      </c>
      <c r="R63" s="3" t="n">
        <f aca="false">SUMIFS('Por foco'!$T$2:$T$579,'Por foco'!$A$2:$A$579,$A63,'Por foco'!$B$2:$B$579,$B63)</f>
        <v>0</v>
      </c>
      <c r="S63" s="3" t="n">
        <f aca="false">SUMIFS('Por foco'!$U$2:$U$579,'Por foco'!$A$2:$A$579,$A63,'Por foco'!$B$2:$B$579,$B63)</f>
        <v>0</v>
      </c>
      <c r="T63" s="3" t="n">
        <f aca="false">SUMIFS('Por foco'!$V$2:$V$579,'Por foco'!$A$2:$A$579,$A63,'Por foco'!$B$2:$B$579,$B63)</f>
        <v>0</v>
      </c>
      <c r="U63" s="3" t="n">
        <f aca="false">SUMIFS('Por foco'!$W$2:$W$579,'Por foco'!$A$2:$A$579,$A63,'Por foco'!$B$2:$B$579,$B63)</f>
        <v>0</v>
      </c>
      <c r="V63" s="3" t="n">
        <f aca="false">SUMIFS('Por foco'!$X$2:$X$579,'Por foco'!$A$2:$A$579,$A63,'Por foco'!$B$2:$B$579,$B63)</f>
        <v>0</v>
      </c>
      <c r="W63" s="3" t="n">
        <f aca="false">SUMIFS('Por foco'!$Y$2:$Y$579,'Por foco'!$A$2:$A$579,$A63,'Por foco'!$B$2:$B$579,$B63)</f>
        <v>0</v>
      </c>
      <c r="X63" s="3" t="n">
        <f aca="false">SUMIFS('Por foco'!$Z$2:$Z$579,'Por foco'!$A$2:$A$579,$A63,'Por foco'!$B$2:$B$579,$B63)</f>
        <v>12</v>
      </c>
      <c r="Y63" s="3" t="n">
        <f aca="false">SUMIFS('Por foco'!$AA$2:$AA$579,'Por foco'!$A$2:$A$579,$A63,'Por foco'!$B$2:$B$579,$B63)</f>
        <v>0.15</v>
      </c>
      <c r="Z63" s="3" t="n">
        <f aca="false">SUMIFS('Por foco'!$AB$2:$AB$579,'Por foco'!$A$2:$A$579,$A63,'Por foco'!$B$2:$B$579,$B63)</f>
        <v>5</v>
      </c>
      <c r="AA63" s="3" t="n">
        <f aca="false">SUMIFS('Por foco'!$AC$2:$AC$579,'Por foco'!$A$2:$A$579,$A63,'Por foco'!$B$2:$B$579,$B63)</f>
        <v>5</v>
      </c>
      <c r="AB63" s="3" t="n">
        <f aca="false">SUMIFS('Por foco'!$AD$2:$AD$579,'Por foco'!$A$2:$A$579,$A63,'Por foco'!$B$2:$B$579,$B63)</f>
        <v>0</v>
      </c>
      <c r="AC63" s="3" t="n">
        <f aca="false">SUMIFS('Por foco'!$AE$2:$AE$579,'Por foco'!$A$2:$A$579,$A63,'Por foco'!$B$2:$B$579,$B63)</f>
        <v>0</v>
      </c>
      <c r="AD63" s="3" t="n">
        <f aca="false">SUMIFS('Por foco'!$AF$2:$AF$579,'Por foco'!$A$2:$A$579,$A63,'Por foco'!$B$2:$B$579,$B63)</f>
        <v>0</v>
      </c>
      <c r="AE63" s="3" t="n">
        <f aca="false">SUMIFS('Por foco'!$AG$2:$AG$579,'Por foco'!$A$2:$A$579,$A63,'Por foco'!$B$2:$B$579,$B63)</f>
        <v>0</v>
      </c>
      <c r="AF63" s="3" t="n">
        <f aca="false">SUMIFS('Por foco'!$AH$2:$AH$579,'Por foco'!$A$2:$A$579,$A63,'Por foco'!$B$2:$B$579,$B63)</f>
        <v>0</v>
      </c>
      <c r="AG63" s="3" t="n">
        <f aca="false">SUMIFS('Por foco'!$AI$2:$AI$579,'Por foco'!$A$2:$A$579,$A63,'Por foco'!$B$2:$B$579,$B63)</f>
        <v>0</v>
      </c>
      <c r="AH63" s="3" t="n">
        <f aca="false">SUMIFS('Por foco'!$AJ$2:$AJ$579,'Por foco'!$A$2:$A$579,$A63,'Por foco'!$B$2:$B$579,$B63)</f>
        <v>0</v>
      </c>
      <c r="AI63" s="3" t="n">
        <f aca="false">SUMIFS('Por foco'!$AK$2:$AK$579,'Por foco'!$A$2:$A$579,$A63,'Por foco'!$B$2:$B$579,$B63)</f>
        <v>0</v>
      </c>
      <c r="AJ63" s="3" t="n">
        <f aca="false">SUMIFS('Por foco'!$AL$2:$AL$579,'Por foco'!$A$2:$A$579,$A63,'Por foco'!$B$2:$B$579,$B63)</f>
        <v>0</v>
      </c>
      <c r="AK63" s="3" t="n">
        <f aca="false">SUMIFS('Por foco'!$AM$2:$AM$579,'Por foco'!$A$2:$A$579,$A63,'Por foco'!$B$2:$B$579,$B63)</f>
        <v>0</v>
      </c>
      <c r="AL63" s="3" t="n">
        <f aca="false">SUMIFS('Por foco'!$AN$2:$AN$579,'Por foco'!$A$2:$A$579,$A63,'Por foco'!$B$2:$B$579,$B63)</f>
        <v>0</v>
      </c>
      <c r="AM63" s="3" t="n">
        <f aca="false">SUMIFS('Por foco'!$AO$2:$AO$579,'Por foco'!$A$2:$A$579,$A63,'Por foco'!$B$2:$B$579,$B63)</f>
        <v>0</v>
      </c>
      <c r="AN63" s="3" t="n">
        <f aca="false">SUMIFS('Por foco'!$AP$2:$AP$579,'Por foco'!$A$2:$A$579,$A63,'Por foco'!$B$2:$B$579,$B63)</f>
        <v>0</v>
      </c>
      <c r="AO63" s="3" t="n">
        <f aca="false">SUMIFS('Por foco'!$AQ$2:$AQ$579,'Por foco'!$A$2:$A$579,$A63,'Por foco'!$B$2:$B$579,$B63)</f>
        <v>0</v>
      </c>
      <c r="AP63" s="3" t="n">
        <f aca="false">SUMIFS('Por foco'!$AR$2:$AR$579,'Por foco'!$A$2:$A$579,$A63,'Por foco'!$B$2:$B$579,$B63)</f>
        <v>0</v>
      </c>
      <c r="AQ63" s="3" t="n">
        <f aca="false">SUMIFS('Por foco'!$AS$2:$AS$579,'Por foco'!$A$2:$A$579,$A63,'Por foco'!$B$2:$B$579,$B63)</f>
        <v>0</v>
      </c>
      <c r="AR63" s="3" t="n">
        <f aca="false">SUMIFS('Por foco'!$AT$2:$AT$579,'Por foco'!$A$2:$A$579,$A63,'Por foco'!$B$2:$B$579,$B63)</f>
        <v>0</v>
      </c>
      <c r="AS63" s="3" t="n">
        <f aca="false">SUMIFS('Por foco'!$AU$2:$AU$579,'Por foco'!$A$2:$A$579,$A63,'Por foco'!$B$2:$B$579,$B63)</f>
        <v>0</v>
      </c>
      <c r="AT63" s="3" t="n">
        <f aca="false">SUMIFS('Por foco'!$AV$2:$AV$579,'Por foco'!$A$2:$A$579,$A63,'Por foco'!$B$2:$B$579,$B63)</f>
        <v>0</v>
      </c>
      <c r="AU63" s="3" t="n">
        <f aca="false">SUMIFS('Por foco'!$AW$2:$AW$579,'Por foco'!$A$2:$A$579,$A63,'Por foco'!$B$2:$B$579,$B63)</f>
        <v>0</v>
      </c>
      <c r="AV63" s="3" t="n">
        <f aca="false">SUMIFS('Por foco'!$AX$2:$AX$579,'Por foco'!$A$2:$A$579,$A63,'Por foco'!$B$2:$B$579,$B63)</f>
        <v>0</v>
      </c>
      <c r="AW63" s="3" t="n">
        <f aca="false">SUMIFS('Por foco'!$AY$2:$AY$579,'Por foco'!$A$2:$A$579,$A63,'Por foco'!$B$2:$B$579,$B63)</f>
        <v>0</v>
      </c>
      <c r="AX63" s="3" t="n">
        <f aca="false">SUMIFS('Por foco'!$AZ$2:$AZ$579,'Por foco'!$A$2:$A$579,$A63,'Por foco'!$B$2:$B$579,$B63)</f>
        <v>0</v>
      </c>
      <c r="AY63" s="3" t="n">
        <f aca="false">SUMIFS('Por foco'!$BA$2:$BA$579,'Por foco'!$A$2:$A$579,$A63,'Por foco'!$B$2:$B$579,$B63)</f>
        <v>0</v>
      </c>
      <c r="AZ63" s="3" t="n">
        <f aca="false">SUMIFS('Por foco'!$BB$2:$BB$579,'Por foco'!$A$2:$A$579,$A63,'Por foco'!$B$2:$B$579,$B63)</f>
        <v>0</v>
      </c>
      <c r="BA63" s="3" t="n">
        <f aca="false">SUMIFS('Por foco'!$BC$2:$BC$579,'Por foco'!$A$2:$A$579,$A63,'Por foco'!$B$2:$B$579,$B63)</f>
        <v>0</v>
      </c>
      <c r="BB63" s="3" t="n">
        <f aca="false">SUMIFS('Por foco'!$BD$2:$BD$579,'Por foco'!$A$2:$A$579,$A63,'Por foco'!$B$2:$B$579,$B63)</f>
        <v>0</v>
      </c>
      <c r="BC63" s="3" t="n">
        <f aca="false">SUMIFS('Por foco'!$BE$2:$BE$579,'Por foco'!$A$2:$A$579,$A63,'Por foco'!$B$2:$B$579,$B63)</f>
        <v>0</v>
      </c>
      <c r="BD63" s="3" t="n">
        <f aca="false">SUMIFS('Por foco'!$BF$2:$BF$579,'Por foco'!$A$2:$A$579,$A63,'Por foco'!$B$2:$B$579,$B63)</f>
        <v>0</v>
      </c>
      <c r="BE63" s="3" t="n">
        <f aca="false">SUMIFS('Por foco'!$BG$2:$BG$579,'Por foco'!$A$2:$A$579,$A63,'Por foco'!$B$2:$B$579,$B63)</f>
        <v>0</v>
      </c>
    </row>
    <row r="64" customFormat="false" ht="15" hidden="false" customHeight="false" outlineLevel="0" collapsed="false">
      <c r="A64" s="3" t="s">
        <v>66</v>
      </c>
      <c r="B64" s="3" t="s">
        <v>134</v>
      </c>
      <c r="C64" s="3" t="n">
        <f aca="false">COUNTIFS('Por foco'!$A$2:$A$579,$A64,'Por foco'!$B$2:$B$579,$B64)</f>
        <v>7</v>
      </c>
      <c r="D64" s="6" t="n">
        <f aca="false">SUMIFS('Por foco'!$F$2:$F$579,'Por foco'!$A$2:$A$579,$A64,'Por foco'!$B$2:$B$579,$B64)</f>
        <v>1553</v>
      </c>
      <c r="E64" s="3" t="n">
        <f aca="false">IF(C64=0,0,SUMIFS('Por foco'!$E$2:$E$579,'Por foco'!$A$2:$A$579,$A64,'Por foco'!$B$2:$B$579,$B64)/C64)</f>
        <v>0.571428571428571</v>
      </c>
      <c r="F64" s="3" t="n">
        <f aca="false">SUMIFS('Por foco'!$H$2:$H$579,'Por foco'!$A$2:$A$579,$A64,'Por foco'!$B$2:$B$579,$B64)</f>
        <v>469</v>
      </c>
      <c r="G64" s="3" t="n">
        <f aca="false">SUMIFS('Por foco'!$I$2:$I$579,'Por foco'!$A$2:$A$579,$A64,'Por foco'!$B$2:$B$579,$B64)</f>
        <v>250</v>
      </c>
      <c r="H64" s="3" t="n">
        <f aca="false">SUMIFS('Por foco'!$J$2:$J$579,'Por foco'!$A$2:$A$579,$A64,'Por foco'!$B$2:$B$579,$B64)</f>
        <v>10</v>
      </c>
      <c r="I64" s="3" t="n">
        <f aca="false">SUMIFS('Por foco'!$K$2:$K$579,'Por foco'!$A$2:$A$579,$A64,'Por foco'!$B$2:$B$579,$B64)</f>
        <v>0</v>
      </c>
      <c r="J64" s="3" t="n">
        <f aca="false">SUMIFS('Por foco'!$L$2:$L$579,'Por foco'!$A$2:$A$579,$A64,'Por foco'!$B$2:$B$579,$B64)</f>
        <v>150000</v>
      </c>
      <c r="K64" s="3" t="n">
        <f aca="false">SUMIFS('Por foco'!$M$2:$M$579,'Por foco'!$A$2:$A$579,$A64,'Por foco'!$B$2:$B$579,$B64)</f>
        <v>50</v>
      </c>
      <c r="L64" s="3" t="n">
        <f aca="false">SUMIFS('Por foco'!$N$2:$N$579,'Por foco'!$A$2:$A$579,$A64,'Por foco'!$B$2:$B$579,$B64)</f>
        <v>0</v>
      </c>
      <c r="M64" s="3" t="n">
        <f aca="false">SUMIFS('Por foco'!$O$2:$O$579,'Por foco'!$A$2:$A$579,$A64,'Por foco'!$B$2:$B$579,$B64)</f>
        <v>0</v>
      </c>
      <c r="N64" s="3" t="n">
        <f aca="false">SUMIFS('Por foco'!$P$2:$P$579,'Por foco'!$A$2:$A$579,$A64,'Por foco'!$B$2:$B$579,$B64)</f>
        <v>0</v>
      </c>
      <c r="O64" s="3" t="n">
        <f aca="false">SUMIFS('Por foco'!$Q$2:$Q$579,'Por foco'!$A$2:$A$579,$A64,'Por foco'!$B$2:$B$579,$B64)</f>
        <v>2</v>
      </c>
      <c r="P64" s="3" t="n">
        <f aca="false">SUMIFS('Por foco'!$R$2:$R$579,'Por foco'!$A$2:$A$579,$A64,'Por foco'!$B$2:$B$579,$B64)</f>
        <v>4</v>
      </c>
      <c r="Q64" s="3" t="n">
        <f aca="false">SUMIFS('Por foco'!$S$2:$S$579,'Por foco'!$A$2:$A$579,$A64,'Por foco'!$B$2:$B$579,$B64)</f>
        <v>0</v>
      </c>
      <c r="R64" s="3" t="n">
        <f aca="false">SUMIFS('Por foco'!$T$2:$T$579,'Por foco'!$A$2:$A$579,$A64,'Por foco'!$B$2:$B$579,$B64)</f>
        <v>0</v>
      </c>
      <c r="S64" s="3" t="n">
        <f aca="false">SUMIFS('Por foco'!$U$2:$U$579,'Por foco'!$A$2:$A$579,$A64,'Por foco'!$B$2:$B$579,$B64)</f>
        <v>0</v>
      </c>
      <c r="T64" s="3" t="n">
        <f aca="false">SUMIFS('Por foco'!$V$2:$V$579,'Por foco'!$A$2:$A$579,$A64,'Por foco'!$B$2:$B$579,$B64)</f>
        <v>0</v>
      </c>
      <c r="U64" s="3" t="n">
        <f aca="false">SUMIFS('Por foco'!$W$2:$W$579,'Por foco'!$A$2:$A$579,$A64,'Por foco'!$B$2:$B$579,$B64)</f>
        <v>0</v>
      </c>
      <c r="V64" s="3" t="n">
        <f aca="false">SUMIFS('Por foco'!$X$2:$X$579,'Por foco'!$A$2:$A$579,$A64,'Por foco'!$B$2:$B$579,$B64)</f>
        <v>0</v>
      </c>
      <c r="W64" s="3" t="n">
        <f aca="false">SUMIFS('Por foco'!$Y$2:$Y$579,'Por foco'!$A$2:$A$579,$A64,'Por foco'!$B$2:$B$579,$B64)</f>
        <v>0</v>
      </c>
      <c r="X64" s="3" t="n">
        <f aca="false">SUMIFS('Por foco'!$Z$2:$Z$579,'Por foco'!$A$2:$A$579,$A64,'Por foco'!$B$2:$B$579,$B64)</f>
        <v>0</v>
      </c>
      <c r="Y64" s="3" t="n">
        <f aca="false">SUMIFS('Por foco'!$AA$2:$AA$579,'Por foco'!$A$2:$A$579,$A64,'Por foco'!$B$2:$B$579,$B64)</f>
        <v>0.1</v>
      </c>
      <c r="Z64" s="3" t="n">
        <f aca="false">SUMIFS('Por foco'!$AB$2:$AB$579,'Por foco'!$A$2:$A$579,$A64,'Por foco'!$B$2:$B$579,$B64)</f>
        <v>15</v>
      </c>
      <c r="AA64" s="3" t="n">
        <f aca="false">SUMIFS('Por foco'!$AC$2:$AC$579,'Por foco'!$A$2:$A$579,$A64,'Por foco'!$B$2:$B$579,$B64)</f>
        <v>0</v>
      </c>
      <c r="AB64" s="3" t="n">
        <f aca="false">SUMIFS('Por foco'!$AD$2:$AD$579,'Por foco'!$A$2:$A$579,$A64,'Por foco'!$B$2:$B$579,$B64)</f>
        <v>0</v>
      </c>
      <c r="AC64" s="3" t="n">
        <f aca="false">SUMIFS('Por foco'!$AE$2:$AE$579,'Por foco'!$A$2:$A$579,$A64,'Por foco'!$B$2:$B$579,$B64)</f>
        <v>0</v>
      </c>
      <c r="AD64" s="3" t="n">
        <f aca="false">SUMIFS('Por foco'!$AF$2:$AF$579,'Por foco'!$A$2:$A$579,$A64,'Por foco'!$B$2:$B$579,$B64)</f>
        <v>0</v>
      </c>
      <c r="AE64" s="3" t="n">
        <f aca="false">SUMIFS('Por foco'!$AG$2:$AG$579,'Por foco'!$A$2:$A$579,$A64,'Por foco'!$B$2:$B$579,$B64)</f>
        <v>-10</v>
      </c>
      <c r="AF64" s="3" t="n">
        <f aca="false">SUMIFS('Por foco'!$AH$2:$AH$579,'Por foco'!$A$2:$A$579,$A64,'Por foco'!$B$2:$B$579,$B64)</f>
        <v>0</v>
      </c>
      <c r="AG64" s="3" t="n">
        <f aca="false">SUMIFS('Por foco'!$AI$2:$AI$579,'Por foco'!$A$2:$A$579,$A64,'Por foco'!$B$2:$B$579,$B64)</f>
        <v>0</v>
      </c>
      <c r="AH64" s="3" t="n">
        <f aca="false">SUMIFS('Por foco'!$AJ$2:$AJ$579,'Por foco'!$A$2:$A$579,$A64,'Por foco'!$B$2:$B$579,$B64)</f>
        <v>0</v>
      </c>
      <c r="AI64" s="3" t="n">
        <f aca="false">SUMIFS('Por foco'!$AK$2:$AK$579,'Por foco'!$A$2:$A$579,$A64,'Por foco'!$B$2:$B$579,$B64)</f>
        <v>0</v>
      </c>
      <c r="AJ64" s="3" t="n">
        <f aca="false">SUMIFS('Por foco'!$AL$2:$AL$579,'Por foco'!$A$2:$A$579,$A64,'Por foco'!$B$2:$B$579,$B64)</f>
        <v>0</v>
      </c>
      <c r="AK64" s="3" t="n">
        <f aca="false">SUMIFS('Por foco'!$AM$2:$AM$579,'Por foco'!$A$2:$A$579,$A64,'Por foco'!$B$2:$B$579,$B64)</f>
        <v>0</v>
      </c>
      <c r="AL64" s="3" t="n">
        <f aca="false">SUMIFS('Por foco'!$AN$2:$AN$579,'Por foco'!$A$2:$A$579,$A64,'Por foco'!$B$2:$B$579,$B64)</f>
        <v>0</v>
      </c>
      <c r="AM64" s="3" t="n">
        <f aca="false">SUMIFS('Por foco'!$AO$2:$AO$579,'Por foco'!$A$2:$A$579,$A64,'Por foco'!$B$2:$B$579,$B64)</f>
        <v>0</v>
      </c>
      <c r="AN64" s="3" t="n">
        <f aca="false">SUMIFS('Por foco'!$AP$2:$AP$579,'Por foco'!$A$2:$A$579,$A64,'Por foco'!$B$2:$B$579,$B64)</f>
        <v>10</v>
      </c>
      <c r="AO64" s="3" t="n">
        <f aca="false">SUMIFS('Por foco'!$AQ$2:$AQ$579,'Por foco'!$A$2:$A$579,$A64,'Por foco'!$B$2:$B$579,$B64)</f>
        <v>0</v>
      </c>
      <c r="AP64" s="3" t="n">
        <f aca="false">SUMIFS('Por foco'!$AR$2:$AR$579,'Por foco'!$A$2:$A$579,$A64,'Por foco'!$B$2:$B$579,$B64)</f>
        <v>15</v>
      </c>
      <c r="AQ64" s="3" t="n">
        <f aca="false">SUMIFS('Por foco'!$AS$2:$AS$579,'Por foco'!$A$2:$A$579,$A64,'Por foco'!$B$2:$B$579,$B64)</f>
        <v>0</v>
      </c>
      <c r="AR64" s="3" t="n">
        <f aca="false">SUMIFS('Por foco'!$AT$2:$AT$579,'Por foco'!$A$2:$A$579,$A64,'Por foco'!$B$2:$B$579,$B64)</f>
        <v>0</v>
      </c>
      <c r="AS64" s="3" t="n">
        <f aca="false">SUMIFS('Por foco'!$AU$2:$AU$579,'Por foco'!$A$2:$A$579,$A64,'Por foco'!$B$2:$B$579,$B64)</f>
        <v>0</v>
      </c>
      <c r="AT64" s="3" t="n">
        <f aca="false">SUMIFS('Por foco'!$AV$2:$AV$579,'Por foco'!$A$2:$A$579,$A64,'Por foco'!$B$2:$B$579,$B64)</f>
        <v>0</v>
      </c>
      <c r="AU64" s="3" t="n">
        <f aca="false">SUMIFS('Por foco'!$AW$2:$AW$579,'Por foco'!$A$2:$A$579,$A64,'Por foco'!$B$2:$B$579,$B64)</f>
        <v>0</v>
      </c>
      <c r="AV64" s="3" t="n">
        <f aca="false">SUMIFS('Por foco'!$AX$2:$AX$579,'Por foco'!$A$2:$A$579,$A64,'Por foco'!$B$2:$B$579,$B64)</f>
        <v>0</v>
      </c>
      <c r="AW64" s="3" t="n">
        <f aca="false">SUMIFS('Por foco'!$AY$2:$AY$579,'Por foco'!$A$2:$A$579,$A64,'Por foco'!$B$2:$B$579,$B64)</f>
        <v>0</v>
      </c>
      <c r="AX64" s="3" t="n">
        <f aca="false">SUMIFS('Por foco'!$AZ$2:$AZ$579,'Por foco'!$A$2:$A$579,$A64,'Por foco'!$B$2:$B$579,$B64)</f>
        <v>0</v>
      </c>
      <c r="AY64" s="3" t="n">
        <f aca="false">SUMIFS('Por foco'!$BA$2:$BA$579,'Por foco'!$A$2:$A$579,$A64,'Por foco'!$B$2:$B$579,$B64)</f>
        <v>0</v>
      </c>
      <c r="AZ64" s="3" t="n">
        <f aca="false">SUMIFS('Por foco'!$BB$2:$BB$579,'Por foco'!$A$2:$A$579,$A64,'Por foco'!$B$2:$B$579,$B64)</f>
        <v>0</v>
      </c>
      <c r="BA64" s="3" t="n">
        <f aca="false">SUMIFS('Por foco'!$BC$2:$BC$579,'Por foco'!$A$2:$A$579,$A64,'Por foco'!$B$2:$B$579,$B64)</f>
        <v>0</v>
      </c>
      <c r="BB64" s="3" t="n">
        <f aca="false">SUMIFS('Por foco'!$BD$2:$BD$579,'Por foco'!$A$2:$A$579,$A64,'Por foco'!$B$2:$B$579,$B64)</f>
        <v>0</v>
      </c>
      <c r="BC64" s="3" t="n">
        <f aca="false">SUMIFS('Por foco'!$BE$2:$BE$579,'Por foco'!$A$2:$A$579,$A64,'Por foco'!$B$2:$B$579,$B64)</f>
        <v>0</v>
      </c>
      <c r="BD64" s="3" t="n">
        <f aca="false">SUMIFS('Por foco'!$BF$2:$BF$579,'Por foco'!$A$2:$A$579,$A64,'Por foco'!$B$2:$B$579,$B64)</f>
        <v>0</v>
      </c>
      <c r="BE64" s="3" t="n">
        <f aca="false">SUMIFS('Por foco'!$BG$2:$BG$579,'Por foco'!$A$2:$A$579,$A64,'Por foco'!$B$2:$B$579,$B64)</f>
        <v>0</v>
      </c>
    </row>
    <row r="65" customFormat="false" ht="15" hidden="false" customHeight="false" outlineLevel="0" collapsed="false">
      <c r="A65" s="3" t="s">
        <v>66</v>
      </c>
      <c r="B65" s="3" t="s">
        <v>135</v>
      </c>
      <c r="C65" s="3" t="n">
        <f aca="false">COUNTIFS('Por foco'!$A$2:$A$579,$A65,'Por foco'!$B$2:$B$579,$B65)</f>
        <v>6</v>
      </c>
      <c r="D65" s="6" t="n">
        <f aca="false">SUMIFS('Por foco'!$F$2:$F$579,'Por foco'!$A$2:$A$579,$A65,'Por foco'!$B$2:$B$579,$B65)</f>
        <v>1590</v>
      </c>
      <c r="E65" s="3" t="n">
        <f aca="false">IF(C65=0,0,SUMIFS('Por foco'!$E$2:$E$579,'Por foco'!$A$2:$A$579,$A65,'Por foco'!$B$2:$B$579,$B65)/C65)</f>
        <v>0.5</v>
      </c>
      <c r="F65" s="3" t="n">
        <f aca="false">SUMIFS('Por foco'!$H$2:$H$579,'Por foco'!$A$2:$A$579,$A65,'Por foco'!$B$2:$B$579,$B65)</f>
        <v>420</v>
      </c>
      <c r="G65" s="3" t="n">
        <f aca="false">SUMIFS('Por foco'!$I$2:$I$579,'Por foco'!$A$2:$A$579,$A65,'Por foco'!$B$2:$B$579,$B65)</f>
        <v>0</v>
      </c>
      <c r="H65" s="3" t="n">
        <f aca="false">SUMIFS('Por foco'!$J$2:$J$579,'Por foco'!$A$2:$A$579,$A65,'Por foco'!$B$2:$B$579,$B65)</f>
        <v>0</v>
      </c>
      <c r="I65" s="3" t="n">
        <f aca="false">SUMIFS('Por foco'!$K$2:$K$579,'Por foco'!$A$2:$A$579,$A65,'Por foco'!$B$2:$B$579,$B65)</f>
        <v>0</v>
      </c>
      <c r="J65" s="3" t="n">
        <f aca="false">SUMIFS('Por foco'!$L$2:$L$579,'Por foco'!$A$2:$A$579,$A65,'Por foco'!$B$2:$B$579,$B65)</f>
        <v>0</v>
      </c>
      <c r="K65" s="3" t="n">
        <f aca="false">SUMIFS('Por foco'!$M$2:$M$579,'Por foco'!$A$2:$A$579,$A65,'Por foco'!$B$2:$B$579,$B65)</f>
        <v>0</v>
      </c>
      <c r="L65" s="3" t="n">
        <f aca="false">SUMIFS('Por foco'!$N$2:$N$579,'Por foco'!$A$2:$A$579,$A65,'Por foco'!$B$2:$B$579,$B65)</f>
        <v>0</v>
      </c>
      <c r="M65" s="3" t="n">
        <f aca="false">SUMIFS('Por foco'!$O$2:$O$579,'Por foco'!$A$2:$A$579,$A65,'Por foco'!$B$2:$B$579,$B65)</f>
        <v>0</v>
      </c>
      <c r="N65" s="3" t="n">
        <f aca="false">SUMIFS('Por foco'!$P$2:$P$579,'Por foco'!$A$2:$A$579,$A65,'Por foco'!$B$2:$B$579,$B65)</f>
        <v>0</v>
      </c>
      <c r="O65" s="3" t="n">
        <f aca="false">SUMIFS('Por foco'!$Q$2:$Q$579,'Por foco'!$A$2:$A$579,$A65,'Por foco'!$B$2:$B$579,$B65)</f>
        <v>2</v>
      </c>
      <c r="P65" s="3" t="n">
        <f aca="false">SUMIFS('Por foco'!$R$2:$R$579,'Por foco'!$A$2:$A$579,$A65,'Por foco'!$B$2:$B$579,$B65)</f>
        <v>4</v>
      </c>
      <c r="Q65" s="3" t="n">
        <f aca="false">SUMIFS('Por foco'!$S$2:$S$579,'Por foco'!$A$2:$A$579,$A65,'Por foco'!$B$2:$B$579,$B65)</f>
        <v>0</v>
      </c>
      <c r="R65" s="3" t="n">
        <f aca="false">SUMIFS('Por foco'!$T$2:$T$579,'Por foco'!$A$2:$A$579,$A65,'Por foco'!$B$2:$B$579,$B65)</f>
        <v>1</v>
      </c>
      <c r="S65" s="3" t="n">
        <f aca="false">SUMIFS('Por foco'!$U$2:$U$579,'Por foco'!$A$2:$A$579,$A65,'Por foco'!$B$2:$B$579,$B65)</f>
        <v>3</v>
      </c>
      <c r="T65" s="3" t="n">
        <f aca="false">SUMIFS('Por foco'!$V$2:$V$579,'Por foco'!$A$2:$A$579,$A65,'Por foco'!$B$2:$B$579,$B65)</f>
        <v>0</v>
      </c>
      <c r="U65" s="3" t="n">
        <f aca="false">SUMIFS('Por foco'!$W$2:$W$579,'Por foco'!$A$2:$A$579,$A65,'Por foco'!$B$2:$B$579,$B65)</f>
        <v>0</v>
      </c>
      <c r="V65" s="3" t="n">
        <f aca="false">SUMIFS('Por foco'!$X$2:$X$579,'Por foco'!$A$2:$A$579,$A65,'Por foco'!$B$2:$B$579,$B65)</f>
        <v>0</v>
      </c>
      <c r="W65" s="3" t="n">
        <f aca="false">SUMIFS('Por foco'!$Y$2:$Y$579,'Por foco'!$A$2:$A$579,$A65,'Por foco'!$B$2:$B$579,$B65)</f>
        <v>0</v>
      </c>
      <c r="X65" s="3" t="n">
        <f aca="false">SUMIFS('Por foco'!$Z$2:$Z$579,'Por foco'!$A$2:$A$579,$A65,'Por foco'!$B$2:$B$579,$B65)</f>
        <v>0</v>
      </c>
      <c r="Y65" s="3" t="n">
        <f aca="false">SUMIFS('Por foco'!$AA$2:$AA$579,'Por foco'!$A$2:$A$579,$A65,'Por foco'!$B$2:$B$579,$B65)</f>
        <v>0</v>
      </c>
      <c r="Z65" s="3" t="n">
        <f aca="false">SUMIFS('Por foco'!$AB$2:$AB$579,'Por foco'!$A$2:$A$579,$A65,'Por foco'!$B$2:$B$579,$B65)</f>
        <v>-10</v>
      </c>
      <c r="AA65" s="3" t="n">
        <f aca="false">SUMIFS('Por foco'!$AC$2:$AC$579,'Por foco'!$A$2:$A$579,$A65,'Por foco'!$B$2:$B$579,$B65)</f>
        <v>0</v>
      </c>
      <c r="AB65" s="3" t="n">
        <f aca="false">SUMIFS('Por foco'!$AD$2:$AD$579,'Por foco'!$A$2:$A$579,$A65,'Por foco'!$B$2:$B$579,$B65)</f>
        <v>0</v>
      </c>
      <c r="AC65" s="3" t="n">
        <f aca="false">SUMIFS('Por foco'!$AE$2:$AE$579,'Por foco'!$A$2:$A$579,$A65,'Por foco'!$B$2:$B$579,$B65)</f>
        <v>10</v>
      </c>
      <c r="AD65" s="3" t="n">
        <f aca="false">SUMIFS('Por foco'!$AF$2:$AF$579,'Por foco'!$A$2:$A$579,$A65,'Por foco'!$B$2:$B$579,$B65)</f>
        <v>0</v>
      </c>
      <c r="AE65" s="3" t="n">
        <f aca="false">SUMIFS('Por foco'!$AG$2:$AG$579,'Por foco'!$A$2:$A$579,$A65,'Por foco'!$B$2:$B$579,$B65)</f>
        <v>15</v>
      </c>
      <c r="AF65" s="3" t="n">
        <f aca="false">SUMIFS('Por foco'!$AH$2:$AH$579,'Por foco'!$A$2:$A$579,$A65,'Por foco'!$B$2:$B$579,$B65)</f>
        <v>0</v>
      </c>
      <c r="AG65" s="3" t="n">
        <f aca="false">SUMIFS('Por foco'!$AI$2:$AI$579,'Por foco'!$A$2:$A$579,$A65,'Por foco'!$B$2:$B$579,$B65)</f>
        <v>35</v>
      </c>
      <c r="AH65" s="3" t="n">
        <f aca="false">SUMIFS('Por foco'!$AJ$2:$AJ$579,'Por foco'!$A$2:$A$579,$A65,'Por foco'!$B$2:$B$579,$B65)</f>
        <v>0</v>
      </c>
      <c r="AI65" s="3" t="n">
        <f aca="false">SUMIFS('Por foco'!$AK$2:$AK$579,'Por foco'!$A$2:$A$579,$A65,'Por foco'!$B$2:$B$579,$B65)</f>
        <v>0</v>
      </c>
      <c r="AJ65" s="3" t="n">
        <f aca="false">SUMIFS('Por foco'!$AL$2:$AL$579,'Por foco'!$A$2:$A$579,$A65,'Por foco'!$B$2:$B$579,$B65)</f>
        <v>5</v>
      </c>
      <c r="AK65" s="3" t="n">
        <f aca="false">SUMIFS('Por foco'!$AM$2:$AM$579,'Por foco'!$A$2:$A$579,$A65,'Por foco'!$B$2:$B$579,$B65)</f>
        <v>30</v>
      </c>
      <c r="AL65" s="3" t="n">
        <f aca="false">SUMIFS('Por foco'!$AN$2:$AN$579,'Por foco'!$A$2:$A$579,$A65,'Por foco'!$B$2:$B$579,$B65)</f>
        <v>0</v>
      </c>
      <c r="AM65" s="3" t="n">
        <f aca="false">SUMIFS('Por foco'!$AO$2:$AO$579,'Por foco'!$A$2:$A$579,$A65,'Por foco'!$B$2:$B$579,$B65)</f>
        <v>0</v>
      </c>
      <c r="AN65" s="3" t="n">
        <f aca="false">SUMIFS('Por foco'!$AP$2:$AP$579,'Por foco'!$A$2:$A$579,$A65,'Por foco'!$B$2:$B$579,$B65)</f>
        <v>0</v>
      </c>
      <c r="AO65" s="3" t="n">
        <f aca="false">SUMIFS('Por foco'!$AQ$2:$AQ$579,'Por foco'!$A$2:$A$579,$A65,'Por foco'!$B$2:$B$579,$B65)</f>
        <v>0</v>
      </c>
      <c r="AP65" s="3" t="n">
        <f aca="false">SUMIFS('Por foco'!$AR$2:$AR$579,'Por foco'!$A$2:$A$579,$A65,'Por foco'!$B$2:$B$579,$B65)</f>
        <v>0</v>
      </c>
      <c r="AQ65" s="3" t="n">
        <f aca="false">SUMIFS('Por foco'!$AS$2:$AS$579,'Por foco'!$A$2:$A$579,$A65,'Por foco'!$B$2:$B$579,$B65)</f>
        <v>0</v>
      </c>
      <c r="AR65" s="3" t="n">
        <f aca="false">SUMIFS('Por foco'!$AT$2:$AT$579,'Por foco'!$A$2:$A$579,$A65,'Por foco'!$B$2:$B$579,$B65)</f>
        <v>0</v>
      </c>
      <c r="AS65" s="3" t="n">
        <f aca="false">SUMIFS('Por foco'!$AU$2:$AU$579,'Por foco'!$A$2:$A$579,$A65,'Por foco'!$B$2:$B$579,$B65)</f>
        <v>0</v>
      </c>
      <c r="AT65" s="3" t="n">
        <f aca="false">SUMIFS('Por foco'!$AV$2:$AV$579,'Por foco'!$A$2:$A$579,$A65,'Por foco'!$B$2:$B$579,$B65)</f>
        <v>0</v>
      </c>
      <c r="AU65" s="3" t="n">
        <f aca="false">SUMIFS('Por foco'!$AW$2:$AW$579,'Por foco'!$A$2:$A$579,$A65,'Por foco'!$B$2:$B$579,$B65)</f>
        <v>0</v>
      </c>
      <c r="AV65" s="3" t="n">
        <f aca="false">SUMIFS('Por foco'!$AX$2:$AX$579,'Por foco'!$A$2:$A$579,$A65,'Por foco'!$B$2:$B$579,$B65)</f>
        <v>0</v>
      </c>
      <c r="AW65" s="3" t="n">
        <f aca="false">SUMIFS('Por foco'!$AY$2:$AY$579,'Por foco'!$A$2:$A$579,$A65,'Por foco'!$B$2:$B$579,$B65)</f>
        <v>0</v>
      </c>
      <c r="AX65" s="3" t="n">
        <f aca="false">SUMIFS('Por foco'!$AZ$2:$AZ$579,'Por foco'!$A$2:$A$579,$A65,'Por foco'!$B$2:$B$579,$B65)</f>
        <v>0</v>
      </c>
      <c r="AY65" s="3" t="n">
        <f aca="false">SUMIFS('Por foco'!$BA$2:$BA$579,'Por foco'!$A$2:$A$579,$A65,'Por foco'!$B$2:$B$579,$B65)</f>
        <v>0</v>
      </c>
      <c r="AZ65" s="3" t="n">
        <f aca="false">SUMIFS('Por foco'!$BB$2:$BB$579,'Por foco'!$A$2:$A$579,$A65,'Por foco'!$B$2:$B$579,$B65)</f>
        <v>0</v>
      </c>
      <c r="BA65" s="3" t="n">
        <f aca="false">SUMIFS('Por foco'!$BC$2:$BC$579,'Por foco'!$A$2:$A$579,$A65,'Por foco'!$B$2:$B$579,$B65)</f>
        <v>0</v>
      </c>
      <c r="BB65" s="3" t="n">
        <f aca="false">SUMIFS('Por foco'!$BD$2:$BD$579,'Por foco'!$A$2:$A$579,$A65,'Por foco'!$B$2:$B$579,$B65)</f>
        <v>0</v>
      </c>
      <c r="BC65" s="3" t="n">
        <f aca="false">SUMIFS('Por foco'!$BE$2:$BE$579,'Por foco'!$A$2:$A$579,$A65,'Por foco'!$B$2:$B$579,$B65)</f>
        <v>0</v>
      </c>
      <c r="BD65" s="3" t="n">
        <f aca="false">SUMIFS('Por foco'!$BF$2:$BF$579,'Por foco'!$A$2:$A$579,$A65,'Por foco'!$B$2:$B$579,$B65)</f>
        <v>0</v>
      </c>
      <c r="BE65" s="3" t="n">
        <f aca="false">SUMIFS('Por foco'!$BG$2:$BG$579,'Por foco'!$A$2:$A$579,$A65,'Por foco'!$B$2:$B$579,$B65)</f>
        <v>0</v>
      </c>
    </row>
    <row r="66" customFormat="false" ht="15" hidden="false" customHeight="false" outlineLevel="0" collapsed="false">
      <c r="A66" s="3" t="s">
        <v>66</v>
      </c>
      <c r="B66" s="3" t="s">
        <v>136</v>
      </c>
      <c r="C66" s="3" t="n">
        <f aca="false">COUNTIFS('Por foco'!$A$2:$A$579,$A66,'Por foco'!$B$2:$B$579,$B66)</f>
        <v>6</v>
      </c>
      <c r="D66" s="6" t="n">
        <f aca="false">SUMIFS('Por foco'!$F$2:$F$579,'Por foco'!$A$2:$A$579,$A66,'Por foco'!$B$2:$B$579,$B66)</f>
        <v>1845</v>
      </c>
      <c r="E66" s="3" t="n">
        <f aca="false">IF(C66=0,0,SUMIFS('Por foco'!$E$2:$E$579,'Por foco'!$A$2:$A$579,$A66,'Por foco'!$B$2:$B$579,$B66)/C66)</f>
        <v>1</v>
      </c>
      <c r="F66" s="3" t="n">
        <f aca="false">SUMIFS('Por foco'!$H$2:$H$579,'Por foco'!$A$2:$A$579,$A66,'Por foco'!$B$2:$B$579,$B66)</f>
        <v>385</v>
      </c>
      <c r="G66" s="3" t="n">
        <f aca="false">SUMIFS('Por foco'!$I$2:$I$579,'Por foco'!$A$2:$A$579,$A66,'Por foco'!$B$2:$B$579,$B66)</f>
        <v>0</v>
      </c>
      <c r="H66" s="3" t="n">
        <f aca="false">SUMIFS('Por foco'!$J$2:$J$579,'Por foco'!$A$2:$A$579,$A66,'Por foco'!$B$2:$B$579,$B66)</f>
        <v>0</v>
      </c>
      <c r="I66" s="3" t="n">
        <f aca="false">SUMIFS('Por foco'!$K$2:$K$579,'Por foco'!$A$2:$A$579,$A66,'Por foco'!$B$2:$B$579,$B66)</f>
        <v>0</v>
      </c>
      <c r="J66" s="3" t="n">
        <f aca="false">SUMIFS('Por foco'!$L$2:$L$579,'Por foco'!$A$2:$A$579,$A66,'Por foco'!$B$2:$B$579,$B66)</f>
        <v>0</v>
      </c>
      <c r="K66" s="3" t="n">
        <f aca="false">SUMIFS('Por foco'!$M$2:$M$579,'Por foco'!$A$2:$A$579,$A66,'Por foco'!$B$2:$B$579,$B66)</f>
        <v>0</v>
      </c>
      <c r="L66" s="3" t="n">
        <f aca="false">SUMIFS('Por foco'!$N$2:$N$579,'Por foco'!$A$2:$A$579,$A66,'Por foco'!$B$2:$B$579,$B66)</f>
        <v>0</v>
      </c>
      <c r="M66" s="3" t="n">
        <f aca="false">SUMIFS('Por foco'!$O$2:$O$579,'Por foco'!$A$2:$A$579,$A66,'Por foco'!$B$2:$B$579,$B66)</f>
        <v>0</v>
      </c>
      <c r="N66" s="3" t="n">
        <f aca="false">SUMIFS('Por foco'!$P$2:$P$579,'Por foco'!$A$2:$A$579,$A66,'Por foco'!$B$2:$B$579,$B66)</f>
        <v>1</v>
      </c>
      <c r="O66" s="3" t="n">
        <f aca="false">SUMIFS('Por foco'!$Q$2:$Q$579,'Por foco'!$A$2:$A$579,$A66,'Por foco'!$B$2:$B$579,$B66)</f>
        <v>1</v>
      </c>
      <c r="P66" s="3" t="n">
        <f aca="false">SUMIFS('Por foco'!$R$2:$R$579,'Por foco'!$A$2:$A$579,$A66,'Por foco'!$B$2:$B$579,$B66)</f>
        <v>7</v>
      </c>
      <c r="Q66" s="3" t="n">
        <f aca="false">SUMIFS('Por foco'!$S$2:$S$579,'Por foco'!$A$2:$A$579,$A66,'Por foco'!$B$2:$B$579,$B66)</f>
        <v>2</v>
      </c>
      <c r="R66" s="3" t="n">
        <f aca="false">SUMIFS('Por foco'!$T$2:$T$579,'Por foco'!$A$2:$A$579,$A66,'Por foco'!$B$2:$B$579,$B66)</f>
        <v>2</v>
      </c>
      <c r="S66" s="3" t="n">
        <f aca="false">SUMIFS('Por foco'!$U$2:$U$579,'Por foco'!$A$2:$A$579,$A66,'Por foco'!$B$2:$B$579,$B66)</f>
        <v>1</v>
      </c>
      <c r="T66" s="3" t="n">
        <f aca="false">SUMIFS('Por foco'!$V$2:$V$579,'Por foco'!$A$2:$A$579,$A66,'Por foco'!$B$2:$B$579,$B66)</f>
        <v>0</v>
      </c>
      <c r="U66" s="3" t="n">
        <f aca="false">SUMIFS('Por foco'!$W$2:$W$579,'Por foco'!$A$2:$A$579,$A66,'Por foco'!$B$2:$B$579,$B66)</f>
        <v>0</v>
      </c>
      <c r="V66" s="3" t="n">
        <f aca="false">SUMIFS('Por foco'!$X$2:$X$579,'Por foco'!$A$2:$A$579,$A66,'Por foco'!$B$2:$B$579,$B66)</f>
        <v>0</v>
      </c>
      <c r="W66" s="3" t="n">
        <f aca="false">SUMIFS('Por foco'!$Y$2:$Y$579,'Por foco'!$A$2:$A$579,$A66,'Por foco'!$B$2:$B$579,$B66)</f>
        <v>0</v>
      </c>
      <c r="X66" s="3" t="n">
        <f aca="false">SUMIFS('Por foco'!$Z$2:$Z$579,'Por foco'!$A$2:$A$579,$A66,'Por foco'!$B$2:$B$579,$B66)</f>
        <v>0</v>
      </c>
      <c r="Y66" s="3" t="n">
        <f aca="false">SUMIFS('Por foco'!$AA$2:$AA$579,'Por foco'!$A$2:$A$579,$A66,'Por foco'!$B$2:$B$579,$B66)</f>
        <v>0</v>
      </c>
      <c r="Z66" s="3" t="n">
        <f aca="false">SUMIFS('Por foco'!$AB$2:$AB$579,'Por foco'!$A$2:$A$579,$A66,'Por foco'!$B$2:$B$579,$B66)</f>
        <v>0</v>
      </c>
      <c r="AA66" s="3" t="n">
        <f aca="false">SUMIFS('Por foco'!$AC$2:$AC$579,'Por foco'!$A$2:$A$579,$A66,'Por foco'!$B$2:$B$579,$B66)</f>
        <v>0</v>
      </c>
      <c r="AB66" s="3" t="n">
        <f aca="false">SUMIFS('Por foco'!$AD$2:$AD$579,'Por foco'!$A$2:$A$579,$A66,'Por foco'!$B$2:$B$579,$B66)</f>
        <v>0</v>
      </c>
      <c r="AC66" s="3" t="n">
        <f aca="false">SUMIFS('Por foco'!$AE$2:$AE$579,'Por foco'!$A$2:$A$579,$A66,'Por foco'!$B$2:$B$579,$B66)</f>
        <v>0</v>
      </c>
      <c r="AD66" s="3" t="n">
        <f aca="false">SUMIFS('Por foco'!$AF$2:$AF$579,'Por foco'!$A$2:$A$579,$A66,'Por foco'!$B$2:$B$579,$B66)</f>
        <v>0</v>
      </c>
      <c r="AE66" s="3" t="n">
        <f aca="false">SUMIFS('Por foco'!$AG$2:$AG$579,'Por foco'!$A$2:$A$579,$A66,'Por foco'!$B$2:$B$579,$B66)</f>
        <v>10</v>
      </c>
      <c r="AF66" s="3" t="n">
        <f aca="false">SUMIFS('Por foco'!$AH$2:$AH$579,'Por foco'!$A$2:$A$579,$A66,'Por foco'!$B$2:$B$579,$B66)</f>
        <v>0</v>
      </c>
      <c r="AG66" s="3" t="n">
        <f aca="false">SUMIFS('Por foco'!$AI$2:$AI$579,'Por foco'!$A$2:$A$579,$A66,'Por foco'!$B$2:$B$579,$B66)</f>
        <v>15</v>
      </c>
      <c r="AH66" s="3" t="n">
        <f aca="false">SUMIFS('Por foco'!$AJ$2:$AJ$579,'Por foco'!$A$2:$A$579,$A66,'Por foco'!$B$2:$B$579,$B66)</f>
        <v>0</v>
      </c>
      <c r="AI66" s="3" t="n">
        <f aca="false">SUMIFS('Por foco'!$AK$2:$AK$579,'Por foco'!$A$2:$A$579,$A66,'Por foco'!$B$2:$B$579,$B66)</f>
        <v>0</v>
      </c>
      <c r="AJ66" s="3" t="n">
        <f aca="false">SUMIFS('Por foco'!$AL$2:$AL$579,'Por foco'!$A$2:$A$579,$A66,'Por foco'!$B$2:$B$579,$B66)</f>
        <v>0</v>
      </c>
      <c r="AK66" s="3" t="n">
        <f aca="false">SUMIFS('Por foco'!$AM$2:$AM$579,'Por foco'!$A$2:$A$579,$A66,'Por foco'!$B$2:$B$579,$B66)</f>
        <v>0</v>
      </c>
      <c r="AL66" s="3" t="n">
        <f aca="false">SUMIFS('Por foco'!$AN$2:$AN$579,'Por foco'!$A$2:$A$579,$A66,'Por foco'!$B$2:$B$579,$B66)</f>
        <v>0</v>
      </c>
      <c r="AM66" s="3" t="n">
        <f aca="false">SUMIFS('Por foco'!$AO$2:$AO$579,'Por foco'!$A$2:$A$579,$A66,'Por foco'!$B$2:$B$579,$B66)</f>
        <v>0</v>
      </c>
      <c r="AN66" s="3" t="n">
        <f aca="false">SUMIFS('Por foco'!$AP$2:$AP$579,'Por foco'!$A$2:$A$579,$A66,'Por foco'!$B$2:$B$579,$B66)</f>
        <v>0</v>
      </c>
      <c r="AO66" s="3" t="n">
        <f aca="false">SUMIFS('Por foco'!$AQ$2:$AQ$579,'Por foco'!$A$2:$A$579,$A66,'Por foco'!$B$2:$B$579,$B66)</f>
        <v>0</v>
      </c>
      <c r="AP66" s="3" t="n">
        <f aca="false">SUMIFS('Por foco'!$AR$2:$AR$579,'Por foco'!$A$2:$A$579,$A66,'Por foco'!$B$2:$B$579,$B66)</f>
        <v>0</v>
      </c>
      <c r="AQ66" s="3" t="n">
        <f aca="false">SUMIFS('Por foco'!$AS$2:$AS$579,'Por foco'!$A$2:$A$579,$A66,'Por foco'!$B$2:$B$579,$B66)</f>
        <v>0</v>
      </c>
      <c r="AR66" s="3" t="n">
        <f aca="false">SUMIFS('Por foco'!$AT$2:$AT$579,'Por foco'!$A$2:$A$579,$A66,'Por foco'!$B$2:$B$579,$B66)</f>
        <v>0</v>
      </c>
      <c r="AS66" s="3" t="n">
        <f aca="false">SUMIFS('Por foco'!$AU$2:$AU$579,'Por foco'!$A$2:$A$579,$A66,'Por foco'!$B$2:$B$579,$B66)</f>
        <v>0</v>
      </c>
      <c r="AT66" s="3" t="n">
        <f aca="false">SUMIFS('Por foco'!$AV$2:$AV$579,'Por foco'!$A$2:$A$579,$A66,'Por foco'!$B$2:$B$579,$B66)</f>
        <v>0</v>
      </c>
      <c r="AU66" s="3" t="n">
        <f aca="false">SUMIFS('Por foco'!$AW$2:$AW$579,'Por foco'!$A$2:$A$579,$A66,'Por foco'!$B$2:$B$579,$B66)</f>
        <v>0</v>
      </c>
      <c r="AV66" s="3" t="n">
        <f aca="false">SUMIFS('Por foco'!$AX$2:$AX$579,'Por foco'!$A$2:$A$579,$A66,'Por foco'!$B$2:$B$579,$B66)</f>
        <v>0</v>
      </c>
      <c r="AW66" s="3" t="n">
        <f aca="false">SUMIFS('Por foco'!$AY$2:$AY$579,'Por foco'!$A$2:$A$579,$A66,'Por foco'!$B$2:$B$579,$B66)</f>
        <v>0</v>
      </c>
      <c r="AX66" s="3" t="n">
        <f aca="false">SUMIFS('Por foco'!$AZ$2:$AZ$579,'Por foco'!$A$2:$A$579,$A66,'Por foco'!$B$2:$B$579,$B66)</f>
        <v>0</v>
      </c>
      <c r="AY66" s="3" t="n">
        <f aca="false">SUMIFS('Por foco'!$BA$2:$BA$579,'Por foco'!$A$2:$A$579,$A66,'Por foco'!$B$2:$B$579,$B66)</f>
        <v>0</v>
      </c>
      <c r="AZ66" s="3" t="n">
        <f aca="false">SUMIFS('Por foco'!$BB$2:$BB$579,'Por foco'!$A$2:$A$579,$A66,'Por foco'!$B$2:$B$579,$B66)</f>
        <v>0</v>
      </c>
      <c r="BA66" s="3" t="n">
        <f aca="false">SUMIFS('Por foco'!$BC$2:$BC$579,'Por foco'!$A$2:$A$579,$A66,'Por foco'!$B$2:$B$579,$B66)</f>
        <v>0</v>
      </c>
      <c r="BB66" s="3" t="n">
        <f aca="false">SUMIFS('Por foco'!$BD$2:$BD$579,'Por foco'!$A$2:$A$579,$A66,'Por foco'!$B$2:$B$579,$B66)</f>
        <v>0</v>
      </c>
      <c r="BC66" s="3" t="n">
        <f aca="false">SUMIFS('Por foco'!$BE$2:$BE$579,'Por foco'!$A$2:$A$579,$A66,'Por foco'!$B$2:$B$579,$B66)</f>
        <v>0</v>
      </c>
      <c r="BD66" s="3" t="n">
        <f aca="false">SUMIFS('Por foco'!$BF$2:$BF$579,'Por foco'!$A$2:$A$579,$A66,'Por foco'!$B$2:$B$579,$B66)</f>
        <v>0</v>
      </c>
      <c r="BE66" s="3" t="n">
        <f aca="false">SUMIFS('Por foco'!$BG$2:$BG$579,'Por foco'!$A$2:$A$579,$A66,'Por foco'!$B$2:$B$579,$B66)</f>
        <v>0</v>
      </c>
    </row>
    <row r="67" customFormat="false" ht="15" hidden="false" customHeight="false" outlineLevel="0" collapsed="false">
      <c r="A67" s="3" t="s">
        <v>66</v>
      </c>
      <c r="B67" s="3" t="s">
        <v>137</v>
      </c>
      <c r="C67" s="3" t="n">
        <f aca="false">COUNTIFS('Por foco'!$A$2:$A$579,$A67,'Por foco'!$B$2:$B$579,$B67)</f>
        <v>6</v>
      </c>
      <c r="D67" s="6" t="n">
        <f aca="false">SUMIFS('Por foco'!$F$2:$F$579,'Por foco'!$A$2:$A$579,$A67,'Por foco'!$B$2:$B$579,$B67)</f>
        <v>700</v>
      </c>
      <c r="E67" s="3" t="n">
        <f aca="false">IF(C67=0,0,SUMIFS('Por foco'!$E$2:$E$579,'Por foco'!$A$2:$A$579,$A67,'Por foco'!$B$2:$B$579,$B67)/C67)</f>
        <v>1</v>
      </c>
      <c r="F67" s="3" t="n">
        <f aca="false">SUMIFS('Por foco'!$H$2:$H$579,'Por foco'!$A$2:$A$579,$A67,'Por foco'!$B$2:$B$579,$B67)</f>
        <v>343</v>
      </c>
      <c r="G67" s="3" t="n">
        <f aca="false">SUMIFS('Por foco'!$I$2:$I$579,'Por foco'!$A$2:$A$579,$A67,'Por foco'!$B$2:$B$579,$B67)</f>
        <v>0</v>
      </c>
      <c r="H67" s="3" t="n">
        <f aca="false">SUMIFS('Por foco'!$J$2:$J$579,'Por foco'!$A$2:$A$579,$A67,'Por foco'!$B$2:$B$579,$B67)</f>
        <v>0</v>
      </c>
      <c r="I67" s="3" t="n">
        <f aca="false">SUMIFS('Por foco'!$K$2:$K$579,'Por foco'!$A$2:$A$579,$A67,'Por foco'!$B$2:$B$579,$B67)</f>
        <v>0</v>
      </c>
      <c r="J67" s="3" t="n">
        <f aca="false">SUMIFS('Por foco'!$L$2:$L$579,'Por foco'!$A$2:$A$579,$A67,'Por foco'!$B$2:$B$579,$B67)</f>
        <v>0</v>
      </c>
      <c r="K67" s="3" t="n">
        <f aca="false">SUMIFS('Por foco'!$M$2:$M$579,'Por foco'!$A$2:$A$579,$A67,'Por foco'!$B$2:$B$579,$B67)</f>
        <v>225</v>
      </c>
      <c r="L67" s="3" t="n">
        <f aca="false">SUMIFS('Por foco'!$N$2:$N$579,'Por foco'!$A$2:$A$579,$A67,'Por foco'!$B$2:$B$579,$B67)</f>
        <v>0</v>
      </c>
      <c r="M67" s="3" t="n">
        <f aca="false">SUMIFS('Por foco'!$O$2:$O$579,'Por foco'!$A$2:$A$579,$A67,'Por foco'!$B$2:$B$579,$B67)</f>
        <v>0</v>
      </c>
      <c r="N67" s="3" t="n">
        <f aca="false">SUMIFS('Por foco'!$P$2:$P$579,'Por foco'!$A$2:$A$579,$A67,'Por foco'!$B$2:$B$579,$B67)</f>
        <v>0</v>
      </c>
      <c r="O67" s="3" t="n">
        <f aca="false">SUMIFS('Por foco'!$Q$2:$Q$579,'Por foco'!$A$2:$A$579,$A67,'Por foco'!$B$2:$B$579,$B67)</f>
        <v>5</v>
      </c>
      <c r="P67" s="3" t="n">
        <f aca="false">SUMIFS('Por foco'!$R$2:$R$579,'Por foco'!$A$2:$A$579,$A67,'Por foco'!$B$2:$B$579,$B67)</f>
        <v>0</v>
      </c>
      <c r="Q67" s="3" t="n">
        <f aca="false">SUMIFS('Por foco'!$S$2:$S$579,'Por foco'!$A$2:$A$579,$A67,'Por foco'!$B$2:$B$579,$B67)</f>
        <v>0</v>
      </c>
      <c r="R67" s="3" t="n">
        <f aca="false">SUMIFS('Por foco'!$T$2:$T$579,'Por foco'!$A$2:$A$579,$A67,'Por foco'!$B$2:$B$579,$B67)</f>
        <v>0</v>
      </c>
      <c r="S67" s="3" t="n">
        <f aca="false">SUMIFS('Por foco'!$U$2:$U$579,'Por foco'!$A$2:$A$579,$A67,'Por foco'!$B$2:$B$579,$B67)</f>
        <v>0</v>
      </c>
      <c r="T67" s="3" t="n">
        <f aca="false">SUMIFS('Por foco'!$V$2:$V$579,'Por foco'!$A$2:$A$579,$A67,'Por foco'!$B$2:$B$579,$B67)</f>
        <v>0</v>
      </c>
      <c r="U67" s="3" t="n">
        <f aca="false">SUMIFS('Por foco'!$W$2:$W$579,'Por foco'!$A$2:$A$579,$A67,'Por foco'!$B$2:$B$579,$B67)</f>
        <v>0</v>
      </c>
      <c r="V67" s="3" t="n">
        <f aca="false">SUMIFS('Por foco'!$X$2:$X$579,'Por foco'!$A$2:$A$579,$A67,'Por foco'!$B$2:$B$579,$B67)</f>
        <v>0</v>
      </c>
      <c r="W67" s="3" t="n">
        <f aca="false">SUMIFS('Por foco'!$Y$2:$Y$579,'Por foco'!$A$2:$A$579,$A67,'Por foco'!$B$2:$B$579,$B67)</f>
        <v>0</v>
      </c>
      <c r="X67" s="3" t="n">
        <f aca="false">SUMIFS('Por foco'!$Z$2:$Z$579,'Por foco'!$A$2:$A$579,$A67,'Por foco'!$B$2:$B$579,$B67)</f>
        <v>0</v>
      </c>
      <c r="Y67" s="3" t="n">
        <f aca="false">SUMIFS('Por foco'!$AA$2:$AA$579,'Por foco'!$A$2:$A$579,$A67,'Por foco'!$B$2:$B$579,$B67)</f>
        <v>0</v>
      </c>
      <c r="Z67" s="3" t="n">
        <f aca="false">SUMIFS('Por foco'!$AB$2:$AB$579,'Por foco'!$A$2:$A$579,$A67,'Por foco'!$B$2:$B$579,$B67)</f>
        <v>0</v>
      </c>
      <c r="AA67" s="3" t="n">
        <f aca="false">SUMIFS('Por foco'!$AC$2:$AC$579,'Por foco'!$A$2:$A$579,$A67,'Por foco'!$B$2:$B$579,$B67)</f>
        <v>0</v>
      </c>
      <c r="AB67" s="3" t="n">
        <f aca="false">SUMIFS('Por foco'!$AD$2:$AD$579,'Por foco'!$A$2:$A$579,$A67,'Por foco'!$B$2:$B$579,$B67)</f>
        <v>0</v>
      </c>
      <c r="AC67" s="3" t="n">
        <f aca="false">SUMIFS('Por foco'!$AE$2:$AE$579,'Por foco'!$A$2:$A$579,$A67,'Por foco'!$B$2:$B$579,$B67)</f>
        <v>0</v>
      </c>
      <c r="AD67" s="3" t="n">
        <f aca="false">SUMIFS('Por foco'!$AF$2:$AF$579,'Por foco'!$A$2:$A$579,$A67,'Por foco'!$B$2:$B$579,$B67)</f>
        <v>0</v>
      </c>
      <c r="AE67" s="3" t="n">
        <f aca="false">SUMIFS('Por foco'!$AG$2:$AG$579,'Por foco'!$A$2:$A$579,$A67,'Por foco'!$B$2:$B$579,$B67)</f>
        <v>0</v>
      </c>
      <c r="AF67" s="3" t="n">
        <f aca="false">SUMIFS('Por foco'!$AH$2:$AH$579,'Por foco'!$A$2:$A$579,$A67,'Por foco'!$B$2:$B$579,$B67)</f>
        <v>0</v>
      </c>
      <c r="AG67" s="3" t="n">
        <f aca="false">SUMIFS('Por foco'!$AI$2:$AI$579,'Por foco'!$A$2:$A$579,$A67,'Por foco'!$B$2:$B$579,$B67)</f>
        <v>0</v>
      </c>
      <c r="AH67" s="3" t="n">
        <f aca="false">SUMIFS('Por foco'!$AJ$2:$AJ$579,'Por foco'!$A$2:$A$579,$A67,'Por foco'!$B$2:$B$579,$B67)</f>
        <v>0</v>
      </c>
      <c r="AI67" s="3" t="n">
        <f aca="false">SUMIFS('Por foco'!$AK$2:$AK$579,'Por foco'!$A$2:$A$579,$A67,'Por foco'!$B$2:$B$579,$B67)</f>
        <v>0</v>
      </c>
      <c r="AJ67" s="3" t="n">
        <f aca="false">SUMIFS('Por foco'!$AL$2:$AL$579,'Por foco'!$A$2:$A$579,$A67,'Por foco'!$B$2:$B$579,$B67)</f>
        <v>0</v>
      </c>
      <c r="AK67" s="3" t="n">
        <f aca="false">SUMIFS('Por foco'!$AM$2:$AM$579,'Por foco'!$A$2:$A$579,$A67,'Por foco'!$B$2:$B$579,$B67)</f>
        <v>0</v>
      </c>
      <c r="AL67" s="3" t="n">
        <f aca="false">SUMIFS('Por foco'!$AN$2:$AN$579,'Por foco'!$A$2:$A$579,$A67,'Por foco'!$B$2:$B$579,$B67)</f>
        <v>0</v>
      </c>
      <c r="AM67" s="3" t="n">
        <f aca="false">SUMIFS('Por foco'!$AO$2:$AO$579,'Por foco'!$A$2:$A$579,$A67,'Por foco'!$B$2:$B$579,$B67)</f>
        <v>0</v>
      </c>
      <c r="AN67" s="3" t="n">
        <f aca="false">SUMIFS('Por foco'!$AP$2:$AP$579,'Por foco'!$A$2:$A$579,$A67,'Por foco'!$B$2:$B$579,$B67)</f>
        <v>0</v>
      </c>
      <c r="AO67" s="3" t="n">
        <f aca="false">SUMIFS('Por foco'!$AQ$2:$AQ$579,'Por foco'!$A$2:$A$579,$A67,'Por foco'!$B$2:$B$579,$B67)</f>
        <v>10</v>
      </c>
      <c r="AP67" s="3" t="n">
        <f aca="false">SUMIFS('Por foco'!$AR$2:$AR$579,'Por foco'!$A$2:$A$579,$A67,'Por foco'!$B$2:$B$579,$B67)</f>
        <v>0</v>
      </c>
      <c r="AQ67" s="3" t="n">
        <f aca="false">SUMIFS('Por foco'!$AS$2:$AS$579,'Por foco'!$A$2:$A$579,$A67,'Por foco'!$B$2:$B$579,$B67)</f>
        <v>20</v>
      </c>
      <c r="AR67" s="3" t="n">
        <f aca="false">SUMIFS('Por foco'!$AT$2:$AT$579,'Por foco'!$A$2:$A$579,$A67,'Por foco'!$B$2:$B$579,$B67)</f>
        <v>0</v>
      </c>
      <c r="AS67" s="3" t="n">
        <f aca="false">SUMIFS('Por foco'!$AU$2:$AU$579,'Por foco'!$A$2:$A$579,$A67,'Por foco'!$B$2:$B$579,$B67)</f>
        <v>0</v>
      </c>
      <c r="AT67" s="3" t="n">
        <f aca="false">SUMIFS('Por foco'!$AV$2:$AV$579,'Por foco'!$A$2:$A$579,$A67,'Por foco'!$B$2:$B$579,$B67)</f>
        <v>0</v>
      </c>
      <c r="AU67" s="3" t="n">
        <f aca="false">SUMIFS('Por foco'!$AW$2:$AW$579,'Por foco'!$A$2:$A$579,$A67,'Por foco'!$B$2:$B$579,$B67)</f>
        <v>0</v>
      </c>
      <c r="AV67" s="3" t="n">
        <f aca="false">SUMIFS('Por foco'!$AX$2:$AX$579,'Por foco'!$A$2:$A$579,$A67,'Por foco'!$B$2:$B$579,$B67)</f>
        <v>0</v>
      </c>
      <c r="AW67" s="3" t="n">
        <f aca="false">SUMIFS('Por foco'!$AY$2:$AY$579,'Por foco'!$A$2:$A$579,$A67,'Por foco'!$B$2:$B$579,$B67)</f>
        <v>0</v>
      </c>
      <c r="AX67" s="3" t="n">
        <f aca="false">SUMIFS('Por foco'!$AZ$2:$AZ$579,'Por foco'!$A$2:$A$579,$A67,'Por foco'!$B$2:$B$579,$B67)</f>
        <v>0</v>
      </c>
      <c r="AY67" s="3" t="n">
        <f aca="false">SUMIFS('Por foco'!$BA$2:$BA$579,'Por foco'!$A$2:$A$579,$A67,'Por foco'!$B$2:$B$579,$B67)</f>
        <v>0</v>
      </c>
      <c r="AZ67" s="3" t="n">
        <f aca="false">SUMIFS('Por foco'!$BB$2:$BB$579,'Por foco'!$A$2:$A$579,$A67,'Por foco'!$B$2:$B$579,$B67)</f>
        <v>0</v>
      </c>
      <c r="BA67" s="3" t="n">
        <f aca="false">SUMIFS('Por foco'!$BC$2:$BC$579,'Por foco'!$A$2:$A$579,$A67,'Por foco'!$B$2:$B$579,$B67)</f>
        <v>0</v>
      </c>
      <c r="BB67" s="3" t="n">
        <f aca="false">SUMIFS('Por foco'!$BD$2:$BD$579,'Por foco'!$A$2:$A$579,$A67,'Por foco'!$B$2:$B$579,$B67)</f>
        <v>0</v>
      </c>
      <c r="BC67" s="3" t="n">
        <f aca="false">SUMIFS('Por foco'!$BE$2:$BE$579,'Por foco'!$A$2:$A$579,$A67,'Por foco'!$B$2:$B$579,$B67)</f>
        <v>0</v>
      </c>
      <c r="BD67" s="3" t="n">
        <f aca="false">SUMIFS('Por foco'!$BF$2:$BF$579,'Por foco'!$A$2:$A$579,$A67,'Por foco'!$B$2:$B$579,$B67)</f>
        <v>0</v>
      </c>
      <c r="BE67" s="3" t="n">
        <f aca="false">SUMIFS('Por foco'!$BG$2:$BG$579,'Por foco'!$A$2:$A$579,$A67,'Por foco'!$B$2:$B$579,$B67)</f>
        <v>0</v>
      </c>
    </row>
    <row r="68" customFormat="false" ht="15" hidden="false" customHeight="false" outlineLevel="0" collapsed="false">
      <c r="A68" s="3" t="s">
        <v>66</v>
      </c>
      <c r="B68" s="3" t="s">
        <v>138</v>
      </c>
      <c r="C68" s="3" t="n">
        <f aca="false">COUNTIFS('Por foco'!$A$2:$A$579,$A68,'Por foco'!$B$2:$B$579,$B68)</f>
        <v>6</v>
      </c>
      <c r="D68" s="6" t="n">
        <f aca="false">SUMIFS('Por foco'!$F$2:$F$579,'Por foco'!$A$2:$A$579,$A68,'Por foco'!$B$2:$B$579,$B68)</f>
        <v>515</v>
      </c>
      <c r="E68" s="3" t="n">
        <f aca="false">IF(C68=0,0,SUMIFS('Por foco'!$E$2:$E$579,'Por foco'!$A$2:$A$579,$A68,'Por foco'!$B$2:$B$579,$B68)/C68)</f>
        <v>1</v>
      </c>
      <c r="F68" s="3" t="n">
        <f aca="false">SUMIFS('Por foco'!$H$2:$H$579,'Por foco'!$A$2:$A$579,$A68,'Por foco'!$B$2:$B$579,$B68)</f>
        <v>343</v>
      </c>
      <c r="G68" s="3" t="n">
        <f aca="false">SUMIFS('Por foco'!$I$2:$I$579,'Por foco'!$A$2:$A$579,$A68,'Por foco'!$B$2:$B$579,$B68)</f>
        <v>0</v>
      </c>
      <c r="H68" s="3" t="n">
        <f aca="false">SUMIFS('Por foco'!$J$2:$J$579,'Por foco'!$A$2:$A$579,$A68,'Por foco'!$B$2:$B$579,$B68)</f>
        <v>0</v>
      </c>
      <c r="I68" s="3" t="n">
        <f aca="false">SUMIFS('Por foco'!$K$2:$K$579,'Por foco'!$A$2:$A$579,$A68,'Por foco'!$B$2:$B$579,$B68)</f>
        <v>0</v>
      </c>
      <c r="J68" s="3" t="n">
        <f aca="false">SUMIFS('Por foco'!$L$2:$L$579,'Por foco'!$A$2:$A$579,$A68,'Por foco'!$B$2:$B$579,$B68)</f>
        <v>20000</v>
      </c>
      <c r="K68" s="3" t="n">
        <f aca="false">SUMIFS('Por foco'!$M$2:$M$579,'Por foco'!$A$2:$A$579,$A68,'Por foco'!$B$2:$B$579,$B68)</f>
        <v>25</v>
      </c>
      <c r="L68" s="3" t="n">
        <f aca="false">SUMIFS('Por foco'!$N$2:$N$579,'Por foco'!$A$2:$A$579,$A68,'Por foco'!$B$2:$B$579,$B68)</f>
        <v>25</v>
      </c>
      <c r="M68" s="3" t="n">
        <f aca="false">SUMIFS('Por foco'!$O$2:$O$579,'Por foco'!$A$2:$A$579,$A68,'Por foco'!$B$2:$B$579,$B68)</f>
        <v>50</v>
      </c>
      <c r="N68" s="3" t="n">
        <f aca="false">SUMIFS('Por foco'!$P$2:$P$579,'Por foco'!$A$2:$A$579,$A68,'Por foco'!$B$2:$B$579,$B68)</f>
        <v>0</v>
      </c>
      <c r="O68" s="3" t="n">
        <f aca="false">SUMIFS('Por foco'!$Q$2:$Q$579,'Por foco'!$A$2:$A$579,$A68,'Por foco'!$B$2:$B$579,$B68)</f>
        <v>7</v>
      </c>
      <c r="P68" s="3" t="n">
        <f aca="false">SUMIFS('Por foco'!$R$2:$R$579,'Por foco'!$A$2:$A$579,$A68,'Por foco'!$B$2:$B$579,$B68)</f>
        <v>0</v>
      </c>
      <c r="Q68" s="3" t="n">
        <f aca="false">SUMIFS('Por foco'!$S$2:$S$579,'Por foco'!$A$2:$A$579,$A68,'Por foco'!$B$2:$B$579,$B68)</f>
        <v>0</v>
      </c>
      <c r="R68" s="3" t="n">
        <f aca="false">SUMIFS('Por foco'!$T$2:$T$579,'Por foco'!$A$2:$A$579,$A68,'Por foco'!$B$2:$B$579,$B68)</f>
        <v>2</v>
      </c>
      <c r="S68" s="3" t="n">
        <f aca="false">SUMIFS('Por foco'!$U$2:$U$579,'Por foco'!$A$2:$A$579,$A68,'Por foco'!$B$2:$B$579,$B68)</f>
        <v>0</v>
      </c>
      <c r="T68" s="3" t="n">
        <f aca="false">SUMIFS('Por foco'!$V$2:$V$579,'Por foco'!$A$2:$A$579,$A68,'Por foco'!$B$2:$B$579,$B68)</f>
        <v>3</v>
      </c>
      <c r="U68" s="3" t="n">
        <f aca="false">SUMIFS('Por foco'!$W$2:$W$579,'Por foco'!$A$2:$A$579,$A68,'Por foco'!$B$2:$B$579,$B68)</f>
        <v>0</v>
      </c>
      <c r="V68" s="3" t="n">
        <f aca="false">SUMIFS('Por foco'!$X$2:$X$579,'Por foco'!$A$2:$A$579,$A68,'Por foco'!$B$2:$B$579,$B68)</f>
        <v>0</v>
      </c>
      <c r="W68" s="3" t="n">
        <f aca="false">SUMIFS('Por foco'!$Y$2:$Y$579,'Por foco'!$A$2:$A$579,$A68,'Por foco'!$B$2:$B$579,$B68)</f>
        <v>100</v>
      </c>
      <c r="X68" s="3" t="n">
        <f aca="false">SUMIFS('Por foco'!$Z$2:$Z$579,'Por foco'!$A$2:$A$579,$A68,'Por foco'!$B$2:$B$579,$B68)</f>
        <v>0</v>
      </c>
      <c r="Y68" s="3" t="n">
        <f aca="false">SUMIFS('Por foco'!$AA$2:$AA$579,'Por foco'!$A$2:$A$579,$A68,'Por foco'!$B$2:$B$579,$B68)</f>
        <v>0</v>
      </c>
      <c r="Z68" s="3" t="n">
        <f aca="false">SUMIFS('Por foco'!$AB$2:$AB$579,'Por foco'!$A$2:$A$579,$A68,'Por foco'!$B$2:$B$579,$B68)</f>
        <v>0</v>
      </c>
      <c r="AA68" s="3" t="n">
        <f aca="false">SUMIFS('Por foco'!$AC$2:$AC$579,'Por foco'!$A$2:$A$579,$A68,'Por foco'!$B$2:$B$579,$B68)</f>
        <v>0</v>
      </c>
      <c r="AB68" s="3" t="n">
        <f aca="false">SUMIFS('Por foco'!$AD$2:$AD$579,'Por foco'!$A$2:$A$579,$A68,'Por foco'!$B$2:$B$579,$B68)</f>
        <v>0</v>
      </c>
      <c r="AC68" s="3" t="n">
        <f aca="false">SUMIFS('Por foco'!$AE$2:$AE$579,'Por foco'!$A$2:$A$579,$A68,'Por foco'!$B$2:$B$579,$B68)</f>
        <v>0</v>
      </c>
      <c r="AD68" s="3" t="n">
        <f aca="false">SUMIFS('Por foco'!$AF$2:$AF$579,'Por foco'!$A$2:$A$579,$A68,'Por foco'!$B$2:$B$579,$B68)</f>
        <v>0</v>
      </c>
      <c r="AE68" s="3" t="n">
        <f aca="false">SUMIFS('Por foco'!$AG$2:$AG$579,'Por foco'!$A$2:$A$579,$A68,'Por foco'!$B$2:$B$579,$B68)</f>
        <v>0</v>
      </c>
      <c r="AF68" s="3" t="n">
        <f aca="false">SUMIFS('Por foco'!$AH$2:$AH$579,'Por foco'!$A$2:$A$579,$A68,'Por foco'!$B$2:$B$579,$B68)</f>
        <v>0</v>
      </c>
      <c r="AG68" s="3" t="n">
        <f aca="false">SUMIFS('Por foco'!$AI$2:$AI$579,'Por foco'!$A$2:$A$579,$A68,'Por foco'!$B$2:$B$579,$B68)</f>
        <v>0</v>
      </c>
      <c r="AH68" s="3" t="n">
        <f aca="false">SUMIFS('Por foco'!$AJ$2:$AJ$579,'Por foco'!$A$2:$A$579,$A68,'Por foco'!$B$2:$B$579,$B68)</f>
        <v>0</v>
      </c>
      <c r="AI68" s="3" t="n">
        <f aca="false">SUMIFS('Por foco'!$AK$2:$AK$579,'Por foco'!$A$2:$A$579,$A68,'Por foco'!$B$2:$B$579,$B68)</f>
        <v>0</v>
      </c>
      <c r="AJ68" s="3" t="n">
        <f aca="false">SUMIFS('Por foco'!$AL$2:$AL$579,'Por foco'!$A$2:$A$579,$A68,'Por foco'!$B$2:$B$579,$B68)</f>
        <v>0</v>
      </c>
      <c r="AK68" s="3" t="n">
        <f aca="false">SUMIFS('Por foco'!$AM$2:$AM$579,'Por foco'!$A$2:$A$579,$A68,'Por foco'!$B$2:$B$579,$B68)</f>
        <v>0</v>
      </c>
      <c r="AL68" s="3" t="n">
        <f aca="false">SUMIFS('Por foco'!$AN$2:$AN$579,'Por foco'!$A$2:$A$579,$A68,'Por foco'!$B$2:$B$579,$B68)</f>
        <v>0</v>
      </c>
      <c r="AM68" s="3" t="n">
        <f aca="false">SUMIFS('Por foco'!$AO$2:$AO$579,'Por foco'!$A$2:$A$579,$A68,'Por foco'!$B$2:$B$579,$B68)</f>
        <v>0</v>
      </c>
      <c r="AN68" s="3" t="n">
        <f aca="false">SUMIFS('Por foco'!$AP$2:$AP$579,'Por foco'!$A$2:$A$579,$A68,'Por foco'!$B$2:$B$579,$B68)</f>
        <v>0</v>
      </c>
      <c r="AO68" s="3" t="n">
        <f aca="false">SUMIFS('Por foco'!$AQ$2:$AQ$579,'Por foco'!$A$2:$A$579,$A68,'Por foco'!$B$2:$B$579,$B68)</f>
        <v>0</v>
      </c>
      <c r="AP68" s="3" t="n">
        <f aca="false">SUMIFS('Por foco'!$AR$2:$AR$579,'Por foco'!$A$2:$A$579,$A68,'Por foco'!$B$2:$B$579,$B68)</f>
        <v>0</v>
      </c>
      <c r="AQ68" s="3" t="n">
        <f aca="false">SUMIFS('Por foco'!$AS$2:$AS$579,'Por foco'!$A$2:$A$579,$A68,'Por foco'!$B$2:$B$579,$B68)</f>
        <v>0</v>
      </c>
      <c r="AR68" s="3" t="n">
        <f aca="false">SUMIFS('Por foco'!$AT$2:$AT$579,'Por foco'!$A$2:$A$579,$A68,'Por foco'!$B$2:$B$579,$B68)</f>
        <v>0</v>
      </c>
      <c r="AS68" s="3" t="n">
        <f aca="false">SUMIFS('Por foco'!$AU$2:$AU$579,'Por foco'!$A$2:$A$579,$A68,'Por foco'!$B$2:$B$579,$B68)</f>
        <v>0</v>
      </c>
      <c r="AT68" s="3" t="n">
        <f aca="false">SUMIFS('Por foco'!$AV$2:$AV$579,'Por foco'!$A$2:$A$579,$A68,'Por foco'!$B$2:$B$579,$B68)</f>
        <v>0</v>
      </c>
      <c r="AU68" s="3" t="n">
        <f aca="false">SUMIFS('Por foco'!$AW$2:$AW$579,'Por foco'!$A$2:$A$579,$A68,'Por foco'!$B$2:$B$579,$B68)</f>
        <v>0</v>
      </c>
      <c r="AV68" s="3" t="n">
        <f aca="false">SUMIFS('Por foco'!$AX$2:$AX$579,'Por foco'!$A$2:$A$579,$A68,'Por foco'!$B$2:$B$579,$B68)</f>
        <v>0</v>
      </c>
      <c r="AW68" s="3" t="n">
        <f aca="false">SUMIFS('Por foco'!$AY$2:$AY$579,'Por foco'!$A$2:$A$579,$A68,'Por foco'!$B$2:$B$579,$B68)</f>
        <v>0</v>
      </c>
      <c r="AX68" s="3" t="n">
        <f aca="false">SUMIFS('Por foco'!$AZ$2:$AZ$579,'Por foco'!$A$2:$A$579,$A68,'Por foco'!$B$2:$B$579,$B68)</f>
        <v>0</v>
      </c>
      <c r="AY68" s="3" t="n">
        <f aca="false">SUMIFS('Por foco'!$BA$2:$BA$579,'Por foco'!$A$2:$A$579,$A68,'Por foco'!$B$2:$B$579,$B68)</f>
        <v>0</v>
      </c>
      <c r="AZ68" s="3" t="n">
        <f aca="false">SUMIFS('Por foco'!$BB$2:$BB$579,'Por foco'!$A$2:$A$579,$A68,'Por foco'!$B$2:$B$579,$B68)</f>
        <v>0</v>
      </c>
      <c r="BA68" s="3" t="n">
        <f aca="false">SUMIFS('Por foco'!$BC$2:$BC$579,'Por foco'!$A$2:$A$579,$A68,'Por foco'!$B$2:$B$579,$B68)</f>
        <v>0</v>
      </c>
      <c r="BB68" s="3" t="n">
        <f aca="false">SUMIFS('Por foco'!$BD$2:$BD$579,'Por foco'!$A$2:$A$579,$A68,'Por foco'!$B$2:$B$579,$B68)</f>
        <v>0</v>
      </c>
      <c r="BC68" s="3" t="n">
        <f aca="false">SUMIFS('Por foco'!$BE$2:$BE$579,'Por foco'!$A$2:$A$579,$A68,'Por foco'!$B$2:$B$579,$B68)</f>
        <v>0</v>
      </c>
      <c r="BD68" s="3" t="n">
        <f aca="false">SUMIFS('Por foco'!$BF$2:$BF$579,'Por foco'!$A$2:$A$579,$A68,'Por foco'!$B$2:$B$579,$B68)</f>
        <v>0</v>
      </c>
      <c r="BE68" s="3" t="n">
        <f aca="false">SUMIFS('Por foco'!$BG$2:$BG$579,'Por foco'!$A$2:$A$579,$A68,'Por foco'!$B$2:$B$579,$B68)</f>
        <v>0</v>
      </c>
    </row>
    <row r="69" customFormat="false" ht="15" hidden="false" customHeight="false" outlineLevel="0" collapsed="false">
      <c r="A69" s="3" t="s">
        <v>66</v>
      </c>
      <c r="B69" s="3" t="s">
        <v>139</v>
      </c>
      <c r="C69" s="3" t="n">
        <f aca="false">COUNTIFS('Por foco'!$A$2:$A$579,$A69,'Por foco'!$B$2:$B$579,$B69)</f>
        <v>7</v>
      </c>
      <c r="D69" s="6" t="n">
        <f aca="false">SUMIFS('Por foco'!$F$2:$F$579,'Por foco'!$A$2:$A$579,$A69,'Por foco'!$B$2:$B$579,$B69)</f>
        <v>902.5</v>
      </c>
      <c r="E69" s="3" t="n">
        <f aca="false">IF(C69=0,0,SUMIFS('Por foco'!$E$2:$E$579,'Por foco'!$A$2:$A$579,$A69,'Por foco'!$B$2:$B$579,$B69)/C69)</f>
        <v>1</v>
      </c>
      <c r="F69" s="3" t="n">
        <f aca="false">SUMIFS('Por foco'!$H$2:$H$579,'Por foco'!$A$2:$A$579,$A69,'Por foco'!$B$2:$B$579,$B69)</f>
        <v>413</v>
      </c>
      <c r="G69" s="3" t="n">
        <f aca="false">SUMIFS('Por foco'!$I$2:$I$579,'Por foco'!$A$2:$A$579,$A69,'Por foco'!$B$2:$B$579,$B69)</f>
        <v>200</v>
      </c>
      <c r="H69" s="3" t="n">
        <f aca="false">SUMIFS('Por foco'!$J$2:$J$579,'Por foco'!$A$2:$A$579,$A69,'Por foco'!$B$2:$B$579,$B69)</f>
        <v>0</v>
      </c>
      <c r="I69" s="3" t="n">
        <f aca="false">SUMIFS('Por foco'!$K$2:$K$579,'Por foco'!$A$2:$A$579,$A69,'Por foco'!$B$2:$B$579,$B69)</f>
        <v>0</v>
      </c>
      <c r="J69" s="3" t="n">
        <f aca="false">SUMIFS('Por foco'!$L$2:$L$579,'Por foco'!$A$2:$A$579,$A69,'Por foco'!$B$2:$B$579,$B69)</f>
        <v>50000</v>
      </c>
      <c r="K69" s="3" t="n">
        <f aca="false">SUMIFS('Por foco'!$M$2:$M$579,'Por foco'!$A$2:$A$579,$A69,'Por foco'!$B$2:$B$579,$B69)</f>
        <v>0</v>
      </c>
      <c r="L69" s="3" t="n">
        <f aca="false">SUMIFS('Por foco'!$N$2:$N$579,'Por foco'!$A$2:$A$579,$A69,'Por foco'!$B$2:$B$579,$B69)</f>
        <v>0</v>
      </c>
      <c r="M69" s="3" t="n">
        <f aca="false">SUMIFS('Por foco'!$O$2:$O$579,'Por foco'!$A$2:$A$579,$A69,'Por foco'!$B$2:$B$579,$B69)</f>
        <v>0</v>
      </c>
      <c r="N69" s="3" t="n">
        <f aca="false">SUMIFS('Por foco'!$P$2:$P$579,'Por foco'!$A$2:$A$579,$A69,'Por foco'!$B$2:$B$579,$B69)</f>
        <v>0</v>
      </c>
      <c r="O69" s="3" t="n">
        <f aca="false">SUMIFS('Por foco'!$Q$2:$Q$579,'Por foco'!$A$2:$A$579,$A69,'Por foco'!$B$2:$B$579,$B69)</f>
        <v>1</v>
      </c>
      <c r="P69" s="3" t="n">
        <f aca="false">SUMIFS('Por foco'!$R$2:$R$579,'Por foco'!$A$2:$A$579,$A69,'Por foco'!$B$2:$B$579,$B69)</f>
        <v>2</v>
      </c>
      <c r="Q69" s="3" t="n">
        <f aca="false">SUMIFS('Por foco'!$S$2:$S$579,'Por foco'!$A$2:$A$579,$A69,'Por foco'!$B$2:$B$579,$B69)</f>
        <v>0</v>
      </c>
      <c r="R69" s="3" t="n">
        <f aca="false">SUMIFS('Por foco'!$T$2:$T$579,'Por foco'!$A$2:$A$579,$A69,'Por foco'!$B$2:$B$579,$B69)</f>
        <v>0</v>
      </c>
      <c r="S69" s="3" t="n">
        <f aca="false">SUMIFS('Por foco'!$U$2:$U$579,'Por foco'!$A$2:$A$579,$A69,'Por foco'!$B$2:$B$579,$B69)</f>
        <v>0</v>
      </c>
      <c r="T69" s="3" t="n">
        <f aca="false">SUMIFS('Por foco'!$V$2:$V$579,'Por foco'!$A$2:$A$579,$A69,'Por foco'!$B$2:$B$579,$B69)</f>
        <v>0</v>
      </c>
      <c r="U69" s="3" t="n">
        <f aca="false">SUMIFS('Por foco'!$W$2:$W$579,'Por foco'!$A$2:$A$579,$A69,'Por foco'!$B$2:$B$579,$B69)</f>
        <v>0</v>
      </c>
      <c r="V69" s="3" t="n">
        <f aca="false">SUMIFS('Por foco'!$X$2:$X$579,'Por foco'!$A$2:$A$579,$A69,'Por foco'!$B$2:$B$579,$B69)</f>
        <v>0</v>
      </c>
      <c r="W69" s="3" t="n">
        <f aca="false">SUMIFS('Por foco'!$Y$2:$Y$579,'Por foco'!$A$2:$A$579,$A69,'Por foco'!$B$2:$B$579,$B69)</f>
        <v>0</v>
      </c>
      <c r="X69" s="3" t="n">
        <f aca="false">SUMIFS('Por foco'!$Z$2:$Z$579,'Por foco'!$A$2:$A$579,$A69,'Por foco'!$B$2:$B$579,$B69)</f>
        <v>0</v>
      </c>
      <c r="Y69" s="3" t="n">
        <f aca="false">SUMIFS('Por foco'!$AA$2:$AA$579,'Por foco'!$A$2:$A$579,$A69,'Por foco'!$B$2:$B$579,$B69)</f>
        <v>0.25</v>
      </c>
      <c r="Z69" s="3" t="n">
        <f aca="false">SUMIFS('Por foco'!$AB$2:$AB$579,'Por foco'!$A$2:$A$579,$A69,'Por foco'!$B$2:$B$579,$B69)</f>
        <v>10</v>
      </c>
      <c r="AA69" s="3" t="n">
        <f aca="false">SUMIFS('Por foco'!$AC$2:$AC$579,'Por foco'!$A$2:$A$579,$A69,'Por foco'!$B$2:$B$579,$B69)</f>
        <v>0</v>
      </c>
      <c r="AB69" s="3" t="n">
        <f aca="false">SUMIFS('Por foco'!$AD$2:$AD$579,'Por foco'!$A$2:$A$579,$A69,'Por foco'!$B$2:$B$579,$B69)</f>
        <v>0</v>
      </c>
      <c r="AC69" s="3" t="n">
        <f aca="false">SUMIFS('Por foco'!$AE$2:$AE$579,'Por foco'!$A$2:$A$579,$A69,'Por foco'!$B$2:$B$579,$B69)</f>
        <v>20</v>
      </c>
      <c r="AD69" s="3" t="n">
        <f aca="false">SUMIFS('Por foco'!$AF$2:$AF$579,'Por foco'!$A$2:$A$579,$A69,'Por foco'!$B$2:$B$579,$B69)</f>
        <v>0</v>
      </c>
      <c r="AE69" s="3" t="n">
        <f aca="false">SUMIFS('Por foco'!$AG$2:$AG$579,'Por foco'!$A$2:$A$579,$A69,'Por foco'!$B$2:$B$579,$B69)</f>
        <v>0</v>
      </c>
      <c r="AF69" s="3" t="n">
        <f aca="false">SUMIFS('Por foco'!$AH$2:$AH$579,'Por foco'!$A$2:$A$579,$A69,'Por foco'!$B$2:$B$579,$B69)</f>
        <v>0</v>
      </c>
      <c r="AG69" s="3" t="n">
        <f aca="false">SUMIFS('Por foco'!$AI$2:$AI$579,'Por foco'!$A$2:$A$579,$A69,'Por foco'!$B$2:$B$579,$B69)</f>
        <v>0</v>
      </c>
      <c r="AH69" s="3" t="n">
        <f aca="false">SUMIFS('Por foco'!$AJ$2:$AJ$579,'Por foco'!$A$2:$A$579,$A69,'Por foco'!$B$2:$B$579,$B69)</f>
        <v>0</v>
      </c>
      <c r="AI69" s="3" t="n">
        <f aca="false">SUMIFS('Por foco'!$AK$2:$AK$579,'Por foco'!$A$2:$A$579,$A69,'Por foco'!$B$2:$B$579,$B69)</f>
        <v>0</v>
      </c>
      <c r="AJ69" s="3" t="n">
        <f aca="false">SUMIFS('Por foco'!$AL$2:$AL$579,'Por foco'!$A$2:$A$579,$A69,'Por foco'!$B$2:$B$579,$B69)</f>
        <v>0</v>
      </c>
      <c r="AK69" s="3" t="n">
        <f aca="false">SUMIFS('Por foco'!$AM$2:$AM$579,'Por foco'!$A$2:$A$579,$A69,'Por foco'!$B$2:$B$579,$B69)</f>
        <v>0</v>
      </c>
      <c r="AL69" s="3" t="n">
        <f aca="false">SUMIFS('Por foco'!$AN$2:$AN$579,'Por foco'!$A$2:$A$579,$A69,'Por foco'!$B$2:$B$579,$B69)</f>
        <v>5</v>
      </c>
      <c r="AM69" s="3" t="n">
        <f aca="false">SUMIFS('Por foco'!$AO$2:$AO$579,'Por foco'!$A$2:$A$579,$A69,'Por foco'!$B$2:$B$579,$B69)</f>
        <v>0</v>
      </c>
      <c r="AN69" s="3" t="n">
        <f aca="false">SUMIFS('Por foco'!$AP$2:$AP$579,'Por foco'!$A$2:$A$579,$A69,'Por foco'!$B$2:$B$579,$B69)</f>
        <v>0</v>
      </c>
      <c r="AO69" s="3" t="n">
        <f aca="false">SUMIFS('Por foco'!$AQ$2:$AQ$579,'Por foco'!$A$2:$A$579,$A69,'Por foco'!$B$2:$B$579,$B69)</f>
        <v>0</v>
      </c>
      <c r="AP69" s="3" t="n">
        <f aca="false">SUMIFS('Por foco'!$AR$2:$AR$579,'Por foco'!$A$2:$A$579,$A69,'Por foco'!$B$2:$B$579,$B69)</f>
        <v>0</v>
      </c>
      <c r="AQ69" s="3" t="n">
        <f aca="false">SUMIFS('Por foco'!$AS$2:$AS$579,'Por foco'!$A$2:$A$579,$A69,'Por foco'!$B$2:$B$579,$B69)</f>
        <v>0</v>
      </c>
      <c r="AR69" s="3" t="n">
        <f aca="false">SUMIFS('Por foco'!$AT$2:$AT$579,'Por foco'!$A$2:$A$579,$A69,'Por foco'!$B$2:$B$579,$B69)</f>
        <v>0</v>
      </c>
      <c r="AS69" s="3" t="n">
        <f aca="false">SUMIFS('Por foco'!$AU$2:$AU$579,'Por foco'!$A$2:$A$579,$A69,'Por foco'!$B$2:$B$579,$B69)</f>
        <v>0</v>
      </c>
      <c r="AT69" s="3" t="n">
        <f aca="false">SUMIFS('Por foco'!$AV$2:$AV$579,'Por foco'!$A$2:$A$579,$A69,'Por foco'!$B$2:$B$579,$B69)</f>
        <v>0</v>
      </c>
      <c r="AU69" s="3" t="n">
        <f aca="false">SUMIFS('Por foco'!$AW$2:$AW$579,'Por foco'!$A$2:$A$579,$A69,'Por foco'!$B$2:$B$579,$B69)</f>
        <v>0</v>
      </c>
      <c r="AV69" s="3" t="n">
        <f aca="false">SUMIFS('Por foco'!$AX$2:$AX$579,'Por foco'!$A$2:$A$579,$A69,'Por foco'!$B$2:$B$579,$B69)</f>
        <v>0</v>
      </c>
      <c r="AW69" s="3" t="n">
        <f aca="false">SUMIFS('Por foco'!$AY$2:$AY$579,'Por foco'!$A$2:$A$579,$A69,'Por foco'!$B$2:$B$579,$B69)</f>
        <v>0</v>
      </c>
      <c r="AX69" s="3" t="n">
        <f aca="false">SUMIFS('Por foco'!$AZ$2:$AZ$579,'Por foco'!$A$2:$A$579,$A69,'Por foco'!$B$2:$B$579,$B69)</f>
        <v>0</v>
      </c>
      <c r="AY69" s="3" t="n">
        <f aca="false">SUMIFS('Por foco'!$BA$2:$BA$579,'Por foco'!$A$2:$A$579,$A69,'Por foco'!$B$2:$B$579,$B69)</f>
        <v>0</v>
      </c>
      <c r="AZ69" s="3" t="n">
        <f aca="false">SUMIFS('Por foco'!$BB$2:$BB$579,'Por foco'!$A$2:$A$579,$A69,'Por foco'!$B$2:$B$579,$B69)</f>
        <v>0</v>
      </c>
      <c r="BA69" s="3" t="n">
        <f aca="false">SUMIFS('Por foco'!$BC$2:$BC$579,'Por foco'!$A$2:$A$579,$A69,'Por foco'!$B$2:$B$579,$B69)</f>
        <v>0</v>
      </c>
      <c r="BB69" s="3" t="n">
        <f aca="false">SUMIFS('Por foco'!$BD$2:$BD$579,'Por foco'!$A$2:$A$579,$A69,'Por foco'!$B$2:$B$579,$B69)</f>
        <v>0</v>
      </c>
      <c r="BC69" s="3" t="n">
        <f aca="false">SUMIFS('Por foco'!$BE$2:$BE$579,'Por foco'!$A$2:$A$579,$A69,'Por foco'!$B$2:$B$579,$B69)</f>
        <v>0</v>
      </c>
      <c r="BD69" s="3" t="n">
        <f aca="false">SUMIFS('Por foco'!$BF$2:$BF$579,'Por foco'!$A$2:$A$579,$A69,'Por foco'!$B$2:$B$579,$B69)</f>
        <v>0</v>
      </c>
      <c r="BE69" s="3" t="n">
        <f aca="false">SUMIFS('Por foco'!$BG$2:$BG$579,'Por foco'!$A$2:$A$579,$A69,'Por foco'!$B$2:$B$579,$B69)</f>
        <v>0</v>
      </c>
    </row>
    <row r="70" customFormat="false" ht="15" hidden="false" customHeight="false" outlineLevel="0" collapsed="false">
      <c r="A70" s="3" t="s">
        <v>66</v>
      </c>
      <c r="B70" s="3" t="s">
        <v>140</v>
      </c>
      <c r="C70" s="3" t="n">
        <f aca="false">COUNTIFS('Por foco'!$A$2:$A$579,$A70,'Por foco'!$B$2:$B$579,$B70)</f>
        <v>6</v>
      </c>
      <c r="D70" s="6" t="n">
        <f aca="false">SUMIFS('Por foco'!$F$2:$F$579,'Por foco'!$A$2:$A$579,$A70,'Por foco'!$B$2:$B$579,$B70)</f>
        <v>1037.5</v>
      </c>
      <c r="E70" s="3" t="n">
        <f aca="false">IF(C70=0,0,SUMIFS('Por foco'!$E$2:$E$579,'Por foco'!$A$2:$A$579,$A70,'Por foco'!$B$2:$B$579,$B70)/C70)</f>
        <v>1</v>
      </c>
      <c r="F70" s="3" t="n">
        <f aca="false">SUMIFS('Por foco'!$H$2:$H$579,'Por foco'!$A$2:$A$579,$A70,'Por foco'!$B$2:$B$579,$B70)</f>
        <v>413</v>
      </c>
      <c r="G70" s="3" t="n">
        <f aca="false">SUMIFS('Por foco'!$I$2:$I$579,'Por foco'!$A$2:$A$579,$A70,'Por foco'!$B$2:$B$579,$B70)</f>
        <v>50</v>
      </c>
      <c r="H70" s="3" t="n">
        <f aca="false">SUMIFS('Por foco'!$J$2:$J$579,'Por foco'!$A$2:$A$579,$A70,'Por foco'!$B$2:$B$579,$B70)</f>
        <v>0</v>
      </c>
      <c r="I70" s="3" t="n">
        <f aca="false">SUMIFS('Por foco'!$K$2:$K$579,'Por foco'!$A$2:$A$579,$A70,'Por foco'!$B$2:$B$579,$B70)</f>
        <v>0</v>
      </c>
      <c r="J70" s="3" t="n">
        <f aca="false">SUMIFS('Por foco'!$L$2:$L$579,'Por foco'!$A$2:$A$579,$A70,'Por foco'!$B$2:$B$579,$B70)</f>
        <v>0</v>
      </c>
      <c r="K70" s="3" t="n">
        <f aca="false">SUMIFS('Por foco'!$M$2:$M$579,'Por foco'!$A$2:$A$579,$A70,'Por foco'!$B$2:$B$579,$B70)</f>
        <v>0</v>
      </c>
      <c r="L70" s="3" t="n">
        <f aca="false">SUMIFS('Por foco'!$N$2:$N$579,'Por foco'!$A$2:$A$579,$A70,'Por foco'!$B$2:$B$579,$B70)</f>
        <v>0</v>
      </c>
      <c r="M70" s="3" t="n">
        <f aca="false">SUMIFS('Por foco'!$O$2:$O$579,'Por foco'!$A$2:$A$579,$A70,'Por foco'!$B$2:$B$579,$B70)</f>
        <v>0</v>
      </c>
      <c r="N70" s="3" t="n">
        <f aca="false">SUMIFS('Por foco'!$P$2:$P$579,'Por foco'!$A$2:$A$579,$A70,'Por foco'!$B$2:$B$579,$B70)</f>
        <v>0</v>
      </c>
      <c r="O70" s="3" t="n">
        <f aca="false">SUMIFS('Por foco'!$Q$2:$Q$579,'Por foco'!$A$2:$A$579,$A70,'Por foco'!$B$2:$B$579,$B70)</f>
        <v>1</v>
      </c>
      <c r="P70" s="3" t="n">
        <f aca="false">SUMIFS('Por foco'!$R$2:$R$579,'Por foco'!$A$2:$A$579,$A70,'Por foco'!$B$2:$B$579,$B70)</f>
        <v>2</v>
      </c>
      <c r="Q70" s="3" t="n">
        <f aca="false">SUMIFS('Por foco'!$S$2:$S$579,'Por foco'!$A$2:$A$579,$A70,'Por foco'!$B$2:$B$579,$B70)</f>
        <v>0</v>
      </c>
      <c r="R70" s="3" t="n">
        <f aca="false">SUMIFS('Por foco'!$T$2:$T$579,'Por foco'!$A$2:$A$579,$A70,'Por foco'!$B$2:$B$579,$B70)</f>
        <v>0</v>
      </c>
      <c r="S70" s="3" t="n">
        <f aca="false">SUMIFS('Por foco'!$U$2:$U$579,'Por foco'!$A$2:$A$579,$A70,'Por foco'!$B$2:$B$579,$B70)</f>
        <v>0</v>
      </c>
      <c r="T70" s="3" t="n">
        <f aca="false">SUMIFS('Por foco'!$V$2:$V$579,'Por foco'!$A$2:$A$579,$A70,'Por foco'!$B$2:$B$579,$B70)</f>
        <v>0</v>
      </c>
      <c r="U70" s="3" t="n">
        <f aca="false">SUMIFS('Por foco'!$W$2:$W$579,'Por foco'!$A$2:$A$579,$A70,'Por foco'!$B$2:$B$579,$B70)</f>
        <v>0</v>
      </c>
      <c r="V70" s="3" t="n">
        <f aca="false">SUMIFS('Por foco'!$X$2:$X$579,'Por foco'!$A$2:$A$579,$A70,'Por foco'!$B$2:$B$579,$B70)</f>
        <v>0</v>
      </c>
      <c r="W70" s="3" t="n">
        <f aca="false">SUMIFS('Por foco'!$Y$2:$Y$579,'Por foco'!$A$2:$A$579,$A70,'Por foco'!$B$2:$B$579,$B70)</f>
        <v>0</v>
      </c>
      <c r="X70" s="3" t="n">
        <f aca="false">SUMIFS('Por foco'!$Z$2:$Z$579,'Por foco'!$A$2:$A$579,$A70,'Por foco'!$B$2:$B$579,$B70)</f>
        <v>0</v>
      </c>
      <c r="Y70" s="3" t="n">
        <f aca="false">SUMIFS('Por foco'!$AA$2:$AA$579,'Por foco'!$A$2:$A$579,$A70,'Por foco'!$B$2:$B$579,$B70)</f>
        <v>0.15</v>
      </c>
      <c r="Z70" s="3" t="n">
        <f aca="false">SUMIFS('Por foco'!$AB$2:$AB$579,'Por foco'!$A$2:$A$579,$A70,'Por foco'!$B$2:$B$579,$B70)</f>
        <v>29.5</v>
      </c>
      <c r="AA70" s="3" t="n">
        <f aca="false">SUMIFS('Por foco'!$AC$2:$AC$579,'Por foco'!$A$2:$A$579,$A70,'Por foco'!$B$2:$B$579,$B70)</f>
        <v>5</v>
      </c>
      <c r="AB70" s="3" t="n">
        <f aca="false">SUMIFS('Por foco'!$AD$2:$AD$579,'Por foco'!$A$2:$A$579,$A70,'Por foco'!$B$2:$B$579,$B70)</f>
        <v>0</v>
      </c>
      <c r="AC70" s="3" t="n">
        <f aca="false">SUMIFS('Por foco'!$AE$2:$AE$579,'Por foco'!$A$2:$A$579,$A70,'Por foco'!$B$2:$B$579,$B70)</f>
        <v>0</v>
      </c>
      <c r="AD70" s="3" t="n">
        <f aca="false">SUMIFS('Por foco'!$AF$2:$AF$579,'Por foco'!$A$2:$A$579,$A70,'Por foco'!$B$2:$B$579,$B70)</f>
        <v>0</v>
      </c>
      <c r="AE70" s="3" t="n">
        <f aca="false">SUMIFS('Por foco'!$AG$2:$AG$579,'Por foco'!$A$2:$A$579,$A70,'Por foco'!$B$2:$B$579,$B70)</f>
        <v>10</v>
      </c>
      <c r="AF70" s="3" t="n">
        <f aca="false">SUMIFS('Por foco'!$AH$2:$AH$579,'Por foco'!$A$2:$A$579,$A70,'Por foco'!$B$2:$B$579,$B70)</f>
        <v>0</v>
      </c>
      <c r="AG70" s="3" t="n">
        <f aca="false">SUMIFS('Por foco'!$AI$2:$AI$579,'Por foco'!$A$2:$A$579,$A70,'Por foco'!$B$2:$B$579,$B70)</f>
        <v>1.2</v>
      </c>
      <c r="AH70" s="3" t="n">
        <f aca="false">SUMIFS('Por foco'!$AJ$2:$AJ$579,'Por foco'!$A$2:$A$579,$A70,'Por foco'!$B$2:$B$579,$B70)</f>
        <v>0</v>
      </c>
      <c r="AI70" s="3" t="n">
        <f aca="false">SUMIFS('Por foco'!$AK$2:$AK$579,'Por foco'!$A$2:$A$579,$A70,'Por foco'!$B$2:$B$579,$B70)</f>
        <v>0</v>
      </c>
      <c r="AJ70" s="3" t="n">
        <f aca="false">SUMIFS('Por foco'!$AL$2:$AL$579,'Por foco'!$A$2:$A$579,$A70,'Por foco'!$B$2:$B$579,$B70)</f>
        <v>0</v>
      </c>
      <c r="AK70" s="3" t="n">
        <f aca="false">SUMIFS('Por foco'!$AM$2:$AM$579,'Por foco'!$A$2:$A$579,$A70,'Por foco'!$B$2:$B$579,$B70)</f>
        <v>0</v>
      </c>
      <c r="AL70" s="3" t="n">
        <f aca="false">SUMIFS('Por foco'!$AN$2:$AN$579,'Por foco'!$A$2:$A$579,$A70,'Por foco'!$B$2:$B$579,$B70)</f>
        <v>0</v>
      </c>
      <c r="AM70" s="3" t="n">
        <f aca="false">SUMIFS('Por foco'!$AO$2:$AO$579,'Por foco'!$A$2:$A$579,$A70,'Por foco'!$B$2:$B$579,$B70)</f>
        <v>0</v>
      </c>
      <c r="AN70" s="3" t="n">
        <f aca="false">SUMIFS('Por foco'!$AP$2:$AP$579,'Por foco'!$A$2:$A$579,$A70,'Por foco'!$B$2:$B$579,$B70)</f>
        <v>0</v>
      </c>
      <c r="AO70" s="3" t="n">
        <f aca="false">SUMIFS('Por foco'!$AQ$2:$AQ$579,'Por foco'!$A$2:$A$579,$A70,'Por foco'!$B$2:$B$579,$B70)</f>
        <v>0</v>
      </c>
      <c r="AP70" s="3" t="n">
        <f aca="false">SUMIFS('Por foco'!$AR$2:$AR$579,'Por foco'!$A$2:$A$579,$A70,'Por foco'!$B$2:$B$579,$B70)</f>
        <v>0</v>
      </c>
      <c r="AQ70" s="3" t="n">
        <f aca="false">SUMIFS('Por foco'!$AS$2:$AS$579,'Por foco'!$A$2:$A$579,$A70,'Por foco'!$B$2:$B$579,$B70)</f>
        <v>0</v>
      </c>
      <c r="AR70" s="3" t="n">
        <f aca="false">SUMIFS('Por foco'!$AT$2:$AT$579,'Por foco'!$A$2:$A$579,$A70,'Por foco'!$B$2:$B$579,$B70)</f>
        <v>0</v>
      </c>
      <c r="AS70" s="3" t="n">
        <f aca="false">SUMIFS('Por foco'!$AU$2:$AU$579,'Por foco'!$A$2:$A$579,$A70,'Por foco'!$B$2:$B$579,$B70)</f>
        <v>0</v>
      </c>
      <c r="AT70" s="3" t="n">
        <f aca="false">SUMIFS('Por foco'!$AV$2:$AV$579,'Por foco'!$A$2:$A$579,$A70,'Por foco'!$B$2:$B$579,$B70)</f>
        <v>0</v>
      </c>
      <c r="AU70" s="3" t="n">
        <f aca="false">SUMIFS('Por foco'!$AW$2:$AW$579,'Por foco'!$A$2:$A$579,$A70,'Por foco'!$B$2:$B$579,$B70)</f>
        <v>0</v>
      </c>
      <c r="AV70" s="3" t="n">
        <f aca="false">SUMIFS('Por foco'!$AX$2:$AX$579,'Por foco'!$A$2:$A$579,$A70,'Por foco'!$B$2:$B$579,$B70)</f>
        <v>0</v>
      </c>
      <c r="AW70" s="3" t="n">
        <f aca="false">SUMIFS('Por foco'!$AY$2:$AY$579,'Por foco'!$A$2:$A$579,$A70,'Por foco'!$B$2:$B$579,$B70)</f>
        <v>0</v>
      </c>
      <c r="AX70" s="3" t="n">
        <f aca="false">SUMIFS('Por foco'!$AZ$2:$AZ$579,'Por foco'!$A$2:$A$579,$A70,'Por foco'!$B$2:$B$579,$B70)</f>
        <v>0</v>
      </c>
      <c r="AY70" s="3" t="n">
        <f aca="false">SUMIFS('Por foco'!$BA$2:$BA$579,'Por foco'!$A$2:$A$579,$A70,'Por foco'!$B$2:$B$579,$B70)</f>
        <v>0</v>
      </c>
      <c r="AZ70" s="3" t="n">
        <f aca="false">SUMIFS('Por foco'!$BB$2:$BB$579,'Por foco'!$A$2:$A$579,$A70,'Por foco'!$B$2:$B$579,$B70)</f>
        <v>0</v>
      </c>
      <c r="BA70" s="3" t="n">
        <f aca="false">SUMIFS('Por foco'!$BC$2:$BC$579,'Por foco'!$A$2:$A$579,$A70,'Por foco'!$B$2:$B$579,$B70)</f>
        <v>0</v>
      </c>
      <c r="BB70" s="3" t="n">
        <f aca="false">SUMIFS('Por foco'!$BD$2:$BD$579,'Por foco'!$A$2:$A$579,$A70,'Por foco'!$B$2:$B$579,$B70)</f>
        <v>0</v>
      </c>
      <c r="BC70" s="3" t="n">
        <f aca="false">SUMIFS('Por foco'!$BE$2:$BE$579,'Por foco'!$A$2:$A$579,$A70,'Por foco'!$B$2:$B$579,$B70)</f>
        <v>0</v>
      </c>
      <c r="BD70" s="3" t="n">
        <f aca="false">SUMIFS('Por foco'!$BF$2:$BF$579,'Por foco'!$A$2:$A$579,$A70,'Por foco'!$B$2:$B$579,$B70)</f>
        <v>0</v>
      </c>
      <c r="BE70" s="3" t="n">
        <f aca="false">SUMIFS('Por foco'!$BG$2:$BG$579,'Por foco'!$A$2:$A$579,$A70,'Por foco'!$B$2:$B$579,$B70)</f>
        <v>0</v>
      </c>
    </row>
    <row r="71" customFormat="false" ht="15" hidden="false" customHeight="false" outlineLevel="0" collapsed="false">
      <c r="A71" s="3" t="s">
        <v>67</v>
      </c>
      <c r="B71" s="3" t="s">
        <v>141</v>
      </c>
      <c r="C71" s="3" t="n">
        <f aca="false">COUNTIFS('Por foco'!$A$2:$A$579,$A71,'Por foco'!$B$2:$B$579,$B71)</f>
        <v>10</v>
      </c>
      <c r="D71" s="6" t="n">
        <f aca="false">SUMIFS('Por foco'!$F$2:$F$579,'Por foco'!$A$2:$A$579,$A71,'Por foco'!$B$2:$B$579,$B71)</f>
        <v>1985</v>
      </c>
      <c r="E71" s="3" t="n">
        <f aca="false">IF(C71=0,0,SUMIFS('Por foco'!$E$2:$E$579,'Por foco'!$A$2:$A$579,$A71,'Por foco'!$B$2:$B$579,$B71)/C71)</f>
        <v>0.6</v>
      </c>
      <c r="F71" s="3" t="n">
        <f aca="false">SUMIFS('Por foco'!$H$2:$H$579,'Por foco'!$A$2:$A$579,$A71,'Por foco'!$B$2:$B$579,$B71)</f>
        <v>679</v>
      </c>
      <c r="G71" s="3" t="n">
        <f aca="false">SUMIFS('Por foco'!$I$2:$I$579,'Por foco'!$A$2:$A$579,$A71,'Por foco'!$B$2:$B$579,$B71)</f>
        <v>400</v>
      </c>
      <c r="H71" s="3" t="n">
        <f aca="false">SUMIFS('Por foco'!$J$2:$J$579,'Por foco'!$A$2:$A$579,$A71,'Por foco'!$B$2:$B$579,$B71)</f>
        <v>3</v>
      </c>
      <c r="I71" s="3" t="n">
        <f aca="false">SUMIFS('Por foco'!$K$2:$K$579,'Por foco'!$A$2:$A$579,$A71,'Por foco'!$B$2:$B$579,$B71)</f>
        <v>5</v>
      </c>
      <c r="J71" s="3" t="n">
        <f aca="false">SUMIFS('Por foco'!$L$2:$L$579,'Por foco'!$A$2:$A$579,$A71,'Por foco'!$B$2:$B$579,$B71)</f>
        <v>0</v>
      </c>
      <c r="K71" s="3" t="n">
        <f aca="false">SUMIFS('Por foco'!$M$2:$M$579,'Por foco'!$A$2:$A$579,$A71,'Por foco'!$B$2:$B$579,$B71)</f>
        <v>0</v>
      </c>
      <c r="L71" s="3" t="n">
        <f aca="false">SUMIFS('Por foco'!$N$2:$N$579,'Por foco'!$A$2:$A$579,$A71,'Por foco'!$B$2:$B$579,$B71)</f>
        <v>0</v>
      </c>
      <c r="M71" s="3" t="n">
        <f aca="false">SUMIFS('Por foco'!$O$2:$O$579,'Por foco'!$A$2:$A$579,$A71,'Por foco'!$B$2:$B$579,$B71)</f>
        <v>0</v>
      </c>
      <c r="N71" s="3" t="n">
        <f aca="false">SUMIFS('Por foco'!$P$2:$P$579,'Por foco'!$A$2:$A$579,$A71,'Por foco'!$B$2:$B$579,$B71)</f>
        <v>1</v>
      </c>
      <c r="O71" s="3" t="n">
        <f aca="false">SUMIFS('Por foco'!$Q$2:$Q$579,'Por foco'!$A$2:$A$579,$A71,'Por foco'!$B$2:$B$579,$B71)</f>
        <v>0</v>
      </c>
      <c r="P71" s="3" t="n">
        <f aca="false">SUMIFS('Por foco'!$R$2:$R$579,'Por foco'!$A$2:$A$579,$A71,'Por foco'!$B$2:$B$579,$B71)</f>
        <v>0</v>
      </c>
      <c r="Q71" s="3" t="n">
        <f aca="false">SUMIFS('Por foco'!$S$2:$S$579,'Por foco'!$A$2:$A$579,$A71,'Por foco'!$B$2:$B$579,$B71)</f>
        <v>0</v>
      </c>
      <c r="R71" s="3" t="n">
        <f aca="false">SUMIFS('Por foco'!$T$2:$T$579,'Por foco'!$A$2:$A$579,$A71,'Por foco'!$B$2:$B$579,$B71)</f>
        <v>0</v>
      </c>
      <c r="S71" s="3" t="n">
        <f aca="false">SUMIFS('Por foco'!$U$2:$U$579,'Por foco'!$A$2:$A$579,$A71,'Por foco'!$B$2:$B$579,$B71)</f>
        <v>4</v>
      </c>
      <c r="T71" s="3" t="n">
        <f aca="false">SUMIFS('Por foco'!$V$2:$V$579,'Por foco'!$A$2:$A$579,$A71,'Por foco'!$B$2:$B$579,$B71)</f>
        <v>0</v>
      </c>
      <c r="U71" s="3" t="n">
        <f aca="false">SUMIFS('Por foco'!$W$2:$W$579,'Por foco'!$A$2:$A$579,$A71,'Por foco'!$B$2:$B$579,$B71)</f>
        <v>0</v>
      </c>
      <c r="V71" s="3" t="n">
        <f aca="false">SUMIFS('Por foco'!$X$2:$X$579,'Por foco'!$A$2:$A$579,$A71,'Por foco'!$B$2:$B$579,$B71)</f>
        <v>0</v>
      </c>
      <c r="W71" s="3" t="n">
        <f aca="false">SUMIFS('Por foco'!$Y$2:$Y$579,'Por foco'!$A$2:$A$579,$A71,'Por foco'!$B$2:$B$579,$B71)</f>
        <v>0</v>
      </c>
      <c r="X71" s="3" t="n">
        <f aca="false">SUMIFS('Por foco'!$Z$2:$Z$579,'Por foco'!$A$2:$A$579,$A71,'Por foco'!$B$2:$B$579,$B71)</f>
        <v>2</v>
      </c>
      <c r="Y71" s="3" t="n">
        <f aca="false">SUMIFS('Por foco'!$AA$2:$AA$579,'Por foco'!$A$2:$A$579,$A71,'Por foco'!$B$2:$B$579,$B71)</f>
        <v>0.5</v>
      </c>
      <c r="Z71" s="3" t="n">
        <f aca="false">SUMIFS('Por foco'!$AB$2:$AB$579,'Por foco'!$A$2:$A$579,$A71,'Por foco'!$B$2:$B$579,$B71)</f>
        <v>25</v>
      </c>
      <c r="AA71" s="3" t="n">
        <f aca="false">SUMIFS('Por foco'!$AC$2:$AC$579,'Por foco'!$A$2:$A$579,$A71,'Por foco'!$B$2:$B$579,$B71)</f>
        <v>0</v>
      </c>
      <c r="AB71" s="3" t="n">
        <f aca="false">SUMIFS('Por foco'!$AD$2:$AD$579,'Por foco'!$A$2:$A$579,$A71,'Por foco'!$B$2:$B$579,$B71)</f>
        <v>0</v>
      </c>
      <c r="AC71" s="3" t="n">
        <f aca="false">SUMIFS('Por foco'!$AE$2:$AE$579,'Por foco'!$A$2:$A$579,$A71,'Por foco'!$B$2:$B$579,$B71)</f>
        <v>0</v>
      </c>
      <c r="AD71" s="3" t="n">
        <f aca="false">SUMIFS('Por foco'!$AF$2:$AF$579,'Por foco'!$A$2:$A$579,$A71,'Por foco'!$B$2:$B$579,$B71)</f>
        <v>0</v>
      </c>
      <c r="AE71" s="3" t="n">
        <f aca="false">SUMIFS('Por foco'!$AG$2:$AG$579,'Por foco'!$A$2:$A$579,$A71,'Por foco'!$B$2:$B$579,$B71)</f>
        <v>10</v>
      </c>
      <c r="AF71" s="3" t="n">
        <f aca="false">SUMIFS('Por foco'!$AH$2:$AH$579,'Por foco'!$A$2:$A$579,$A71,'Por foco'!$B$2:$B$579,$B71)</f>
        <v>0</v>
      </c>
      <c r="AG71" s="3" t="n">
        <f aca="false">SUMIFS('Por foco'!$AI$2:$AI$579,'Por foco'!$A$2:$A$579,$A71,'Por foco'!$B$2:$B$579,$B71)</f>
        <v>10</v>
      </c>
      <c r="AH71" s="3" t="n">
        <f aca="false">SUMIFS('Por foco'!$AJ$2:$AJ$579,'Por foco'!$A$2:$A$579,$A71,'Por foco'!$B$2:$B$579,$B71)</f>
        <v>0</v>
      </c>
      <c r="AI71" s="3" t="n">
        <f aca="false">SUMIFS('Por foco'!$AK$2:$AK$579,'Por foco'!$A$2:$A$579,$A71,'Por foco'!$B$2:$B$579,$B71)</f>
        <v>0</v>
      </c>
      <c r="AJ71" s="3" t="n">
        <f aca="false">SUMIFS('Por foco'!$AL$2:$AL$579,'Por foco'!$A$2:$A$579,$A71,'Por foco'!$B$2:$B$579,$B71)</f>
        <v>0</v>
      </c>
      <c r="AK71" s="3" t="n">
        <f aca="false">SUMIFS('Por foco'!$AM$2:$AM$579,'Por foco'!$A$2:$A$579,$A71,'Por foco'!$B$2:$B$579,$B71)</f>
        <v>0</v>
      </c>
      <c r="AL71" s="3" t="n">
        <f aca="false">SUMIFS('Por foco'!$AN$2:$AN$579,'Por foco'!$A$2:$A$579,$A71,'Por foco'!$B$2:$B$579,$B71)</f>
        <v>3</v>
      </c>
      <c r="AM71" s="3" t="n">
        <f aca="false">SUMIFS('Por foco'!$AO$2:$AO$579,'Por foco'!$A$2:$A$579,$A71,'Por foco'!$B$2:$B$579,$B71)</f>
        <v>0</v>
      </c>
      <c r="AN71" s="3" t="n">
        <f aca="false">SUMIFS('Por foco'!$AP$2:$AP$579,'Por foco'!$A$2:$A$579,$A71,'Por foco'!$B$2:$B$579,$B71)</f>
        <v>0</v>
      </c>
      <c r="AO71" s="3" t="n">
        <f aca="false">SUMIFS('Por foco'!$AQ$2:$AQ$579,'Por foco'!$A$2:$A$579,$A71,'Por foco'!$B$2:$B$579,$B71)</f>
        <v>0</v>
      </c>
      <c r="AP71" s="3" t="n">
        <f aca="false">SUMIFS('Por foco'!$AR$2:$AR$579,'Por foco'!$A$2:$A$579,$A71,'Por foco'!$B$2:$B$579,$B71)</f>
        <v>0</v>
      </c>
      <c r="AQ71" s="3" t="n">
        <f aca="false">SUMIFS('Por foco'!$AS$2:$AS$579,'Por foco'!$A$2:$A$579,$A71,'Por foco'!$B$2:$B$579,$B71)</f>
        <v>0.5</v>
      </c>
      <c r="AR71" s="3" t="n">
        <f aca="false">SUMIFS('Por foco'!$AT$2:$AT$579,'Por foco'!$A$2:$A$579,$A71,'Por foco'!$B$2:$B$579,$B71)</f>
        <v>0</v>
      </c>
      <c r="AS71" s="3" t="n">
        <f aca="false">SUMIFS('Por foco'!$AU$2:$AU$579,'Por foco'!$A$2:$A$579,$A71,'Por foco'!$B$2:$B$579,$B71)</f>
        <v>0</v>
      </c>
      <c r="AT71" s="3" t="n">
        <f aca="false">SUMIFS('Por foco'!$AV$2:$AV$579,'Por foco'!$A$2:$A$579,$A71,'Por foco'!$B$2:$B$579,$B71)</f>
        <v>0</v>
      </c>
      <c r="AU71" s="3" t="n">
        <f aca="false">SUMIFS('Por foco'!$AW$2:$AW$579,'Por foco'!$A$2:$A$579,$A71,'Por foco'!$B$2:$B$579,$B71)</f>
        <v>0</v>
      </c>
      <c r="AV71" s="3" t="n">
        <f aca="false">SUMIFS('Por foco'!$AX$2:$AX$579,'Por foco'!$A$2:$A$579,$A71,'Por foco'!$B$2:$B$579,$B71)</f>
        <v>0</v>
      </c>
      <c r="AW71" s="3" t="n">
        <f aca="false">SUMIFS('Por foco'!$AY$2:$AY$579,'Por foco'!$A$2:$A$579,$A71,'Por foco'!$B$2:$B$579,$B71)</f>
        <v>0</v>
      </c>
      <c r="AX71" s="3" t="n">
        <f aca="false">SUMIFS('Por foco'!$AZ$2:$AZ$579,'Por foco'!$A$2:$A$579,$A71,'Por foco'!$B$2:$B$579,$B71)</f>
        <v>0</v>
      </c>
      <c r="AY71" s="3" t="n">
        <f aca="false">SUMIFS('Por foco'!$BA$2:$BA$579,'Por foco'!$A$2:$A$579,$A71,'Por foco'!$B$2:$B$579,$B71)</f>
        <v>0</v>
      </c>
      <c r="AZ71" s="3" t="n">
        <f aca="false">SUMIFS('Por foco'!$BB$2:$BB$579,'Por foco'!$A$2:$A$579,$A71,'Por foco'!$B$2:$B$579,$B71)</f>
        <v>0</v>
      </c>
      <c r="BA71" s="3" t="n">
        <f aca="false">SUMIFS('Por foco'!$BC$2:$BC$579,'Por foco'!$A$2:$A$579,$A71,'Por foco'!$B$2:$B$579,$B71)</f>
        <v>0</v>
      </c>
      <c r="BB71" s="3" t="n">
        <f aca="false">SUMIFS('Por foco'!$BD$2:$BD$579,'Por foco'!$A$2:$A$579,$A71,'Por foco'!$B$2:$B$579,$B71)</f>
        <v>0</v>
      </c>
      <c r="BC71" s="3" t="n">
        <f aca="false">SUMIFS('Por foco'!$BE$2:$BE$579,'Por foco'!$A$2:$A$579,$A71,'Por foco'!$B$2:$B$579,$B71)</f>
        <v>0</v>
      </c>
      <c r="BD71" s="3" t="n">
        <f aca="false">SUMIFS('Por foco'!$BF$2:$BF$579,'Por foco'!$A$2:$A$579,$A71,'Por foco'!$B$2:$B$579,$B71)</f>
        <v>0</v>
      </c>
      <c r="BE71" s="3" t="n">
        <f aca="false">SUMIFS('Por foco'!$BG$2:$BG$579,'Por foco'!$A$2:$A$579,$A71,'Por foco'!$B$2:$B$579,$B71)</f>
        <v>0</v>
      </c>
    </row>
    <row r="72" customFormat="false" ht="15" hidden="false" customHeight="false" outlineLevel="0" collapsed="false">
      <c r="A72" s="3" t="s">
        <v>67</v>
      </c>
      <c r="B72" s="3" t="s">
        <v>142</v>
      </c>
      <c r="C72" s="3" t="n">
        <f aca="false">COUNTIFS('Por foco'!$A$2:$A$579,$A72,'Por foco'!$B$2:$B$579,$B72)</f>
        <v>7</v>
      </c>
      <c r="D72" s="6" t="n">
        <f aca="false">SUMIFS('Por foco'!$F$2:$F$579,'Por foco'!$A$2:$A$579,$A72,'Por foco'!$B$2:$B$579,$B72)</f>
        <v>2002.5</v>
      </c>
      <c r="E72" s="3" t="n">
        <f aca="false">IF(C72=0,0,SUMIFS('Por foco'!$E$2:$E$579,'Por foco'!$A$2:$A$579,$A72,'Por foco'!$B$2:$B$579,$B72)/C72)</f>
        <v>0.5</v>
      </c>
      <c r="F72" s="3" t="n">
        <f aca="false">SUMIFS('Por foco'!$H$2:$H$579,'Por foco'!$A$2:$A$579,$A72,'Por foco'!$B$2:$B$579,$B72)</f>
        <v>483</v>
      </c>
      <c r="G72" s="3" t="n">
        <f aca="false">SUMIFS('Por foco'!$I$2:$I$579,'Por foco'!$A$2:$A$579,$A72,'Por foco'!$B$2:$B$579,$B72)</f>
        <v>150</v>
      </c>
      <c r="H72" s="3" t="n">
        <f aca="false">SUMIFS('Por foco'!$J$2:$J$579,'Por foco'!$A$2:$A$579,$A72,'Por foco'!$B$2:$B$579,$B72)</f>
        <v>-7</v>
      </c>
      <c r="I72" s="3" t="n">
        <f aca="false">SUMIFS('Por foco'!$K$2:$K$579,'Por foco'!$A$2:$A$579,$A72,'Por foco'!$B$2:$B$579,$B72)</f>
        <v>25</v>
      </c>
      <c r="J72" s="3" t="n">
        <f aca="false">SUMIFS('Por foco'!$L$2:$L$579,'Por foco'!$A$2:$A$579,$A72,'Por foco'!$B$2:$B$579,$B72)</f>
        <v>200000</v>
      </c>
      <c r="K72" s="3" t="n">
        <f aca="false">SUMIFS('Por foco'!$M$2:$M$579,'Por foco'!$A$2:$A$579,$A72,'Por foco'!$B$2:$B$579,$B72)</f>
        <v>100</v>
      </c>
      <c r="L72" s="3" t="n">
        <f aca="false">SUMIFS('Por foco'!$N$2:$N$579,'Por foco'!$A$2:$A$579,$A72,'Por foco'!$B$2:$B$579,$B72)</f>
        <v>0</v>
      </c>
      <c r="M72" s="3" t="n">
        <f aca="false">SUMIFS('Por foco'!$O$2:$O$579,'Por foco'!$A$2:$A$579,$A72,'Por foco'!$B$2:$B$579,$B72)</f>
        <v>0</v>
      </c>
      <c r="N72" s="3" t="n">
        <f aca="false">SUMIFS('Por foco'!$P$2:$P$579,'Por foco'!$A$2:$A$579,$A72,'Por foco'!$B$2:$B$579,$B72)</f>
        <v>1</v>
      </c>
      <c r="O72" s="3" t="n">
        <f aca="false">SUMIFS('Por foco'!$Q$2:$Q$579,'Por foco'!$A$2:$A$579,$A72,'Por foco'!$B$2:$B$579,$B72)</f>
        <v>0</v>
      </c>
      <c r="P72" s="3" t="n">
        <f aca="false">SUMIFS('Por foco'!$R$2:$R$579,'Por foco'!$A$2:$A$579,$A72,'Por foco'!$B$2:$B$579,$B72)</f>
        <v>0</v>
      </c>
      <c r="Q72" s="3" t="n">
        <f aca="false">SUMIFS('Por foco'!$S$2:$S$579,'Por foco'!$A$2:$A$579,$A72,'Por foco'!$B$2:$B$579,$B72)</f>
        <v>0</v>
      </c>
      <c r="R72" s="3" t="n">
        <f aca="false">SUMIFS('Por foco'!$T$2:$T$579,'Por foco'!$A$2:$A$579,$A72,'Por foco'!$B$2:$B$579,$B72)</f>
        <v>0</v>
      </c>
      <c r="S72" s="3" t="n">
        <f aca="false">SUMIFS('Por foco'!$U$2:$U$579,'Por foco'!$A$2:$A$579,$A72,'Por foco'!$B$2:$B$579,$B72)</f>
        <v>0</v>
      </c>
      <c r="T72" s="3" t="n">
        <f aca="false">SUMIFS('Por foco'!$V$2:$V$579,'Por foco'!$A$2:$A$579,$A72,'Por foco'!$B$2:$B$579,$B72)</f>
        <v>0</v>
      </c>
      <c r="U72" s="3" t="n">
        <f aca="false">SUMIFS('Por foco'!$W$2:$W$579,'Por foco'!$A$2:$A$579,$A72,'Por foco'!$B$2:$B$579,$B72)</f>
        <v>0</v>
      </c>
      <c r="V72" s="3" t="n">
        <f aca="false">SUMIFS('Por foco'!$X$2:$X$579,'Por foco'!$A$2:$A$579,$A72,'Por foco'!$B$2:$B$579,$B72)</f>
        <v>0</v>
      </c>
      <c r="W72" s="3" t="n">
        <f aca="false">SUMIFS('Por foco'!$Y$2:$Y$579,'Por foco'!$A$2:$A$579,$A72,'Por foco'!$B$2:$B$579,$B72)</f>
        <v>0</v>
      </c>
      <c r="X72" s="3" t="n">
        <f aca="false">SUMIFS('Por foco'!$Z$2:$Z$579,'Por foco'!$A$2:$A$579,$A72,'Por foco'!$B$2:$B$579,$B72)</f>
        <v>1</v>
      </c>
      <c r="Y72" s="3" t="n">
        <f aca="false">SUMIFS('Por foco'!$AA$2:$AA$579,'Por foco'!$A$2:$A$579,$A72,'Por foco'!$B$2:$B$579,$B72)</f>
        <v>0</v>
      </c>
      <c r="Z72" s="3" t="n">
        <f aca="false">SUMIFS('Por foco'!$AB$2:$AB$579,'Por foco'!$A$2:$A$579,$A72,'Por foco'!$B$2:$B$579,$B72)</f>
        <v>5</v>
      </c>
      <c r="AA72" s="3" t="n">
        <f aca="false">SUMIFS('Por foco'!$AC$2:$AC$579,'Por foco'!$A$2:$A$579,$A72,'Por foco'!$B$2:$B$579,$B72)</f>
        <v>10</v>
      </c>
      <c r="AB72" s="3" t="n">
        <f aca="false">SUMIFS('Por foco'!$AD$2:$AD$579,'Por foco'!$A$2:$A$579,$A72,'Por foco'!$B$2:$B$579,$B72)</f>
        <v>0</v>
      </c>
      <c r="AC72" s="3" t="n">
        <f aca="false">SUMIFS('Por foco'!$AE$2:$AE$579,'Por foco'!$A$2:$A$579,$A72,'Por foco'!$B$2:$B$579,$B72)</f>
        <v>0</v>
      </c>
      <c r="AD72" s="3" t="n">
        <f aca="false">SUMIFS('Por foco'!$AF$2:$AF$579,'Por foco'!$A$2:$A$579,$A72,'Por foco'!$B$2:$B$579,$B72)</f>
        <v>0</v>
      </c>
      <c r="AE72" s="3" t="n">
        <f aca="false">SUMIFS('Por foco'!$AG$2:$AG$579,'Por foco'!$A$2:$A$579,$A72,'Por foco'!$B$2:$B$579,$B72)</f>
        <v>0</v>
      </c>
      <c r="AF72" s="3" t="n">
        <f aca="false">SUMIFS('Por foco'!$AH$2:$AH$579,'Por foco'!$A$2:$A$579,$A72,'Por foco'!$B$2:$B$579,$B72)</f>
        <v>0</v>
      </c>
      <c r="AG72" s="3" t="n">
        <f aca="false">SUMIFS('Por foco'!$AI$2:$AI$579,'Por foco'!$A$2:$A$579,$A72,'Por foco'!$B$2:$B$579,$B72)</f>
        <v>0</v>
      </c>
      <c r="AH72" s="3" t="n">
        <f aca="false">SUMIFS('Por foco'!$AJ$2:$AJ$579,'Por foco'!$A$2:$A$579,$A72,'Por foco'!$B$2:$B$579,$B72)</f>
        <v>0</v>
      </c>
      <c r="AI72" s="3" t="n">
        <f aca="false">SUMIFS('Por foco'!$AK$2:$AK$579,'Por foco'!$A$2:$A$579,$A72,'Por foco'!$B$2:$B$579,$B72)</f>
        <v>0</v>
      </c>
      <c r="AJ72" s="3" t="n">
        <f aca="false">SUMIFS('Por foco'!$AL$2:$AL$579,'Por foco'!$A$2:$A$579,$A72,'Por foco'!$B$2:$B$579,$B72)</f>
        <v>0</v>
      </c>
      <c r="AK72" s="3" t="n">
        <f aca="false">SUMIFS('Por foco'!$AM$2:$AM$579,'Por foco'!$A$2:$A$579,$A72,'Por foco'!$B$2:$B$579,$B72)</f>
        <v>0</v>
      </c>
      <c r="AL72" s="3" t="n">
        <f aca="false">SUMIFS('Por foco'!$AN$2:$AN$579,'Por foco'!$A$2:$A$579,$A72,'Por foco'!$B$2:$B$579,$B72)</f>
        <v>0</v>
      </c>
      <c r="AM72" s="3" t="n">
        <f aca="false">SUMIFS('Por foco'!$AO$2:$AO$579,'Por foco'!$A$2:$A$579,$A72,'Por foco'!$B$2:$B$579,$B72)</f>
        <v>0</v>
      </c>
      <c r="AN72" s="3" t="n">
        <f aca="false">SUMIFS('Por foco'!$AP$2:$AP$579,'Por foco'!$A$2:$A$579,$A72,'Por foco'!$B$2:$B$579,$B72)</f>
        <v>0</v>
      </c>
      <c r="AO72" s="3" t="n">
        <f aca="false">SUMIFS('Por foco'!$AQ$2:$AQ$579,'Por foco'!$A$2:$A$579,$A72,'Por foco'!$B$2:$B$579,$B72)</f>
        <v>25.5</v>
      </c>
      <c r="AP72" s="3" t="n">
        <f aca="false">SUMIFS('Por foco'!$AR$2:$AR$579,'Por foco'!$A$2:$A$579,$A72,'Por foco'!$B$2:$B$579,$B72)</f>
        <v>10</v>
      </c>
      <c r="AQ72" s="3" t="n">
        <f aca="false">SUMIFS('Por foco'!$AS$2:$AS$579,'Por foco'!$A$2:$A$579,$A72,'Por foco'!$B$2:$B$579,$B72)</f>
        <v>27</v>
      </c>
      <c r="AR72" s="3" t="n">
        <f aca="false">SUMIFS('Por foco'!$AT$2:$AT$579,'Por foco'!$A$2:$A$579,$A72,'Por foco'!$B$2:$B$579,$B72)</f>
        <v>0</v>
      </c>
      <c r="AS72" s="3" t="n">
        <f aca="false">SUMIFS('Por foco'!$AU$2:$AU$579,'Por foco'!$A$2:$A$579,$A72,'Por foco'!$B$2:$B$579,$B72)</f>
        <v>0</v>
      </c>
      <c r="AT72" s="3" t="n">
        <f aca="false">SUMIFS('Por foco'!$AV$2:$AV$579,'Por foco'!$A$2:$A$579,$A72,'Por foco'!$B$2:$B$579,$B72)</f>
        <v>0</v>
      </c>
      <c r="AU72" s="3" t="n">
        <f aca="false">SUMIFS('Por foco'!$AW$2:$AW$579,'Por foco'!$A$2:$A$579,$A72,'Por foco'!$B$2:$B$579,$B72)</f>
        <v>0</v>
      </c>
      <c r="AV72" s="3" t="n">
        <f aca="false">SUMIFS('Por foco'!$AX$2:$AX$579,'Por foco'!$A$2:$A$579,$A72,'Por foco'!$B$2:$B$579,$B72)</f>
        <v>0</v>
      </c>
      <c r="AW72" s="3" t="n">
        <f aca="false">SUMIFS('Por foco'!$AY$2:$AY$579,'Por foco'!$A$2:$A$579,$A72,'Por foco'!$B$2:$B$579,$B72)</f>
        <v>0</v>
      </c>
      <c r="AX72" s="3" t="n">
        <f aca="false">SUMIFS('Por foco'!$AZ$2:$AZ$579,'Por foco'!$A$2:$A$579,$A72,'Por foco'!$B$2:$B$579,$B72)</f>
        <v>0</v>
      </c>
      <c r="AY72" s="3" t="n">
        <f aca="false">SUMIFS('Por foco'!$BA$2:$BA$579,'Por foco'!$A$2:$A$579,$A72,'Por foco'!$B$2:$B$579,$B72)</f>
        <v>0</v>
      </c>
      <c r="AZ72" s="3" t="n">
        <f aca="false">SUMIFS('Por foco'!$BB$2:$BB$579,'Por foco'!$A$2:$A$579,$A72,'Por foco'!$B$2:$B$579,$B72)</f>
        <v>0</v>
      </c>
      <c r="BA72" s="3" t="n">
        <f aca="false">SUMIFS('Por foco'!$BC$2:$BC$579,'Por foco'!$A$2:$A$579,$A72,'Por foco'!$B$2:$B$579,$B72)</f>
        <v>0</v>
      </c>
      <c r="BB72" s="3" t="n">
        <f aca="false">SUMIFS('Por foco'!$BD$2:$BD$579,'Por foco'!$A$2:$A$579,$A72,'Por foco'!$B$2:$B$579,$B72)</f>
        <v>0</v>
      </c>
      <c r="BC72" s="3" t="n">
        <f aca="false">SUMIFS('Por foco'!$BE$2:$BE$579,'Por foco'!$A$2:$A$579,$A72,'Por foco'!$B$2:$B$579,$B72)</f>
        <v>0</v>
      </c>
      <c r="BD72" s="3" t="n">
        <f aca="false">SUMIFS('Por foco'!$BF$2:$BF$579,'Por foco'!$A$2:$A$579,$A72,'Por foco'!$B$2:$B$579,$B72)</f>
        <v>0</v>
      </c>
      <c r="BE72" s="3" t="n">
        <f aca="false">SUMIFS('Por foco'!$BG$2:$BG$579,'Por foco'!$A$2:$A$579,$A72,'Por foco'!$B$2:$B$579,$B72)</f>
        <v>0</v>
      </c>
    </row>
    <row r="73" customFormat="false" ht="15" hidden="false" customHeight="false" outlineLevel="0" collapsed="false">
      <c r="A73" s="3" t="s">
        <v>67</v>
      </c>
      <c r="B73" s="3" t="s">
        <v>80</v>
      </c>
      <c r="C73" s="3" t="n">
        <f aca="false">COUNTIFS('Por foco'!$A$2:$A$579,$A73,'Por foco'!$B$2:$B$579,$B73)</f>
        <v>4</v>
      </c>
      <c r="D73" s="6" t="n">
        <f aca="false">SUMIFS('Por foco'!$F$2:$F$579,'Por foco'!$A$2:$A$579,$A73,'Por foco'!$B$2:$B$579,$B73)</f>
        <v>664.5</v>
      </c>
      <c r="E73" s="3" t="n">
        <f aca="false">IF(C73=0,0,SUMIFS('Por foco'!$E$2:$E$579,'Por foco'!$A$2:$A$579,$A73,'Por foco'!$B$2:$B$579,$B73)/C73)</f>
        <v>1</v>
      </c>
      <c r="F73" s="3" t="n">
        <f aca="false">SUMIFS('Por foco'!$H$2:$H$579,'Por foco'!$A$2:$A$579,$A73,'Por foco'!$B$2:$B$579,$B73)</f>
        <v>315</v>
      </c>
      <c r="G73" s="3" t="n">
        <f aca="false">SUMIFS('Por foco'!$I$2:$I$579,'Por foco'!$A$2:$A$579,$A73,'Por foco'!$B$2:$B$579,$B73)</f>
        <v>170</v>
      </c>
      <c r="H73" s="3" t="n">
        <f aca="false">SUMIFS('Por foco'!$J$2:$J$579,'Por foco'!$A$2:$A$579,$A73,'Por foco'!$B$2:$B$579,$B73)</f>
        <v>5</v>
      </c>
      <c r="I73" s="3" t="n">
        <f aca="false">SUMIFS('Por foco'!$K$2:$K$579,'Por foco'!$A$2:$A$579,$A73,'Por foco'!$B$2:$B$579,$B73)</f>
        <v>5</v>
      </c>
      <c r="J73" s="3" t="n">
        <f aca="false">SUMIFS('Por foco'!$L$2:$L$579,'Por foco'!$A$2:$A$579,$A73,'Por foco'!$B$2:$B$579,$B73)</f>
        <v>0</v>
      </c>
      <c r="K73" s="3" t="n">
        <f aca="false">SUMIFS('Por foco'!$M$2:$M$579,'Por foco'!$A$2:$A$579,$A73,'Por foco'!$B$2:$B$579,$B73)</f>
        <v>25</v>
      </c>
      <c r="L73" s="3" t="n">
        <f aca="false">SUMIFS('Por foco'!$N$2:$N$579,'Por foco'!$A$2:$A$579,$A73,'Por foco'!$B$2:$B$579,$B73)</f>
        <v>0</v>
      </c>
      <c r="M73" s="3" t="n">
        <f aca="false">SUMIFS('Por foco'!$O$2:$O$579,'Por foco'!$A$2:$A$579,$A73,'Por foco'!$B$2:$B$579,$B73)</f>
        <v>0</v>
      </c>
      <c r="N73" s="3" t="n">
        <f aca="false">SUMIFS('Por foco'!$P$2:$P$579,'Por foco'!$A$2:$A$579,$A73,'Por foco'!$B$2:$B$579,$B73)</f>
        <v>0</v>
      </c>
      <c r="O73" s="3" t="n">
        <f aca="false">SUMIFS('Por foco'!$Q$2:$Q$579,'Por foco'!$A$2:$A$579,$A73,'Por foco'!$B$2:$B$579,$B73)</f>
        <v>0</v>
      </c>
      <c r="P73" s="3" t="n">
        <f aca="false">SUMIFS('Por foco'!$R$2:$R$579,'Por foco'!$A$2:$A$579,$A73,'Por foco'!$B$2:$B$579,$B73)</f>
        <v>0</v>
      </c>
      <c r="Q73" s="3" t="n">
        <f aca="false">SUMIFS('Por foco'!$S$2:$S$579,'Por foco'!$A$2:$A$579,$A73,'Por foco'!$B$2:$B$579,$B73)</f>
        <v>0</v>
      </c>
      <c r="R73" s="3" t="n">
        <f aca="false">SUMIFS('Por foco'!$T$2:$T$579,'Por foco'!$A$2:$A$579,$A73,'Por foco'!$B$2:$B$579,$B73)</f>
        <v>0</v>
      </c>
      <c r="S73" s="3" t="n">
        <f aca="false">SUMIFS('Por foco'!$U$2:$U$579,'Por foco'!$A$2:$A$579,$A73,'Por foco'!$B$2:$B$579,$B73)</f>
        <v>0</v>
      </c>
      <c r="T73" s="3" t="n">
        <f aca="false">SUMIFS('Por foco'!$V$2:$V$579,'Por foco'!$A$2:$A$579,$A73,'Por foco'!$B$2:$B$579,$B73)</f>
        <v>0</v>
      </c>
      <c r="U73" s="3" t="n">
        <f aca="false">SUMIFS('Por foco'!$W$2:$W$579,'Por foco'!$A$2:$A$579,$A73,'Por foco'!$B$2:$B$579,$B73)</f>
        <v>0</v>
      </c>
      <c r="V73" s="3" t="n">
        <f aca="false">SUMIFS('Por foco'!$X$2:$X$579,'Por foco'!$A$2:$A$579,$A73,'Por foco'!$B$2:$B$579,$B73)</f>
        <v>0</v>
      </c>
      <c r="W73" s="3" t="n">
        <f aca="false">SUMIFS('Por foco'!$Y$2:$Y$579,'Por foco'!$A$2:$A$579,$A73,'Por foco'!$B$2:$B$579,$B73)</f>
        <v>0</v>
      </c>
      <c r="X73" s="3" t="n">
        <f aca="false">SUMIFS('Por foco'!$Z$2:$Z$579,'Por foco'!$A$2:$A$579,$A73,'Por foco'!$B$2:$B$579,$B73)</f>
        <v>9</v>
      </c>
      <c r="Y73" s="3" t="n">
        <f aca="false">SUMIFS('Por foco'!$AA$2:$AA$579,'Por foco'!$A$2:$A$579,$A73,'Por foco'!$B$2:$B$579,$B73)</f>
        <v>0.15</v>
      </c>
      <c r="Z73" s="3" t="n">
        <f aca="false">SUMIFS('Por foco'!$AB$2:$AB$579,'Por foco'!$A$2:$A$579,$A73,'Por foco'!$B$2:$B$579,$B73)</f>
        <v>5</v>
      </c>
      <c r="AA73" s="3" t="n">
        <f aca="false">SUMIFS('Por foco'!$AC$2:$AC$579,'Por foco'!$A$2:$A$579,$A73,'Por foco'!$B$2:$B$579,$B73)</f>
        <v>5</v>
      </c>
      <c r="AB73" s="3" t="n">
        <f aca="false">SUMIFS('Por foco'!$AD$2:$AD$579,'Por foco'!$A$2:$A$579,$A73,'Por foco'!$B$2:$B$579,$B73)</f>
        <v>0</v>
      </c>
      <c r="AC73" s="3" t="n">
        <f aca="false">SUMIFS('Por foco'!$AE$2:$AE$579,'Por foco'!$A$2:$A$579,$A73,'Por foco'!$B$2:$B$579,$B73)</f>
        <v>0</v>
      </c>
      <c r="AD73" s="3" t="n">
        <f aca="false">SUMIFS('Por foco'!$AF$2:$AF$579,'Por foco'!$A$2:$A$579,$A73,'Por foco'!$B$2:$B$579,$B73)</f>
        <v>0</v>
      </c>
      <c r="AE73" s="3" t="n">
        <f aca="false">SUMIFS('Por foco'!$AG$2:$AG$579,'Por foco'!$A$2:$A$579,$A73,'Por foco'!$B$2:$B$579,$B73)</f>
        <v>0</v>
      </c>
      <c r="AF73" s="3" t="n">
        <f aca="false">SUMIFS('Por foco'!$AH$2:$AH$579,'Por foco'!$A$2:$A$579,$A73,'Por foco'!$B$2:$B$579,$B73)</f>
        <v>0</v>
      </c>
      <c r="AG73" s="3" t="n">
        <f aca="false">SUMIFS('Por foco'!$AI$2:$AI$579,'Por foco'!$A$2:$A$579,$A73,'Por foco'!$B$2:$B$579,$B73)</f>
        <v>0</v>
      </c>
      <c r="AH73" s="3" t="n">
        <f aca="false">SUMIFS('Por foco'!$AJ$2:$AJ$579,'Por foco'!$A$2:$A$579,$A73,'Por foco'!$B$2:$B$579,$B73)</f>
        <v>0</v>
      </c>
      <c r="AI73" s="3" t="n">
        <f aca="false">SUMIFS('Por foco'!$AK$2:$AK$579,'Por foco'!$A$2:$A$579,$A73,'Por foco'!$B$2:$B$579,$B73)</f>
        <v>0</v>
      </c>
      <c r="AJ73" s="3" t="n">
        <f aca="false">SUMIFS('Por foco'!$AL$2:$AL$579,'Por foco'!$A$2:$A$579,$A73,'Por foco'!$B$2:$B$579,$B73)</f>
        <v>0</v>
      </c>
      <c r="AK73" s="3" t="n">
        <f aca="false">SUMIFS('Por foco'!$AM$2:$AM$579,'Por foco'!$A$2:$A$579,$A73,'Por foco'!$B$2:$B$579,$B73)</f>
        <v>0</v>
      </c>
      <c r="AL73" s="3" t="n">
        <f aca="false">SUMIFS('Por foco'!$AN$2:$AN$579,'Por foco'!$A$2:$A$579,$A73,'Por foco'!$B$2:$B$579,$B73)</f>
        <v>0</v>
      </c>
      <c r="AM73" s="3" t="n">
        <f aca="false">SUMIFS('Por foco'!$AO$2:$AO$579,'Por foco'!$A$2:$A$579,$A73,'Por foco'!$B$2:$B$579,$B73)</f>
        <v>0</v>
      </c>
      <c r="AN73" s="3" t="n">
        <f aca="false">SUMIFS('Por foco'!$AP$2:$AP$579,'Por foco'!$A$2:$A$579,$A73,'Por foco'!$B$2:$B$579,$B73)</f>
        <v>0</v>
      </c>
      <c r="AO73" s="3" t="n">
        <f aca="false">SUMIFS('Por foco'!$AQ$2:$AQ$579,'Por foco'!$A$2:$A$579,$A73,'Por foco'!$B$2:$B$579,$B73)</f>
        <v>0</v>
      </c>
      <c r="AP73" s="3" t="n">
        <f aca="false">SUMIFS('Por foco'!$AR$2:$AR$579,'Por foco'!$A$2:$A$579,$A73,'Por foco'!$B$2:$B$579,$B73)</f>
        <v>0</v>
      </c>
      <c r="AQ73" s="3" t="n">
        <f aca="false">SUMIFS('Por foco'!$AS$2:$AS$579,'Por foco'!$A$2:$A$579,$A73,'Por foco'!$B$2:$B$579,$B73)</f>
        <v>0</v>
      </c>
      <c r="AR73" s="3" t="n">
        <f aca="false">SUMIFS('Por foco'!$AT$2:$AT$579,'Por foco'!$A$2:$A$579,$A73,'Por foco'!$B$2:$B$579,$B73)</f>
        <v>0</v>
      </c>
      <c r="AS73" s="3" t="n">
        <f aca="false">SUMIFS('Por foco'!$AU$2:$AU$579,'Por foco'!$A$2:$A$579,$A73,'Por foco'!$B$2:$B$579,$B73)</f>
        <v>0</v>
      </c>
      <c r="AT73" s="3" t="n">
        <f aca="false">SUMIFS('Por foco'!$AV$2:$AV$579,'Por foco'!$A$2:$A$579,$A73,'Por foco'!$B$2:$B$579,$B73)</f>
        <v>0</v>
      </c>
      <c r="AU73" s="3" t="n">
        <f aca="false">SUMIFS('Por foco'!$AW$2:$AW$579,'Por foco'!$A$2:$A$579,$A73,'Por foco'!$B$2:$B$579,$B73)</f>
        <v>0</v>
      </c>
      <c r="AV73" s="3" t="n">
        <f aca="false">SUMIFS('Por foco'!$AX$2:$AX$579,'Por foco'!$A$2:$A$579,$A73,'Por foco'!$B$2:$B$579,$B73)</f>
        <v>0</v>
      </c>
      <c r="AW73" s="3" t="n">
        <f aca="false">SUMIFS('Por foco'!$AY$2:$AY$579,'Por foco'!$A$2:$A$579,$A73,'Por foco'!$B$2:$B$579,$B73)</f>
        <v>0</v>
      </c>
      <c r="AX73" s="3" t="n">
        <f aca="false">SUMIFS('Por foco'!$AZ$2:$AZ$579,'Por foco'!$A$2:$A$579,$A73,'Por foco'!$B$2:$B$579,$B73)</f>
        <v>0</v>
      </c>
      <c r="AY73" s="3" t="n">
        <f aca="false">SUMIFS('Por foco'!$BA$2:$BA$579,'Por foco'!$A$2:$A$579,$A73,'Por foco'!$B$2:$B$579,$B73)</f>
        <v>0</v>
      </c>
      <c r="AZ73" s="3" t="n">
        <f aca="false">SUMIFS('Por foco'!$BB$2:$BB$579,'Por foco'!$A$2:$A$579,$A73,'Por foco'!$B$2:$B$579,$B73)</f>
        <v>0</v>
      </c>
      <c r="BA73" s="3" t="n">
        <f aca="false">SUMIFS('Por foco'!$BC$2:$BC$579,'Por foco'!$A$2:$A$579,$A73,'Por foco'!$B$2:$B$579,$B73)</f>
        <v>0</v>
      </c>
      <c r="BB73" s="3" t="n">
        <f aca="false">SUMIFS('Por foco'!$BD$2:$BD$579,'Por foco'!$A$2:$A$579,$A73,'Por foco'!$B$2:$B$579,$B73)</f>
        <v>0</v>
      </c>
      <c r="BC73" s="3" t="n">
        <f aca="false">SUMIFS('Por foco'!$BE$2:$BE$579,'Por foco'!$A$2:$A$579,$A73,'Por foco'!$B$2:$B$579,$B73)</f>
        <v>0</v>
      </c>
      <c r="BD73" s="3" t="n">
        <f aca="false">SUMIFS('Por foco'!$BF$2:$BF$579,'Por foco'!$A$2:$A$579,$A73,'Por foco'!$B$2:$B$579,$B73)</f>
        <v>0</v>
      </c>
      <c r="BE73" s="3" t="n">
        <f aca="false">SUMIFS('Por foco'!$BG$2:$BG$579,'Por foco'!$A$2:$A$579,$A73,'Por foco'!$B$2:$B$579,$B73)</f>
        <v>0</v>
      </c>
    </row>
    <row r="74" customFormat="false" ht="15" hidden="false" customHeight="false" outlineLevel="0" collapsed="false">
      <c r="A74" s="3" t="s">
        <v>67</v>
      </c>
      <c r="B74" s="3" t="s">
        <v>143</v>
      </c>
      <c r="C74" s="3" t="n">
        <f aca="false">COUNTIFS('Por foco'!$A$2:$A$579,$A74,'Por foco'!$B$2:$B$579,$B74)</f>
        <v>12</v>
      </c>
      <c r="D74" s="6" t="n">
        <f aca="false">SUMIFS('Por foco'!$F$2:$F$579,'Por foco'!$A$2:$A$579,$A74,'Por foco'!$B$2:$B$579,$B74)</f>
        <v>2429.45</v>
      </c>
      <c r="E74" s="3" t="n">
        <f aca="false">IF(C74=0,0,SUMIFS('Por foco'!$E$2:$E$579,'Por foco'!$A$2:$A$579,$A74,'Por foco'!$B$2:$B$579,$B74)/C74)</f>
        <v>0.583333333333333</v>
      </c>
      <c r="F74" s="3" t="n">
        <f aca="false">SUMIFS('Por foco'!$H$2:$H$579,'Por foco'!$A$2:$A$579,$A74,'Por foco'!$B$2:$B$579,$B74)</f>
        <v>896</v>
      </c>
      <c r="G74" s="3" t="n">
        <f aca="false">SUMIFS('Por foco'!$I$2:$I$579,'Por foco'!$A$2:$A$579,$A74,'Por foco'!$B$2:$B$579,$B74)</f>
        <v>200</v>
      </c>
      <c r="H74" s="3" t="n">
        <f aca="false">SUMIFS('Por foco'!$J$2:$J$579,'Por foco'!$A$2:$A$579,$A74,'Por foco'!$B$2:$B$579,$B74)</f>
        <v>8</v>
      </c>
      <c r="I74" s="3" t="n">
        <f aca="false">SUMIFS('Por foco'!$K$2:$K$579,'Por foco'!$A$2:$A$579,$A74,'Por foco'!$B$2:$B$579,$B74)</f>
        <v>0</v>
      </c>
      <c r="J74" s="3" t="n">
        <f aca="false">SUMIFS('Por foco'!$L$2:$L$579,'Por foco'!$A$2:$A$579,$A74,'Por foco'!$B$2:$B$579,$B74)</f>
        <v>0</v>
      </c>
      <c r="K74" s="3" t="n">
        <f aca="false">SUMIFS('Por foco'!$M$2:$M$579,'Por foco'!$A$2:$A$579,$A74,'Por foco'!$B$2:$B$579,$B74)</f>
        <v>0</v>
      </c>
      <c r="L74" s="3" t="n">
        <f aca="false">SUMIFS('Por foco'!$N$2:$N$579,'Por foco'!$A$2:$A$579,$A74,'Por foco'!$B$2:$B$579,$B74)</f>
        <v>0</v>
      </c>
      <c r="M74" s="3" t="n">
        <f aca="false">SUMIFS('Por foco'!$O$2:$O$579,'Por foco'!$A$2:$A$579,$A74,'Por foco'!$B$2:$B$579,$B74)</f>
        <v>0</v>
      </c>
      <c r="N74" s="3" t="n">
        <f aca="false">SUMIFS('Por foco'!$P$2:$P$579,'Por foco'!$A$2:$A$579,$A74,'Por foco'!$B$2:$B$579,$B74)</f>
        <v>0</v>
      </c>
      <c r="O74" s="3" t="n">
        <f aca="false">SUMIFS('Por foco'!$Q$2:$Q$579,'Por foco'!$A$2:$A$579,$A74,'Por foco'!$B$2:$B$579,$B74)</f>
        <v>0</v>
      </c>
      <c r="P74" s="3" t="n">
        <f aca="false">SUMIFS('Por foco'!$R$2:$R$579,'Por foco'!$A$2:$A$579,$A74,'Por foco'!$B$2:$B$579,$B74)</f>
        <v>6</v>
      </c>
      <c r="Q74" s="3" t="n">
        <f aca="false">SUMIFS('Por foco'!$S$2:$S$579,'Por foco'!$A$2:$A$579,$A74,'Por foco'!$B$2:$B$579,$B74)</f>
        <v>0</v>
      </c>
      <c r="R74" s="3" t="n">
        <f aca="false">SUMIFS('Por foco'!$T$2:$T$579,'Por foco'!$A$2:$A$579,$A74,'Por foco'!$B$2:$B$579,$B74)</f>
        <v>0</v>
      </c>
      <c r="S74" s="3" t="n">
        <f aca="false">SUMIFS('Por foco'!$U$2:$U$579,'Por foco'!$A$2:$A$579,$A74,'Por foco'!$B$2:$B$579,$B74)</f>
        <v>0</v>
      </c>
      <c r="T74" s="3" t="n">
        <f aca="false">SUMIFS('Por foco'!$V$2:$V$579,'Por foco'!$A$2:$A$579,$A74,'Por foco'!$B$2:$B$579,$B74)</f>
        <v>0</v>
      </c>
      <c r="U74" s="3" t="n">
        <f aca="false">SUMIFS('Por foco'!$W$2:$W$579,'Por foco'!$A$2:$A$579,$A74,'Por foco'!$B$2:$B$579,$B74)</f>
        <v>0</v>
      </c>
      <c r="V74" s="3" t="n">
        <f aca="false">SUMIFS('Por foco'!$X$2:$X$579,'Por foco'!$A$2:$A$579,$A74,'Por foco'!$B$2:$B$579,$B74)</f>
        <v>0</v>
      </c>
      <c r="W74" s="3" t="n">
        <f aca="false">SUMIFS('Por foco'!$Y$2:$Y$579,'Por foco'!$A$2:$A$579,$A74,'Por foco'!$B$2:$B$579,$B74)</f>
        <v>0</v>
      </c>
      <c r="X74" s="3" t="n">
        <f aca="false">SUMIFS('Por foco'!$Z$2:$Z$579,'Por foco'!$A$2:$A$579,$A74,'Por foco'!$B$2:$B$579,$B74)</f>
        <v>0</v>
      </c>
      <c r="Y74" s="3" t="n">
        <f aca="false">SUMIFS('Por foco'!$AA$2:$AA$579,'Por foco'!$A$2:$A$579,$A74,'Por foco'!$B$2:$B$579,$B74)</f>
        <v>0.3</v>
      </c>
      <c r="Z74" s="3" t="n">
        <f aca="false">SUMIFS('Por foco'!$AB$2:$AB$579,'Por foco'!$A$2:$A$579,$A74,'Por foco'!$B$2:$B$579,$B74)</f>
        <v>15</v>
      </c>
      <c r="AA74" s="3" t="n">
        <f aca="false">SUMIFS('Por foco'!$AC$2:$AC$579,'Por foco'!$A$2:$A$579,$A74,'Por foco'!$B$2:$B$579,$B74)</f>
        <v>-5</v>
      </c>
      <c r="AB74" s="3" t="n">
        <f aca="false">SUMIFS('Por foco'!$AD$2:$AD$579,'Por foco'!$A$2:$A$579,$A74,'Por foco'!$B$2:$B$579,$B74)</f>
        <v>0</v>
      </c>
      <c r="AC74" s="3" t="n">
        <f aca="false">SUMIFS('Por foco'!$AE$2:$AE$579,'Por foco'!$A$2:$A$579,$A74,'Por foco'!$B$2:$B$579,$B74)</f>
        <v>20</v>
      </c>
      <c r="AD74" s="3" t="n">
        <f aca="false">SUMIFS('Por foco'!$AF$2:$AF$579,'Por foco'!$A$2:$A$579,$A74,'Por foco'!$B$2:$B$579,$B74)</f>
        <v>0</v>
      </c>
      <c r="AE74" s="3" t="n">
        <f aca="false">SUMIFS('Por foco'!$AG$2:$AG$579,'Por foco'!$A$2:$A$579,$A74,'Por foco'!$B$2:$B$579,$B74)</f>
        <v>20</v>
      </c>
      <c r="AF74" s="3" t="n">
        <f aca="false">SUMIFS('Por foco'!$AH$2:$AH$579,'Por foco'!$A$2:$A$579,$A74,'Por foco'!$B$2:$B$579,$B74)</f>
        <v>0</v>
      </c>
      <c r="AG74" s="3" t="n">
        <f aca="false">SUMIFS('Por foco'!$AI$2:$AI$579,'Por foco'!$A$2:$A$579,$A74,'Por foco'!$B$2:$B$579,$B74)</f>
        <v>10</v>
      </c>
      <c r="AH74" s="3" t="n">
        <f aca="false">SUMIFS('Por foco'!$AJ$2:$AJ$579,'Por foco'!$A$2:$A$579,$A74,'Por foco'!$B$2:$B$579,$B74)</f>
        <v>0</v>
      </c>
      <c r="AI74" s="3" t="n">
        <f aca="false">SUMIFS('Por foco'!$AK$2:$AK$579,'Por foco'!$A$2:$A$579,$A74,'Por foco'!$B$2:$B$579,$B74)</f>
        <v>0</v>
      </c>
      <c r="AJ74" s="3" t="n">
        <f aca="false">SUMIFS('Por foco'!$AL$2:$AL$579,'Por foco'!$A$2:$A$579,$A74,'Por foco'!$B$2:$B$579,$B74)</f>
        <v>-15</v>
      </c>
      <c r="AK74" s="3" t="n">
        <f aca="false">SUMIFS('Por foco'!$AM$2:$AM$579,'Por foco'!$A$2:$A$579,$A74,'Por foco'!$B$2:$B$579,$B74)</f>
        <v>0</v>
      </c>
      <c r="AL74" s="3" t="n">
        <f aca="false">SUMIFS('Por foco'!$AN$2:$AN$579,'Por foco'!$A$2:$A$579,$A74,'Por foco'!$B$2:$B$579,$B74)</f>
        <v>0</v>
      </c>
      <c r="AM74" s="3" t="n">
        <f aca="false">SUMIFS('Por foco'!$AO$2:$AO$579,'Por foco'!$A$2:$A$579,$A74,'Por foco'!$B$2:$B$579,$B74)</f>
        <v>0.15</v>
      </c>
      <c r="AN74" s="3" t="n">
        <f aca="false">SUMIFS('Por foco'!$AP$2:$AP$579,'Por foco'!$A$2:$A$579,$A74,'Por foco'!$B$2:$B$579,$B74)</f>
        <v>0</v>
      </c>
      <c r="AO74" s="3" t="n">
        <f aca="false">SUMIFS('Por foco'!$AQ$2:$AQ$579,'Por foco'!$A$2:$A$579,$A74,'Por foco'!$B$2:$B$579,$B74)</f>
        <v>0</v>
      </c>
      <c r="AP74" s="3" t="n">
        <f aca="false">SUMIFS('Por foco'!$AR$2:$AR$579,'Por foco'!$A$2:$A$579,$A74,'Por foco'!$B$2:$B$579,$B74)</f>
        <v>0</v>
      </c>
      <c r="AQ74" s="3" t="n">
        <f aca="false">SUMIFS('Por foco'!$AS$2:$AS$579,'Por foco'!$A$2:$A$579,$A74,'Por foco'!$B$2:$B$579,$B74)</f>
        <v>0</v>
      </c>
      <c r="AR74" s="3" t="n">
        <f aca="false">SUMIFS('Por foco'!$AT$2:$AT$579,'Por foco'!$A$2:$A$579,$A74,'Por foco'!$B$2:$B$579,$B74)</f>
        <v>0</v>
      </c>
      <c r="AS74" s="3" t="n">
        <f aca="false">SUMIFS('Por foco'!$AU$2:$AU$579,'Por foco'!$A$2:$A$579,$A74,'Por foco'!$B$2:$B$579,$B74)</f>
        <v>0</v>
      </c>
      <c r="AT74" s="3" t="n">
        <f aca="false">SUMIFS('Por foco'!$AV$2:$AV$579,'Por foco'!$A$2:$A$579,$A74,'Por foco'!$B$2:$B$579,$B74)</f>
        <v>0</v>
      </c>
      <c r="AU74" s="3" t="n">
        <f aca="false">SUMIFS('Por foco'!$AW$2:$AW$579,'Por foco'!$A$2:$A$579,$A74,'Por foco'!$B$2:$B$579,$B74)</f>
        <v>0</v>
      </c>
      <c r="AV74" s="3" t="n">
        <f aca="false">SUMIFS('Por foco'!$AX$2:$AX$579,'Por foco'!$A$2:$A$579,$A74,'Por foco'!$B$2:$B$579,$B74)</f>
        <v>0</v>
      </c>
      <c r="AW74" s="3" t="n">
        <f aca="false">SUMIFS('Por foco'!$AY$2:$AY$579,'Por foco'!$A$2:$A$579,$A74,'Por foco'!$B$2:$B$579,$B74)</f>
        <v>0</v>
      </c>
      <c r="AX74" s="3" t="n">
        <f aca="false">SUMIFS('Por foco'!$AZ$2:$AZ$579,'Por foco'!$A$2:$A$579,$A74,'Por foco'!$B$2:$B$579,$B74)</f>
        <v>0</v>
      </c>
      <c r="AY74" s="3" t="n">
        <f aca="false">SUMIFS('Por foco'!$BA$2:$BA$579,'Por foco'!$A$2:$A$579,$A74,'Por foco'!$B$2:$B$579,$B74)</f>
        <v>0</v>
      </c>
      <c r="AZ74" s="3" t="n">
        <f aca="false">SUMIFS('Por foco'!$BB$2:$BB$579,'Por foco'!$A$2:$A$579,$A74,'Por foco'!$B$2:$B$579,$B74)</f>
        <v>0</v>
      </c>
      <c r="BA74" s="3" t="n">
        <f aca="false">SUMIFS('Por foco'!$BC$2:$BC$579,'Por foco'!$A$2:$A$579,$A74,'Por foco'!$B$2:$B$579,$B74)</f>
        <v>0</v>
      </c>
      <c r="BB74" s="3" t="n">
        <f aca="false">SUMIFS('Por foco'!$BD$2:$BD$579,'Por foco'!$A$2:$A$579,$A74,'Por foco'!$B$2:$B$579,$B74)</f>
        <v>0</v>
      </c>
      <c r="BC74" s="3" t="n">
        <f aca="false">SUMIFS('Por foco'!$BE$2:$BE$579,'Por foco'!$A$2:$A$579,$A74,'Por foco'!$B$2:$B$579,$B74)</f>
        <v>0</v>
      </c>
      <c r="BD74" s="3" t="n">
        <f aca="false">SUMIFS('Por foco'!$BF$2:$BF$579,'Por foco'!$A$2:$A$579,$A74,'Por foco'!$B$2:$B$579,$B74)</f>
        <v>0</v>
      </c>
      <c r="BE74" s="3" t="n">
        <f aca="false">SUMIFS('Por foco'!$BG$2:$BG$579,'Por foco'!$A$2:$A$579,$A74,'Por foco'!$B$2:$B$579,$B74)</f>
        <v>0</v>
      </c>
    </row>
    <row r="75" customFormat="false" ht="15" hidden="false" customHeight="false" outlineLevel="0" collapsed="false">
      <c r="A75" s="3" t="s">
        <v>67</v>
      </c>
      <c r="B75" s="3" t="s">
        <v>144</v>
      </c>
      <c r="C75" s="3" t="n">
        <f aca="false">COUNTIFS('Por foco'!$A$2:$A$579,$A75,'Por foco'!$B$2:$B$579,$B75)</f>
        <v>8</v>
      </c>
      <c r="D75" s="6" t="n">
        <f aca="false">SUMIFS('Por foco'!$F$2:$F$579,'Por foco'!$A$2:$A$579,$A75,'Por foco'!$B$2:$B$579,$B75)</f>
        <v>1800</v>
      </c>
      <c r="E75" s="3" t="n">
        <f aca="false">IF(C75=0,0,SUMIFS('Por foco'!$E$2:$E$579,'Por foco'!$A$2:$A$579,$A75,'Por foco'!$B$2:$B$579,$B75)/C75)</f>
        <v>1</v>
      </c>
      <c r="F75" s="3" t="n">
        <f aca="false">SUMIFS('Por foco'!$H$2:$H$579,'Por foco'!$A$2:$A$579,$A75,'Por foco'!$B$2:$B$579,$B75)</f>
        <v>532</v>
      </c>
      <c r="G75" s="3" t="n">
        <f aca="false">SUMIFS('Por foco'!$I$2:$I$579,'Por foco'!$A$2:$A$579,$A75,'Por foco'!$B$2:$B$579,$B75)</f>
        <v>50</v>
      </c>
      <c r="H75" s="3" t="n">
        <f aca="false">SUMIFS('Por foco'!$J$2:$J$579,'Por foco'!$A$2:$A$579,$A75,'Por foco'!$B$2:$B$579,$B75)</f>
        <v>0</v>
      </c>
      <c r="I75" s="3" t="n">
        <f aca="false">SUMIFS('Por foco'!$K$2:$K$579,'Por foco'!$A$2:$A$579,$A75,'Por foco'!$B$2:$B$579,$B75)</f>
        <v>0</v>
      </c>
      <c r="J75" s="3" t="n">
        <f aca="false">SUMIFS('Por foco'!$L$2:$L$579,'Por foco'!$A$2:$A$579,$A75,'Por foco'!$B$2:$B$579,$B75)</f>
        <v>0</v>
      </c>
      <c r="K75" s="3" t="n">
        <f aca="false">SUMIFS('Por foco'!$M$2:$M$579,'Por foco'!$A$2:$A$579,$A75,'Por foco'!$B$2:$B$579,$B75)</f>
        <v>0</v>
      </c>
      <c r="L75" s="3" t="n">
        <f aca="false">SUMIFS('Por foco'!$N$2:$N$579,'Por foco'!$A$2:$A$579,$A75,'Por foco'!$B$2:$B$579,$B75)</f>
        <v>0</v>
      </c>
      <c r="M75" s="3" t="n">
        <f aca="false">SUMIFS('Por foco'!$O$2:$O$579,'Por foco'!$A$2:$A$579,$A75,'Por foco'!$B$2:$B$579,$B75)</f>
        <v>0</v>
      </c>
      <c r="N75" s="3" t="n">
        <f aca="false">SUMIFS('Por foco'!$P$2:$P$579,'Por foco'!$A$2:$A$579,$A75,'Por foco'!$B$2:$B$579,$B75)</f>
        <v>0</v>
      </c>
      <c r="O75" s="3" t="n">
        <f aca="false">SUMIFS('Por foco'!$Q$2:$Q$579,'Por foco'!$A$2:$A$579,$A75,'Por foco'!$B$2:$B$579,$B75)</f>
        <v>2</v>
      </c>
      <c r="P75" s="3" t="n">
        <f aca="false">SUMIFS('Por foco'!$R$2:$R$579,'Por foco'!$A$2:$A$579,$A75,'Por foco'!$B$2:$B$579,$B75)</f>
        <v>5</v>
      </c>
      <c r="Q75" s="3" t="n">
        <f aca="false">SUMIFS('Por foco'!$S$2:$S$579,'Por foco'!$A$2:$A$579,$A75,'Por foco'!$B$2:$B$579,$B75)</f>
        <v>5</v>
      </c>
      <c r="R75" s="3" t="n">
        <f aca="false">SUMIFS('Por foco'!$T$2:$T$579,'Por foco'!$A$2:$A$579,$A75,'Por foco'!$B$2:$B$579,$B75)</f>
        <v>2</v>
      </c>
      <c r="S75" s="3" t="n">
        <f aca="false">SUMIFS('Por foco'!$U$2:$U$579,'Por foco'!$A$2:$A$579,$A75,'Por foco'!$B$2:$B$579,$B75)</f>
        <v>2</v>
      </c>
      <c r="T75" s="3" t="n">
        <f aca="false">SUMIFS('Por foco'!$V$2:$V$579,'Por foco'!$A$2:$A$579,$A75,'Por foco'!$B$2:$B$579,$B75)</f>
        <v>0</v>
      </c>
      <c r="U75" s="3" t="n">
        <f aca="false">SUMIFS('Por foco'!$W$2:$W$579,'Por foco'!$A$2:$A$579,$A75,'Por foco'!$B$2:$B$579,$B75)</f>
        <v>0</v>
      </c>
      <c r="V75" s="3" t="n">
        <f aca="false">SUMIFS('Por foco'!$X$2:$X$579,'Por foco'!$A$2:$A$579,$A75,'Por foco'!$B$2:$B$579,$B75)</f>
        <v>0</v>
      </c>
      <c r="W75" s="3" t="n">
        <f aca="false">SUMIFS('Por foco'!$Y$2:$Y$579,'Por foco'!$A$2:$A$579,$A75,'Por foco'!$B$2:$B$579,$B75)</f>
        <v>0</v>
      </c>
      <c r="X75" s="3" t="n">
        <f aca="false">SUMIFS('Por foco'!$Z$2:$Z$579,'Por foco'!$A$2:$A$579,$A75,'Por foco'!$B$2:$B$579,$B75)</f>
        <v>0</v>
      </c>
      <c r="Y75" s="3" t="n">
        <f aca="false">SUMIFS('Por foco'!$AA$2:$AA$579,'Por foco'!$A$2:$A$579,$A75,'Por foco'!$B$2:$B$579,$B75)</f>
        <v>0</v>
      </c>
      <c r="Z75" s="3" t="n">
        <f aca="false">SUMIFS('Por foco'!$AB$2:$AB$579,'Por foco'!$A$2:$A$579,$A75,'Por foco'!$B$2:$B$579,$B75)</f>
        <v>0</v>
      </c>
      <c r="AA75" s="3" t="n">
        <f aca="false">SUMIFS('Por foco'!$AC$2:$AC$579,'Por foco'!$A$2:$A$579,$A75,'Por foco'!$B$2:$B$579,$B75)</f>
        <v>0</v>
      </c>
      <c r="AB75" s="3" t="n">
        <f aca="false">SUMIFS('Por foco'!$AD$2:$AD$579,'Por foco'!$A$2:$A$579,$A75,'Por foco'!$B$2:$B$579,$B75)</f>
        <v>0</v>
      </c>
      <c r="AC75" s="3" t="n">
        <f aca="false">SUMIFS('Por foco'!$AE$2:$AE$579,'Por foco'!$A$2:$A$579,$A75,'Por foco'!$B$2:$B$579,$B75)</f>
        <v>0</v>
      </c>
      <c r="AD75" s="3" t="n">
        <f aca="false">SUMIFS('Por foco'!$AF$2:$AF$579,'Por foco'!$A$2:$A$579,$A75,'Por foco'!$B$2:$B$579,$B75)</f>
        <v>0</v>
      </c>
      <c r="AE75" s="3" t="n">
        <f aca="false">SUMIFS('Por foco'!$AG$2:$AG$579,'Por foco'!$A$2:$A$579,$A75,'Por foco'!$B$2:$B$579,$B75)</f>
        <v>20</v>
      </c>
      <c r="AF75" s="3" t="n">
        <f aca="false">SUMIFS('Por foco'!$AH$2:$AH$579,'Por foco'!$A$2:$A$579,$A75,'Por foco'!$B$2:$B$579,$B75)</f>
        <v>0</v>
      </c>
      <c r="AG75" s="3" t="n">
        <f aca="false">SUMIFS('Por foco'!$AI$2:$AI$579,'Por foco'!$A$2:$A$579,$A75,'Por foco'!$B$2:$B$579,$B75)</f>
        <v>0</v>
      </c>
      <c r="AH75" s="3" t="n">
        <f aca="false">SUMIFS('Por foco'!$AJ$2:$AJ$579,'Por foco'!$A$2:$A$579,$A75,'Por foco'!$B$2:$B$579,$B75)</f>
        <v>10</v>
      </c>
      <c r="AI75" s="3" t="n">
        <f aca="false">SUMIFS('Por foco'!$AK$2:$AK$579,'Por foco'!$A$2:$A$579,$A75,'Por foco'!$B$2:$B$579,$B75)</f>
        <v>0</v>
      </c>
      <c r="AJ75" s="3" t="n">
        <f aca="false">SUMIFS('Por foco'!$AL$2:$AL$579,'Por foco'!$A$2:$A$579,$A75,'Por foco'!$B$2:$B$579,$B75)</f>
        <v>0</v>
      </c>
      <c r="AK75" s="3" t="n">
        <f aca="false">SUMIFS('Por foco'!$AM$2:$AM$579,'Por foco'!$A$2:$A$579,$A75,'Por foco'!$B$2:$B$579,$B75)</f>
        <v>0</v>
      </c>
      <c r="AL75" s="3" t="n">
        <f aca="false">SUMIFS('Por foco'!$AN$2:$AN$579,'Por foco'!$A$2:$A$579,$A75,'Por foco'!$B$2:$B$579,$B75)</f>
        <v>0</v>
      </c>
      <c r="AM75" s="3" t="n">
        <f aca="false">SUMIFS('Por foco'!$AO$2:$AO$579,'Por foco'!$A$2:$A$579,$A75,'Por foco'!$B$2:$B$579,$B75)</f>
        <v>0</v>
      </c>
      <c r="AN75" s="3" t="n">
        <f aca="false">SUMIFS('Por foco'!$AP$2:$AP$579,'Por foco'!$A$2:$A$579,$A75,'Por foco'!$B$2:$B$579,$B75)</f>
        <v>0</v>
      </c>
      <c r="AO75" s="3" t="n">
        <f aca="false">SUMIFS('Por foco'!$AQ$2:$AQ$579,'Por foco'!$A$2:$A$579,$A75,'Por foco'!$B$2:$B$579,$B75)</f>
        <v>0</v>
      </c>
      <c r="AP75" s="3" t="n">
        <f aca="false">SUMIFS('Por foco'!$AR$2:$AR$579,'Por foco'!$A$2:$A$579,$A75,'Por foco'!$B$2:$B$579,$B75)</f>
        <v>0</v>
      </c>
      <c r="AQ75" s="3" t="n">
        <f aca="false">SUMIFS('Por foco'!$AS$2:$AS$579,'Por foco'!$A$2:$A$579,$A75,'Por foco'!$B$2:$B$579,$B75)</f>
        <v>0</v>
      </c>
      <c r="AR75" s="3" t="n">
        <f aca="false">SUMIFS('Por foco'!$AT$2:$AT$579,'Por foco'!$A$2:$A$579,$A75,'Por foco'!$B$2:$B$579,$B75)</f>
        <v>0</v>
      </c>
      <c r="AS75" s="3" t="n">
        <f aca="false">SUMIFS('Por foco'!$AU$2:$AU$579,'Por foco'!$A$2:$A$579,$A75,'Por foco'!$B$2:$B$579,$B75)</f>
        <v>0</v>
      </c>
      <c r="AT75" s="3" t="n">
        <f aca="false">SUMIFS('Por foco'!$AV$2:$AV$579,'Por foco'!$A$2:$A$579,$A75,'Por foco'!$B$2:$B$579,$B75)</f>
        <v>0</v>
      </c>
      <c r="AU75" s="3" t="n">
        <f aca="false">SUMIFS('Por foco'!$AW$2:$AW$579,'Por foco'!$A$2:$A$579,$A75,'Por foco'!$B$2:$B$579,$B75)</f>
        <v>0</v>
      </c>
      <c r="AV75" s="3" t="n">
        <f aca="false">SUMIFS('Por foco'!$AX$2:$AX$579,'Por foco'!$A$2:$A$579,$A75,'Por foco'!$B$2:$B$579,$B75)</f>
        <v>0</v>
      </c>
      <c r="AW75" s="3" t="n">
        <f aca="false">SUMIFS('Por foco'!$AY$2:$AY$579,'Por foco'!$A$2:$A$579,$A75,'Por foco'!$B$2:$B$579,$B75)</f>
        <v>0</v>
      </c>
      <c r="AX75" s="3" t="n">
        <f aca="false">SUMIFS('Por foco'!$AZ$2:$AZ$579,'Por foco'!$A$2:$A$579,$A75,'Por foco'!$B$2:$B$579,$B75)</f>
        <v>0</v>
      </c>
      <c r="AY75" s="3" t="n">
        <f aca="false">SUMIFS('Por foco'!$BA$2:$BA$579,'Por foco'!$A$2:$A$579,$A75,'Por foco'!$B$2:$B$579,$B75)</f>
        <v>0</v>
      </c>
      <c r="AZ75" s="3" t="n">
        <f aca="false">SUMIFS('Por foco'!$BB$2:$BB$579,'Por foco'!$A$2:$A$579,$A75,'Por foco'!$B$2:$B$579,$B75)</f>
        <v>0</v>
      </c>
      <c r="BA75" s="3" t="n">
        <f aca="false">SUMIFS('Por foco'!$BC$2:$BC$579,'Por foco'!$A$2:$A$579,$A75,'Por foco'!$B$2:$B$579,$B75)</f>
        <v>0</v>
      </c>
      <c r="BB75" s="3" t="n">
        <f aca="false">SUMIFS('Por foco'!$BD$2:$BD$579,'Por foco'!$A$2:$A$579,$A75,'Por foco'!$B$2:$B$579,$B75)</f>
        <v>0</v>
      </c>
      <c r="BC75" s="3" t="n">
        <f aca="false">SUMIFS('Por foco'!$BE$2:$BE$579,'Por foco'!$A$2:$A$579,$A75,'Por foco'!$B$2:$B$579,$B75)</f>
        <v>0</v>
      </c>
      <c r="BD75" s="3" t="n">
        <f aca="false">SUMIFS('Por foco'!$BF$2:$BF$579,'Por foco'!$A$2:$A$579,$A75,'Por foco'!$B$2:$B$579,$B75)</f>
        <v>0</v>
      </c>
      <c r="BE75" s="3" t="n">
        <f aca="false">SUMIFS('Por foco'!$BG$2:$BG$579,'Por foco'!$A$2:$A$579,$A75,'Por foco'!$B$2:$B$579,$B75)</f>
        <v>0</v>
      </c>
    </row>
    <row r="76" customFormat="false" ht="15" hidden="false" customHeight="false" outlineLevel="0" collapsed="false">
      <c r="A76" s="3" t="s">
        <v>67</v>
      </c>
      <c r="B76" s="3" t="s">
        <v>145</v>
      </c>
      <c r="C76" s="3" t="n">
        <f aca="false">COUNTIFS('Por foco'!$A$2:$A$579,$A76,'Por foco'!$B$2:$B$579,$B76)</f>
        <v>8</v>
      </c>
      <c r="D76" s="6" t="n">
        <f aca="false">SUMIFS('Por foco'!$F$2:$F$579,'Por foco'!$A$2:$A$579,$A76,'Por foco'!$B$2:$B$579,$B76)</f>
        <v>1112.25</v>
      </c>
      <c r="E76" s="3" t="n">
        <f aca="false">IF(C76=0,0,SUMIFS('Por foco'!$E$2:$E$579,'Por foco'!$A$2:$A$579,$A76,'Por foco'!$B$2:$B$579,$B76)/C76)</f>
        <v>1</v>
      </c>
      <c r="F76" s="3" t="n">
        <f aca="false">SUMIFS('Por foco'!$H$2:$H$579,'Por foco'!$A$2:$A$579,$A76,'Por foco'!$B$2:$B$579,$B76)</f>
        <v>511</v>
      </c>
      <c r="G76" s="3" t="n">
        <f aca="false">SUMIFS('Por foco'!$I$2:$I$579,'Por foco'!$A$2:$A$579,$A76,'Por foco'!$B$2:$B$579,$B76)</f>
        <v>0</v>
      </c>
      <c r="H76" s="3" t="n">
        <f aca="false">SUMIFS('Por foco'!$J$2:$J$579,'Por foco'!$A$2:$A$579,$A76,'Por foco'!$B$2:$B$579,$B76)</f>
        <v>0</v>
      </c>
      <c r="I76" s="3" t="n">
        <f aca="false">SUMIFS('Por foco'!$K$2:$K$579,'Por foco'!$A$2:$A$579,$A76,'Por foco'!$B$2:$B$579,$B76)</f>
        <v>0</v>
      </c>
      <c r="J76" s="3" t="n">
        <f aca="false">SUMIFS('Por foco'!$L$2:$L$579,'Por foco'!$A$2:$A$579,$A76,'Por foco'!$B$2:$B$579,$B76)</f>
        <v>200000</v>
      </c>
      <c r="K76" s="3" t="n">
        <f aca="false">SUMIFS('Por foco'!$M$2:$M$579,'Por foco'!$A$2:$A$579,$A76,'Por foco'!$B$2:$B$579,$B76)</f>
        <v>50</v>
      </c>
      <c r="L76" s="3" t="n">
        <f aca="false">SUMIFS('Por foco'!$N$2:$N$579,'Por foco'!$A$2:$A$579,$A76,'Por foco'!$B$2:$B$579,$B76)</f>
        <v>0</v>
      </c>
      <c r="M76" s="3" t="n">
        <f aca="false">SUMIFS('Por foco'!$O$2:$O$579,'Por foco'!$A$2:$A$579,$A76,'Por foco'!$B$2:$B$579,$B76)</f>
        <v>0</v>
      </c>
      <c r="N76" s="3" t="n">
        <f aca="false">SUMIFS('Por foco'!$P$2:$P$579,'Por foco'!$A$2:$A$579,$A76,'Por foco'!$B$2:$B$579,$B76)</f>
        <v>0</v>
      </c>
      <c r="O76" s="3" t="n">
        <f aca="false">SUMIFS('Por foco'!$Q$2:$Q$579,'Por foco'!$A$2:$A$579,$A76,'Por foco'!$B$2:$B$579,$B76)</f>
        <v>6</v>
      </c>
      <c r="P76" s="3" t="n">
        <f aca="false">SUMIFS('Por foco'!$R$2:$R$579,'Por foco'!$A$2:$A$579,$A76,'Por foco'!$B$2:$B$579,$B76)</f>
        <v>0</v>
      </c>
      <c r="Q76" s="3" t="n">
        <f aca="false">SUMIFS('Por foco'!$S$2:$S$579,'Por foco'!$A$2:$A$579,$A76,'Por foco'!$B$2:$B$579,$B76)</f>
        <v>1</v>
      </c>
      <c r="R76" s="3" t="n">
        <f aca="false">SUMIFS('Por foco'!$T$2:$T$579,'Por foco'!$A$2:$A$579,$A76,'Por foco'!$B$2:$B$579,$B76)</f>
        <v>0</v>
      </c>
      <c r="S76" s="3" t="n">
        <f aca="false">SUMIFS('Por foco'!$U$2:$U$579,'Por foco'!$A$2:$A$579,$A76,'Por foco'!$B$2:$B$579,$B76)</f>
        <v>0</v>
      </c>
      <c r="T76" s="3" t="n">
        <f aca="false">SUMIFS('Por foco'!$V$2:$V$579,'Por foco'!$A$2:$A$579,$A76,'Por foco'!$B$2:$B$579,$B76)</f>
        <v>0</v>
      </c>
      <c r="U76" s="3" t="n">
        <f aca="false">SUMIFS('Por foco'!$W$2:$W$579,'Por foco'!$A$2:$A$579,$A76,'Por foco'!$B$2:$B$579,$B76)</f>
        <v>0</v>
      </c>
      <c r="V76" s="3" t="n">
        <f aca="false">SUMIFS('Por foco'!$X$2:$X$579,'Por foco'!$A$2:$A$579,$A76,'Por foco'!$B$2:$B$579,$B76)</f>
        <v>0</v>
      </c>
      <c r="W76" s="3" t="n">
        <f aca="false">SUMIFS('Por foco'!$Y$2:$Y$579,'Por foco'!$A$2:$A$579,$A76,'Por foco'!$B$2:$B$579,$B76)</f>
        <v>0</v>
      </c>
      <c r="X76" s="3" t="n">
        <f aca="false">SUMIFS('Por foco'!$Z$2:$Z$579,'Por foco'!$A$2:$A$579,$A76,'Por foco'!$B$2:$B$579,$B76)</f>
        <v>0</v>
      </c>
      <c r="Y76" s="3" t="n">
        <f aca="false">SUMIFS('Por foco'!$AA$2:$AA$579,'Por foco'!$A$2:$A$579,$A76,'Por foco'!$B$2:$B$579,$B76)</f>
        <v>-0.1</v>
      </c>
      <c r="Z76" s="3" t="n">
        <f aca="false">SUMIFS('Por foco'!$AB$2:$AB$579,'Por foco'!$A$2:$A$579,$A76,'Por foco'!$B$2:$B$579,$B76)</f>
        <v>0</v>
      </c>
      <c r="AA76" s="3" t="n">
        <f aca="false">SUMIFS('Por foco'!$AC$2:$AC$579,'Por foco'!$A$2:$A$579,$A76,'Por foco'!$B$2:$B$579,$B76)</f>
        <v>3</v>
      </c>
      <c r="AB76" s="3" t="n">
        <f aca="false">SUMIFS('Por foco'!$AD$2:$AD$579,'Por foco'!$A$2:$A$579,$A76,'Por foco'!$B$2:$B$579,$B76)</f>
        <v>0</v>
      </c>
      <c r="AC76" s="3" t="n">
        <f aca="false">SUMIFS('Por foco'!$AE$2:$AE$579,'Por foco'!$A$2:$A$579,$A76,'Por foco'!$B$2:$B$579,$B76)</f>
        <v>0</v>
      </c>
      <c r="AD76" s="3" t="n">
        <f aca="false">SUMIFS('Por foco'!$AF$2:$AF$579,'Por foco'!$A$2:$A$579,$A76,'Por foco'!$B$2:$B$579,$B76)</f>
        <v>0</v>
      </c>
      <c r="AE76" s="3" t="n">
        <f aca="false">SUMIFS('Por foco'!$AG$2:$AG$579,'Por foco'!$A$2:$A$579,$A76,'Por foco'!$B$2:$B$579,$B76)</f>
        <v>0</v>
      </c>
      <c r="AF76" s="3" t="n">
        <f aca="false">SUMIFS('Por foco'!$AH$2:$AH$579,'Por foco'!$A$2:$A$579,$A76,'Por foco'!$B$2:$B$579,$B76)</f>
        <v>0</v>
      </c>
      <c r="AG76" s="3" t="n">
        <f aca="false">SUMIFS('Por foco'!$AI$2:$AI$579,'Por foco'!$A$2:$A$579,$A76,'Por foco'!$B$2:$B$579,$B76)</f>
        <v>0</v>
      </c>
      <c r="AH76" s="3" t="n">
        <f aca="false">SUMIFS('Por foco'!$AJ$2:$AJ$579,'Por foco'!$A$2:$A$579,$A76,'Por foco'!$B$2:$B$579,$B76)</f>
        <v>0</v>
      </c>
      <c r="AI76" s="3" t="n">
        <f aca="false">SUMIFS('Por foco'!$AK$2:$AK$579,'Por foco'!$A$2:$A$579,$A76,'Por foco'!$B$2:$B$579,$B76)</f>
        <v>0</v>
      </c>
      <c r="AJ76" s="3" t="n">
        <f aca="false">SUMIFS('Por foco'!$AL$2:$AL$579,'Por foco'!$A$2:$A$579,$A76,'Por foco'!$B$2:$B$579,$B76)</f>
        <v>0</v>
      </c>
      <c r="AK76" s="3" t="n">
        <f aca="false">SUMIFS('Por foco'!$AM$2:$AM$579,'Por foco'!$A$2:$A$579,$A76,'Por foco'!$B$2:$B$579,$B76)</f>
        <v>0</v>
      </c>
      <c r="AL76" s="3" t="n">
        <f aca="false">SUMIFS('Por foco'!$AN$2:$AN$579,'Por foco'!$A$2:$A$579,$A76,'Por foco'!$B$2:$B$579,$B76)</f>
        <v>0</v>
      </c>
      <c r="AM76" s="3" t="n">
        <f aca="false">SUMIFS('Por foco'!$AO$2:$AO$579,'Por foco'!$A$2:$A$579,$A76,'Por foco'!$B$2:$B$579,$B76)</f>
        <v>0</v>
      </c>
      <c r="AN76" s="3" t="n">
        <f aca="false">SUMIFS('Por foco'!$AP$2:$AP$579,'Por foco'!$A$2:$A$579,$A76,'Por foco'!$B$2:$B$579,$B76)</f>
        <v>0</v>
      </c>
      <c r="AO76" s="3" t="n">
        <f aca="false">SUMIFS('Por foco'!$AQ$2:$AQ$579,'Por foco'!$A$2:$A$579,$A76,'Por foco'!$B$2:$B$579,$B76)</f>
        <v>13.75</v>
      </c>
      <c r="AP76" s="3" t="n">
        <f aca="false">SUMIFS('Por foco'!$AR$2:$AR$579,'Por foco'!$A$2:$A$579,$A76,'Por foco'!$B$2:$B$579,$B76)</f>
        <v>10</v>
      </c>
      <c r="AQ76" s="3" t="n">
        <f aca="false">SUMIFS('Por foco'!$AS$2:$AS$579,'Por foco'!$A$2:$A$579,$A76,'Por foco'!$B$2:$B$579,$B76)</f>
        <v>15.5</v>
      </c>
      <c r="AR76" s="3" t="n">
        <f aca="false">SUMIFS('Por foco'!$AT$2:$AT$579,'Por foco'!$A$2:$A$579,$A76,'Por foco'!$B$2:$B$579,$B76)</f>
        <v>0</v>
      </c>
      <c r="AS76" s="3" t="n">
        <f aca="false">SUMIFS('Por foco'!$AU$2:$AU$579,'Por foco'!$A$2:$A$579,$A76,'Por foco'!$B$2:$B$579,$B76)</f>
        <v>0</v>
      </c>
      <c r="AT76" s="3" t="n">
        <f aca="false">SUMIFS('Por foco'!$AV$2:$AV$579,'Por foco'!$A$2:$A$579,$A76,'Por foco'!$B$2:$B$579,$B76)</f>
        <v>0</v>
      </c>
      <c r="AU76" s="3" t="n">
        <f aca="false">SUMIFS('Por foco'!$AW$2:$AW$579,'Por foco'!$A$2:$A$579,$A76,'Por foco'!$B$2:$B$579,$B76)</f>
        <v>0</v>
      </c>
      <c r="AV76" s="3" t="n">
        <f aca="false">SUMIFS('Por foco'!$AX$2:$AX$579,'Por foco'!$A$2:$A$579,$A76,'Por foco'!$B$2:$B$579,$B76)</f>
        <v>0</v>
      </c>
      <c r="AW76" s="3" t="n">
        <f aca="false">SUMIFS('Por foco'!$AY$2:$AY$579,'Por foco'!$A$2:$A$579,$A76,'Por foco'!$B$2:$B$579,$B76)</f>
        <v>0</v>
      </c>
      <c r="AX76" s="3" t="n">
        <f aca="false">SUMIFS('Por foco'!$AZ$2:$AZ$579,'Por foco'!$A$2:$A$579,$A76,'Por foco'!$B$2:$B$579,$B76)</f>
        <v>0</v>
      </c>
      <c r="AY76" s="3" t="n">
        <f aca="false">SUMIFS('Por foco'!$BA$2:$BA$579,'Por foco'!$A$2:$A$579,$A76,'Por foco'!$B$2:$B$579,$B76)</f>
        <v>0</v>
      </c>
      <c r="AZ76" s="3" t="n">
        <f aca="false">SUMIFS('Por foco'!$BB$2:$BB$579,'Por foco'!$A$2:$A$579,$A76,'Por foco'!$B$2:$B$579,$B76)</f>
        <v>0</v>
      </c>
      <c r="BA76" s="3" t="n">
        <f aca="false">SUMIFS('Por foco'!$BC$2:$BC$579,'Por foco'!$A$2:$A$579,$A76,'Por foco'!$B$2:$B$579,$B76)</f>
        <v>0</v>
      </c>
      <c r="BB76" s="3" t="n">
        <f aca="false">SUMIFS('Por foco'!$BD$2:$BD$579,'Por foco'!$A$2:$A$579,$A76,'Por foco'!$B$2:$B$579,$B76)</f>
        <v>0</v>
      </c>
      <c r="BC76" s="3" t="n">
        <f aca="false">SUMIFS('Por foco'!$BE$2:$BE$579,'Por foco'!$A$2:$A$579,$A76,'Por foco'!$B$2:$B$579,$B76)</f>
        <v>0</v>
      </c>
      <c r="BD76" s="3" t="n">
        <f aca="false">SUMIFS('Por foco'!$BF$2:$BF$579,'Por foco'!$A$2:$A$579,$A76,'Por foco'!$B$2:$B$579,$B76)</f>
        <v>0</v>
      </c>
      <c r="BE76" s="3" t="n">
        <f aca="false">SUMIFS('Por foco'!$BG$2:$BG$579,'Por foco'!$A$2:$A$579,$A76,'Por foco'!$B$2:$B$579,$B76)</f>
        <v>0</v>
      </c>
    </row>
    <row r="77" customFormat="false" ht="15" hidden="false" customHeight="false" outlineLevel="0" collapsed="false">
      <c r="A77" s="3" t="s">
        <v>67</v>
      </c>
      <c r="B77" s="3" t="s">
        <v>146</v>
      </c>
      <c r="C77" s="3" t="n">
        <f aca="false">COUNTIFS('Por foco'!$A$2:$A$579,$A77,'Por foco'!$B$2:$B$579,$B77)</f>
        <v>6</v>
      </c>
      <c r="D77" s="6" t="n">
        <f aca="false">SUMIFS('Por foco'!$F$2:$F$579,'Por foco'!$A$2:$A$579,$A77,'Por foco'!$B$2:$B$579,$B77)</f>
        <v>785</v>
      </c>
      <c r="E77" s="3" t="n">
        <f aca="false">IF(C77=0,0,SUMIFS('Por foco'!$E$2:$E$579,'Por foco'!$A$2:$A$579,$A77,'Por foco'!$B$2:$B$579,$B77)/C77)</f>
        <v>1</v>
      </c>
      <c r="F77" s="3" t="n">
        <f aca="false">SUMIFS('Por foco'!$H$2:$H$579,'Por foco'!$A$2:$A$579,$A77,'Por foco'!$B$2:$B$579,$B77)</f>
        <v>413</v>
      </c>
      <c r="G77" s="3" t="n">
        <f aca="false">SUMIFS('Por foco'!$I$2:$I$579,'Por foco'!$A$2:$A$579,$A77,'Por foco'!$B$2:$B$579,$B77)</f>
        <v>0</v>
      </c>
      <c r="H77" s="3" t="n">
        <f aca="false">SUMIFS('Por foco'!$J$2:$J$579,'Por foco'!$A$2:$A$579,$A77,'Por foco'!$B$2:$B$579,$B77)</f>
        <v>0</v>
      </c>
      <c r="I77" s="3" t="n">
        <f aca="false">SUMIFS('Por foco'!$K$2:$K$579,'Por foco'!$A$2:$A$579,$A77,'Por foco'!$B$2:$B$579,$B77)</f>
        <v>0</v>
      </c>
      <c r="J77" s="3" t="n">
        <f aca="false">SUMIFS('Por foco'!$L$2:$L$579,'Por foco'!$A$2:$A$579,$A77,'Por foco'!$B$2:$B$579,$B77)</f>
        <v>0</v>
      </c>
      <c r="K77" s="3" t="n">
        <f aca="false">SUMIFS('Por foco'!$M$2:$M$579,'Por foco'!$A$2:$A$579,$A77,'Por foco'!$B$2:$B$579,$B77)</f>
        <v>0</v>
      </c>
      <c r="L77" s="3" t="n">
        <f aca="false">SUMIFS('Por foco'!$N$2:$N$579,'Por foco'!$A$2:$A$579,$A77,'Por foco'!$B$2:$B$579,$B77)</f>
        <v>25</v>
      </c>
      <c r="M77" s="3" t="n">
        <f aca="false">SUMIFS('Por foco'!$O$2:$O$579,'Por foco'!$A$2:$A$579,$A77,'Por foco'!$B$2:$B$579,$B77)</f>
        <v>75</v>
      </c>
      <c r="N77" s="3" t="n">
        <f aca="false">SUMIFS('Por foco'!$P$2:$P$579,'Por foco'!$A$2:$A$579,$A77,'Por foco'!$B$2:$B$579,$B77)</f>
        <v>0</v>
      </c>
      <c r="O77" s="3" t="n">
        <f aca="false">SUMIFS('Por foco'!$Q$2:$Q$579,'Por foco'!$A$2:$A$579,$A77,'Por foco'!$B$2:$B$579,$B77)</f>
        <v>7</v>
      </c>
      <c r="P77" s="3" t="n">
        <f aca="false">SUMIFS('Por foco'!$R$2:$R$579,'Por foco'!$A$2:$A$579,$A77,'Por foco'!$B$2:$B$579,$B77)</f>
        <v>0</v>
      </c>
      <c r="Q77" s="3" t="n">
        <f aca="false">SUMIFS('Por foco'!$S$2:$S$579,'Por foco'!$A$2:$A$579,$A77,'Por foco'!$B$2:$B$579,$B77)</f>
        <v>0</v>
      </c>
      <c r="R77" s="3" t="n">
        <f aca="false">SUMIFS('Por foco'!$T$2:$T$579,'Por foco'!$A$2:$A$579,$A77,'Por foco'!$B$2:$B$579,$B77)</f>
        <v>2</v>
      </c>
      <c r="S77" s="3" t="n">
        <f aca="false">SUMIFS('Por foco'!$U$2:$U$579,'Por foco'!$A$2:$A$579,$A77,'Por foco'!$B$2:$B$579,$B77)</f>
        <v>0</v>
      </c>
      <c r="T77" s="3" t="n">
        <f aca="false">SUMIFS('Por foco'!$V$2:$V$579,'Por foco'!$A$2:$A$579,$A77,'Por foco'!$B$2:$B$579,$B77)</f>
        <v>2</v>
      </c>
      <c r="U77" s="3" t="n">
        <f aca="false">SUMIFS('Por foco'!$W$2:$W$579,'Por foco'!$A$2:$A$579,$A77,'Por foco'!$B$2:$B$579,$B77)</f>
        <v>0</v>
      </c>
      <c r="V77" s="3" t="n">
        <f aca="false">SUMIFS('Por foco'!$X$2:$X$579,'Por foco'!$A$2:$A$579,$A77,'Por foco'!$B$2:$B$579,$B77)</f>
        <v>0</v>
      </c>
      <c r="W77" s="3" t="n">
        <f aca="false">SUMIFS('Por foco'!$Y$2:$Y$579,'Por foco'!$A$2:$A$579,$A77,'Por foco'!$B$2:$B$579,$B77)</f>
        <v>100</v>
      </c>
      <c r="X77" s="3" t="n">
        <f aca="false">SUMIFS('Por foco'!$Z$2:$Z$579,'Por foco'!$A$2:$A$579,$A77,'Por foco'!$B$2:$B$579,$B77)</f>
        <v>0</v>
      </c>
      <c r="Y77" s="3" t="n">
        <f aca="false">SUMIFS('Por foco'!$AA$2:$AA$579,'Por foco'!$A$2:$A$579,$A77,'Por foco'!$B$2:$B$579,$B77)</f>
        <v>0</v>
      </c>
      <c r="Z77" s="3" t="n">
        <f aca="false">SUMIFS('Por foco'!$AB$2:$AB$579,'Por foco'!$A$2:$A$579,$A77,'Por foco'!$B$2:$B$579,$B77)</f>
        <v>0</v>
      </c>
      <c r="AA77" s="3" t="n">
        <f aca="false">SUMIFS('Por foco'!$AC$2:$AC$579,'Por foco'!$A$2:$A$579,$A77,'Por foco'!$B$2:$B$579,$B77)</f>
        <v>0</v>
      </c>
      <c r="AB77" s="3" t="n">
        <f aca="false">SUMIFS('Por foco'!$AD$2:$AD$579,'Por foco'!$A$2:$A$579,$A77,'Por foco'!$B$2:$B$579,$B77)</f>
        <v>0</v>
      </c>
      <c r="AC77" s="3" t="n">
        <f aca="false">SUMIFS('Por foco'!$AE$2:$AE$579,'Por foco'!$A$2:$A$579,$A77,'Por foco'!$B$2:$B$579,$B77)</f>
        <v>20</v>
      </c>
      <c r="AD77" s="3" t="n">
        <f aca="false">SUMIFS('Por foco'!$AF$2:$AF$579,'Por foco'!$A$2:$A$579,$A77,'Por foco'!$B$2:$B$579,$B77)</f>
        <v>0</v>
      </c>
      <c r="AE77" s="3" t="n">
        <f aca="false">SUMIFS('Por foco'!$AG$2:$AG$579,'Por foco'!$A$2:$A$579,$A77,'Por foco'!$B$2:$B$579,$B77)</f>
        <v>0</v>
      </c>
      <c r="AF77" s="3" t="n">
        <f aca="false">SUMIFS('Por foco'!$AH$2:$AH$579,'Por foco'!$A$2:$A$579,$A77,'Por foco'!$B$2:$B$579,$B77)</f>
        <v>20</v>
      </c>
      <c r="AG77" s="3" t="n">
        <f aca="false">SUMIFS('Por foco'!$AI$2:$AI$579,'Por foco'!$A$2:$A$579,$A77,'Por foco'!$B$2:$B$579,$B77)</f>
        <v>0</v>
      </c>
      <c r="AH77" s="3" t="n">
        <f aca="false">SUMIFS('Por foco'!$AJ$2:$AJ$579,'Por foco'!$A$2:$A$579,$A77,'Por foco'!$B$2:$B$579,$B77)</f>
        <v>0</v>
      </c>
      <c r="AI77" s="3" t="n">
        <f aca="false">SUMIFS('Por foco'!$AK$2:$AK$579,'Por foco'!$A$2:$A$579,$A77,'Por foco'!$B$2:$B$579,$B77)</f>
        <v>0</v>
      </c>
      <c r="AJ77" s="3" t="n">
        <f aca="false">SUMIFS('Por foco'!$AL$2:$AL$579,'Por foco'!$A$2:$A$579,$A77,'Por foco'!$B$2:$B$579,$B77)</f>
        <v>0</v>
      </c>
      <c r="AK77" s="3" t="n">
        <f aca="false">SUMIFS('Por foco'!$AM$2:$AM$579,'Por foco'!$A$2:$A$579,$A77,'Por foco'!$B$2:$B$579,$B77)</f>
        <v>0</v>
      </c>
      <c r="AL77" s="3" t="n">
        <f aca="false">SUMIFS('Por foco'!$AN$2:$AN$579,'Por foco'!$A$2:$A$579,$A77,'Por foco'!$B$2:$B$579,$B77)</f>
        <v>0</v>
      </c>
      <c r="AM77" s="3" t="n">
        <f aca="false">SUMIFS('Por foco'!$AO$2:$AO$579,'Por foco'!$A$2:$A$579,$A77,'Por foco'!$B$2:$B$579,$B77)</f>
        <v>0</v>
      </c>
      <c r="AN77" s="3" t="n">
        <f aca="false">SUMIFS('Por foco'!$AP$2:$AP$579,'Por foco'!$A$2:$A$579,$A77,'Por foco'!$B$2:$B$579,$B77)</f>
        <v>0</v>
      </c>
      <c r="AO77" s="3" t="n">
        <f aca="false">SUMIFS('Por foco'!$AQ$2:$AQ$579,'Por foco'!$A$2:$A$579,$A77,'Por foco'!$B$2:$B$579,$B77)</f>
        <v>0</v>
      </c>
      <c r="AP77" s="3" t="n">
        <f aca="false">SUMIFS('Por foco'!$AR$2:$AR$579,'Por foco'!$A$2:$A$579,$A77,'Por foco'!$B$2:$B$579,$B77)</f>
        <v>0</v>
      </c>
      <c r="AQ77" s="3" t="n">
        <f aca="false">SUMIFS('Por foco'!$AS$2:$AS$579,'Por foco'!$A$2:$A$579,$A77,'Por foco'!$B$2:$B$579,$B77)</f>
        <v>0</v>
      </c>
      <c r="AR77" s="3" t="n">
        <f aca="false">SUMIFS('Por foco'!$AT$2:$AT$579,'Por foco'!$A$2:$A$579,$A77,'Por foco'!$B$2:$B$579,$B77)</f>
        <v>0</v>
      </c>
      <c r="AS77" s="3" t="n">
        <f aca="false">SUMIFS('Por foco'!$AU$2:$AU$579,'Por foco'!$A$2:$A$579,$A77,'Por foco'!$B$2:$B$579,$B77)</f>
        <v>0</v>
      </c>
      <c r="AT77" s="3" t="n">
        <f aca="false">SUMIFS('Por foco'!$AV$2:$AV$579,'Por foco'!$A$2:$A$579,$A77,'Por foco'!$B$2:$B$579,$B77)</f>
        <v>0</v>
      </c>
      <c r="AU77" s="3" t="n">
        <f aca="false">SUMIFS('Por foco'!$AW$2:$AW$579,'Por foco'!$A$2:$A$579,$A77,'Por foco'!$B$2:$B$579,$B77)</f>
        <v>0</v>
      </c>
      <c r="AV77" s="3" t="n">
        <f aca="false">SUMIFS('Por foco'!$AX$2:$AX$579,'Por foco'!$A$2:$A$579,$A77,'Por foco'!$B$2:$B$579,$B77)</f>
        <v>0</v>
      </c>
      <c r="AW77" s="3" t="n">
        <f aca="false">SUMIFS('Por foco'!$AY$2:$AY$579,'Por foco'!$A$2:$A$579,$A77,'Por foco'!$B$2:$B$579,$B77)</f>
        <v>0</v>
      </c>
      <c r="AX77" s="3" t="n">
        <f aca="false">SUMIFS('Por foco'!$AZ$2:$AZ$579,'Por foco'!$A$2:$A$579,$A77,'Por foco'!$B$2:$B$579,$B77)</f>
        <v>0</v>
      </c>
      <c r="AY77" s="3" t="n">
        <f aca="false">SUMIFS('Por foco'!$BA$2:$BA$579,'Por foco'!$A$2:$A$579,$A77,'Por foco'!$B$2:$B$579,$B77)</f>
        <v>0</v>
      </c>
      <c r="AZ77" s="3" t="n">
        <f aca="false">SUMIFS('Por foco'!$BB$2:$BB$579,'Por foco'!$A$2:$A$579,$A77,'Por foco'!$B$2:$B$579,$B77)</f>
        <v>0</v>
      </c>
      <c r="BA77" s="3" t="n">
        <f aca="false">SUMIFS('Por foco'!$BC$2:$BC$579,'Por foco'!$A$2:$A$579,$A77,'Por foco'!$B$2:$B$579,$B77)</f>
        <v>0</v>
      </c>
      <c r="BB77" s="3" t="n">
        <f aca="false">SUMIFS('Por foco'!$BD$2:$BD$579,'Por foco'!$A$2:$A$579,$A77,'Por foco'!$B$2:$B$579,$B77)</f>
        <v>0</v>
      </c>
      <c r="BC77" s="3" t="n">
        <f aca="false">SUMIFS('Por foco'!$BE$2:$BE$579,'Por foco'!$A$2:$A$579,$A77,'Por foco'!$B$2:$B$579,$B77)</f>
        <v>0</v>
      </c>
      <c r="BD77" s="3" t="n">
        <f aca="false">SUMIFS('Por foco'!$BF$2:$BF$579,'Por foco'!$A$2:$A$579,$A77,'Por foco'!$B$2:$B$579,$B77)</f>
        <v>0</v>
      </c>
      <c r="BE77" s="3" t="n">
        <f aca="false">SUMIFS('Por foco'!$BG$2:$BG$579,'Por foco'!$A$2:$A$579,$A77,'Por foco'!$B$2:$B$579,$B77)</f>
        <v>0</v>
      </c>
    </row>
    <row r="78" customFormat="false" ht="15" hidden="false" customHeight="false" outlineLevel="0" collapsed="false">
      <c r="A78" s="3" t="s">
        <v>67</v>
      </c>
      <c r="B78" s="3" t="s">
        <v>147</v>
      </c>
      <c r="C78" s="3" t="n">
        <f aca="false">COUNTIFS('Por foco'!$A$2:$A$579,$A78,'Por foco'!$B$2:$B$579,$B78)</f>
        <v>6</v>
      </c>
      <c r="D78" s="6" t="n">
        <f aca="false">SUMIFS('Por foco'!$F$2:$F$579,'Por foco'!$A$2:$A$579,$A78,'Por foco'!$B$2:$B$579,$B78)</f>
        <v>399.5</v>
      </c>
      <c r="E78" s="3" t="n">
        <f aca="false">IF(C78=0,0,SUMIFS('Por foco'!$E$2:$E$579,'Por foco'!$A$2:$A$579,$A78,'Por foco'!$B$2:$B$579,$B78)/C78)</f>
        <v>1</v>
      </c>
      <c r="F78" s="3" t="n">
        <f aca="false">SUMIFS('Por foco'!$H$2:$H$579,'Por foco'!$A$2:$A$579,$A78,'Por foco'!$B$2:$B$579,$B78)</f>
        <v>364</v>
      </c>
      <c r="G78" s="3" t="n">
        <f aca="false">SUMIFS('Por foco'!$I$2:$I$579,'Por foco'!$A$2:$A$579,$A78,'Por foco'!$B$2:$B$579,$B78)</f>
        <v>50</v>
      </c>
      <c r="H78" s="3" t="n">
        <f aca="false">SUMIFS('Por foco'!$J$2:$J$579,'Por foco'!$A$2:$A$579,$A78,'Por foco'!$B$2:$B$579,$B78)</f>
        <v>0</v>
      </c>
      <c r="I78" s="3" t="n">
        <f aca="false">SUMIFS('Por foco'!$K$2:$K$579,'Por foco'!$A$2:$A$579,$A78,'Por foco'!$B$2:$B$579,$B78)</f>
        <v>5</v>
      </c>
      <c r="J78" s="3" t="n">
        <f aca="false">SUMIFS('Por foco'!$L$2:$L$579,'Por foco'!$A$2:$A$579,$A78,'Por foco'!$B$2:$B$579,$B78)</f>
        <v>0</v>
      </c>
      <c r="K78" s="3" t="n">
        <f aca="false">SUMIFS('Por foco'!$M$2:$M$579,'Por foco'!$A$2:$A$579,$A78,'Por foco'!$B$2:$B$579,$B78)</f>
        <v>50</v>
      </c>
      <c r="L78" s="3" t="n">
        <f aca="false">SUMIFS('Por foco'!$N$2:$N$579,'Por foco'!$A$2:$A$579,$A78,'Por foco'!$B$2:$B$579,$B78)</f>
        <v>0</v>
      </c>
      <c r="M78" s="3" t="n">
        <f aca="false">SUMIFS('Por foco'!$O$2:$O$579,'Por foco'!$A$2:$A$579,$A78,'Por foco'!$B$2:$B$579,$B78)</f>
        <v>0</v>
      </c>
      <c r="N78" s="3" t="n">
        <f aca="false">SUMIFS('Por foco'!$P$2:$P$579,'Por foco'!$A$2:$A$579,$A78,'Por foco'!$B$2:$B$579,$B78)</f>
        <v>0</v>
      </c>
      <c r="O78" s="3" t="n">
        <f aca="false">SUMIFS('Por foco'!$Q$2:$Q$579,'Por foco'!$A$2:$A$579,$A78,'Por foco'!$B$2:$B$579,$B78)</f>
        <v>0</v>
      </c>
      <c r="P78" s="3" t="n">
        <f aca="false">SUMIFS('Por foco'!$R$2:$R$579,'Por foco'!$A$2:$A$579,$A78,'Por foco'!$B$2:$B$579,$B78)</f>
        <v>0</v>
      </c>
      <c r="Q78" s="3" t="n">
        <f aca="false">SUMIFS('Por foco'!$S$2:$S$579,'Por foco'!$A$2:$A$579,$A78,'Por foco'!$B$2:$B$579,$B78)</f>
        <v>0</v>
      </c>
      <c r="R78" s="3" t="n">
        <f aca="false">SUMIFS('Por foco'!$T$2:$T$579,'Por foco'!$A$2:$A$579,$A78,'Por foco'!$B$2:$B$579,$B78)</f>
        <v>0</v>
      </c>
      <c r="S78" s="3" t="n">
        <f aca="false">SUMIFS('Por foco'!$U$2:$U$579,'Por foco'!$A$2:$A$579,$A78,'Por foco'!$B$2:$B$579,$B78)</f>
        <v>0</v>
      </c>
      <c r="T78" s="3" t="n">
        <f aca="false">SUMIFS('Por foco'!$V$2:$V$579,'Por foco'!$A$2:$A$579,$A78,'Por foco'!$B$2:$B$579,$B78)</f>
        <v>0</v>
      </c>
      <c r="U78" s="3" t="n">
        <f aca="false">SUMIFS('Por foco'!$W$2:$W$579,'Por foco'!$A$2:$A$579,$A78,'Por foco'!$B$2:$B$579,$B78)</f>
        <v>0</v>
      </c>
      <c r="V78" s="3" t="n">
        <f aca="false">SUMIFS('Por foco'!$X$2:$X$579,'Por foco'!$A$2:$A$579,$A78,'Por foco'!$B$2:$B$579,$B78)</f>
        <v>0</v>
      </c>
      <c r="W78" s="3" t="n">
        <f aca="false">SUMIFS('Por foco'!$Y$2:$Y$579,'Por foco'!$A$2:$A$579,$A78,'Por foco'!$B$2:$B$579,$B78)</f>
        <v>0</v>
      </c>
      <c r="X78" s="3" t="n">
        <f aca="false">SUMIFS('Por foco'!$Z$2:$Z$579,'Por foco'!$A$2:$A$579,$A78,'Por foco'!$B$2:$B$579,$B78)</f>
        <v>0</v>
      </c>
      <c r="Y78" s="3" t="n">
        <f aca="false">SUMIFS('Por foco'!$AA$2:$AA$579,'Por foco'!$A$2:$A$579,$A78,'Por foco'!$B$2:$B$579,$B78)</f>
        <v>-0.1</v>
      </c>
      <c r="Z78" s="3" t="n">
        <f aca="false">SUMIFS('Por foco'!$AB$2:$AB$579,'Por foco'!$A$2:$A$579,$A78,'Por foco'!$B$2:$B$579,$B78)</f>
        <v>10</v>
      </c>
      <c r="AA78" s="3" t="n">
        <f aca="false">SUMIFS('Por foco'!$AC$2:$AC$579,'Por foco'!$A$2:$A$579,$A78,'Por foco'!$B$2:$B$579,$B78)</f>
        <v>10</v>
      </c>
      <c r="AB78" s="3" t="n">
        <f aca="false">SUMIFS('Por foco'!$AD$2:$AD$579,'Por foco'!$A$2:$A$579,$A78,'Por foco'!$B$2:$B$579,$B78)</f>
        <v>0</v>
      </c>
      <c r="AC78" s="3" t="n">
        <f aca="false">SUMIFS('Por foco'!$AE$2:$AE$579,'Por foco'!$A$2:$A$579,$A78,'Por foco'!$B$2:$B$579,$B78)</f>
        <v>0</v>
      </c>
      <c r="AD78" s="3" t="n">
        <f aca="false">SUMIFS('Por foco'!$AF$2:$AF$579,'Por foco'!$A$2:$A$579,$A78,'Por foco'!$B$2:$B$579,$B78)</f>
        <v>0</v>
      </c>
      <c r="AE78" s="3" t="n">
        <f aca="false">SUMIFS('Por foco'!$AG$2:$AG$579,'Por foco'!$A$2:$A$579,$A78,'Por foco'!$B$2:$B$579,$B78)</f>
        <v>0</v>
      </c>
      <c r="AF78" s="3" t="n">
        <f aca="false">SUMIFS('Por foco'!$AH$2:$AH$579,'Por foco'!$A$2:$A$579,$A78,'Por foco'!$B$2:$B$579,$B78)</f>
        <v>0</v>
      </c>
      <c r="AG78" s="3" t="n">
        <f aca="false">SUMIFS('Por foco'!$AI$2:$AI$579,'Por foco'!$A$2:$A$579,$A78,'Por foco'!$B$2:$B$579,$B78)</f>
        <v>0</v>
      </c>
      <c r="AH78" s="3" t="n">
        <f aca="false">SUMIFS('Por foco'!$AJ$2:$AJ$579,'Por foco'!$A$2:$A$579,$A78,'Por foco'!$B$2:$B$579,$B78)</f>
        <v>0</v>
      </c>
      <c r="AI78" s="3" t="n">
        <f aca="false">SUMIFS('Por foco'!$AK$2:$AK$579,'Por foco'!$A$2:$A$579,$A78,'Por foco'!$B$2:$B$579,$B78)</f>
        <v>0</v>
      </c>
      <c r="AJ78" s="3" t="n">
        <f aca="false">SUMIFS('Por foco'!$AL$2:$AL$579,'Por foco'!$A$2:$A$579,$A78,'Por foco'!$B$2:$B$579,$B78)</f>
        <v>0</v>
      </c>
      <c r="AK78" s="3" t="n">
        <f aca="false">SUMIFS('Por foco'!$AM$2:$AM$579,'Por foco'!$A$2:$A$579,$A78,'Por foco'!$B$2:$B$579,$B78)</f>
        <v>0</v>
      </c>
      <c r="AL78" s="3" t="n">
        <f aca="false">SUMIFS('Por foco'!$AN$2:$AN$579,'Por foco'!$A$2:$A$579,$A78,'Por foco'!$B$2:$B$579,$B78)</f>
        <v>0</v>
      </c>
      <c r="AM78" s="3" t="n">
        <f aca="false">SUMIFS('Por foco'!$AO$2:$AO$579,'Por foco'!$A$2:$A$579,$A78,'Por foco'!$B$2:$B$579,$B78)</f>
        <v>0</v>
      </c>
      <c r="AN78" s="3" t="n">
        <f aca="false">SUMIFS('Por foco'!$AP$2:$AP$579,'Por foco'!$A$2:$A$579,$A78,'Por foco'!$B$2:$B$579,$B78)</f>
        <v>0</v>
      </c>
      <c r="AO78" s="3" t="n">
        <f aca="false">SUMIFS('Por foco'!$AQ$2:$AQ$579,'Por foco'!$A$2:$A$579,$A78,'Por foco'!$B$2:$B$579,$B78)</f>
        <v>1.5</v>
      </c>
      <c r="AP78" s="3" t="n">
        <f aca="false">SUMIFS('Por foco'!$AR$2:$AR$579,'Por foco'!$A$2:$A$579,$A78,'Por foco'!$B$2:$B$579,$B78)</f>
        <v>0</v>
      </c>
      <c r="AQ78" s="3" t="n">
        <f aca="false">SUMIFS('Por foco'!$AS$2:$AS$579,'Por foco'!$A$2:$A$579,$A78,'Por foco'!$B$2:$B$579,$B78)</f>
        <v>10</v>
      </c>
      <c r="AR78" s="3" t="n">
        <f aca="false">SUMIFS('Por foco'!$AT$2:$AT$579,'Por foco'!$A$2:$A$579,$A78,'Por foco'!$B$2:$B$579,$B78)</f>
        <v>0</v>
      </c>
      <c r="AS78" s="3" t="n">
        <f aca="false">SUMIFS('Por foco'!$AU$2:$AU$579,'Por foco'!$A$2:$A$579,$A78,'Por foco'!$B$2:$B$579,$B78)</f>
        <v>0</v>
      </c>
      <c r="AT78" s="3" t="n">
        <f aca="false">SUMIFS('Por foco'!$AV$2:$AV$579,'Por foco'!$A$2:$A$579,$A78,'Por foco'!$B$2:$B$579,$B78)</f>
        <v>10</v>
      </c>
      <c r="AU78" s="3" t="n">
        <f aca="false">SUMIFS('Por foco'!$AW$2:$AW$579,'Por foco'!$A$2:$A$579,$A78,'Por foco'!$B$2:$B$579,$B78)</f>
        <v>0</v>
      </c>
      <c r="AV78" s="3" t="n">
        <f aca="false">SUMIFS('Por foco'!$AX$2:$AX$579,'Por foco'!$A$2:$A$579,$A78,'Por foco'!$B$2:$B$579,$B78)</f>
        <v>0</v>
      </c>
      <c r="AW78" s="3" t="n">
        <f aca="false">SUMIFS('Por foco'!$AY$2:$AY$579,'Por foco'!$A$2:$A$579,$A78,'Por foco'!$B$2:$B$579,$B78)</f>
        <v>0</v>
      </c>
      <c r="AX78" s="3" t="n">
        <f aca="false">SUMIFS('Por foco'!$AZ$2:$AZ$579,'Por foco'!$A$2:$A$579,$A78,'Por foco'!$B$2:$B$579,$B78)</f>
        <v>0</v>
      </c>
      <c r="AY78" s="3" t="n">
        <f aca="false">SUMIFS('Por foco'!$BA$2:$BA$579,'Por foco'!$A$2:$A$579,$A78,'Por foco'!$B$2:$B$579,$B78)</f>
        <v>0</v>
      </c>
      <c r="AZ78" s="3" t="n">
        <f aca="false">SUMIFS('Por foco'!$BB$2:$BB$579,'Por foco'!$A$2:$A$579,$A78,'Por foco'!$B$2:$B$579,$B78)</f>
        <v>0</v>
      </c>
      <c r="BA78" s="3" t="n">
        <f aca="false">SUMIFS('Por foco'!$BC$2:$BC$579,'Por foco'!$A$2:$A$579,$A78,'Por foco'!$B$2:$B$579,$B78)</f>
        <v>0</v>
      </c>
      <c r="BB78" s="3" t="n">
        <f aca="false">SUMIFS('Por foco'!$BD$2:$BD$579,'Por foco'!$A$2:$A$579,$A78,'Por foco'!$B$2:$B$579,$B78)</f>
        <v>0</v>
      </c>
      <c r="BC78" s="3" t="n">
        <f aca="false">SUMIFS('Por foco'!$BE$2:$BE$579,'Por foco'!$A$2:$A$579,$A78,'Por foco'!$B$2:$B$579,$B78)</f>
        <v>0</v>
      </c>
      <c r="BD78" s="3" t="n">
        <f aca="false">SUMIFS('Por foco'!$BF$2:$BF$579,'Por foco'!$A$2:$A$579,$A78,'Por foco'!$B$2:$B$579,$B78)</f>
        <v>0</v>
      </c>
      <c r="BE78" s="3" t="n">
        <f aca="false">SUMIFS('Por foco'!$BG$2:$BG$579,'Por foco'!$A$2:$A$579,$A78,'Por foco'!$B$2:$B$579,$B78)</f>
        <v>0</v>
      </c>
    </row>
    <row r="79" customFormat="false" ht="15" hidden="false" customHeight="false" outlineLevel="0" collapsed="false">
      <c r="A79" s="3" t="s">
        <v>67</v>
      </c>
      <c r="B79" s="3" t="s">
        <v>148</v>
      </c>
      <c r="C79" s="3" t="n">
        <f aca="false">COUNTIFS('Por foco'!$A$2:$A$579,$A79,'Por foco'!$B$2:$B$579,$B79)</f>
        <v>6</v>
      </c>
      <c r="D79" s="6" t="n">
        <f aca="false">SUMIFS('Por foco'!$F$2:$F$579,'Por foco'!$A$2:$A$579,$A79,'Por foco'!$B$2:$B$579,$B79)</f>
        <v>814.65</v>
      </c>
      <c r="E79" s="3" t="n">
        <f aca="false">IF(C79=0,0,SUMIFS('Por foco'!$E$2:$E$579,'Por foco'!$A$2:$A$579,$A79,'Por foco'!$B$2:$B$579,$B79)/C79)</f>
        <v>1</v>
      </c>
      <c r="F79" s="3" t="n">
        <f aca="false">SUMIFS('Por foco'!$H$2:$H$579,'Por foco'!$A$2:$A$579,$A79,'Por foco'!$B$2:$B$579,$B79)</f>
        <v>413</v>
      </c>
      <c r="G79" s="3" t="n">
        <f aca="false">SUMIFS('Por foco'!$I$2:$I$579,'Por foco'!$A$2:$A$579,$A79,'Por foco'!$B$2:$B$579,$B79)</f>
        <v>50</v>
      </c>
      <c r="H79" s="3" t="n">
        <f aca="false">SUMIFS('Por foco'!$J$2:$J$579,'Por foco'!$A$2:$A$579,$A79,'Por foco'!$B$2:$B$579,$B79)</f>
        <v>10</v>
      </c>
      <c r="I79" s="3" t="n">
        <f aca="false">SUMIFS('Por foco'!$K$2:$K$579,'Por foco'!$A$2:$A$579,$A79,'Por foco'!$B$2:$B$579,$B79)</f>
        <v>0</v>
      </c>
      <c r="J79" s="3" t="n">
        <f aca="false">SUMIFS('Por foco'!$L$2:$L$579,'Por foco'!$A$2:$A$579,$A79,'Por foco'!$B$2:$B$579,$B79)</f>
        <v>0</v>
      </c>
      <c r="K79" s="3" t="n">
        <f aca="false">SUMIFS('Por foco'!$M$2:$M$579,'Por foco'!$A$2:$A$579,$A79,'Por foco'!$B$2:$B$579,$B79)</f>
        <v>0</v>
      </c>
      <c r="L79" s="3" t="n">
        <f aca="false">SUMIFS('Por foco'!$N$2:$N$579,'Por foco'!$A$2:$A$579,$A79,'Por foco'!$B$2:$B$579,$B79)</f>
        <v>0</v>
      </c>
      <c r="M79" s="3" t="n">
        <f aca="false">SUMIFS('Por foco'!$O$2:$O$579,'Por foco'!$A$2:$A$579,$A79,'Por foco'!$B$2:$B$579,$B79)</f>
        <v>0</v>
      </c>
      <c r="N79" s="3" t="n">
        <f aca="false">SUMIFS('Por foco'!$P$2:$P$579,'Por foco'!$A$2:$A$579,$A79,'Por foco'!$B$2:$B$579,$B79)</f>
        <v>1</v>
      </c>
      <c r="O79" s="3" t="n">
        <f aca="false">SUMIFS('Por foco'!$Q$2:$Q$579,'Por foco'!$A$2:$A$579,$A79,'Por foco'!$B$2:$B$579,$B79)</f>
        <v>0</v>
      </c>
      <c r="P79" s="3" t="n">
        <f aca="false">SUMIFS('Por foco'!$R$2:$R$579,'Por foco'!$A$2:$A$579,$A79,'Por foco'!$B$2:$B$579,$B79)</f>
        <v>0</v>
      </c>
      <c r="Q79" s="3" t="n">
        <f aca="false">SUMIFS('Por foco'!$S$2:$S$579,'Por foco'!$A$2:$A$579,$A79,'Por foco'!$B$2:$B$579,$B79)</f>
        <v>2</v>
      </c>
      <c r="R79" s="3" t="n">
        <f aca="false">SUMIFS('Por foco'!$T$2:$T$579,'Por foco'!$A$2:$A$579,$A79,'Por foco'!$B$2:$B$579,$B79)</f>
        <v>0</v>
      </c>
      <c r="S79" s="3" t="n">
        <f aca="false">SUMIFS('Por foco'!$U$2:$U$579,'Por foco'!$A$2:$A$579,$A79,'Por foco'!$B$2:$B$579,$B79)</f>
        <v>0</v>
      </c>
      <c r="T79" s="3" t="n">
        <f aca="false">SUMIFS('Por foco'!$V$2:$V$579,'Por foco'!$A$2:$A$579,$A79,'Por foco'!$B$2:$B$579,$B79)</f>
        <v>0</v>
      </c>
      <c r="U79" s="3" t="n">
        <f aca="false">SUMIFS('Por foco'!$W$2:$W$579,'Por foco'!$A$2:$A$579,$A79,'Por foco'!$B$2:$B$579,$B79)</f>
        <v>0</v>
      </c>
      <c r="V79" s="3" t="n">
        <f aca="false">SUMIFS('Por foco'!$X$2:$X$579,'Por foco'!$A$2:$A$579,$A79,'Por foco'!$B$2:$B$579,$B79)</f>
        <v>0</v>
      </c>
      <c r="W79" s="3" t="n">
        <f aca="false">SUMIFS('Por foco'!$Y$2:$Y$579,'Por foco'!$A$2:$A$579,$A79,'Por foco'!$B$2:$B$579,$B79)</f>
        <v>0</v>
      </c>
      <c r="X79" s="3" t="n">
        <f aca="false">SUMIFS('Por foco'!$Z$2:$Z$579,'Por foco'!$A$2:$A$579,$A79,'Por foco'!$B$2:$B$579,$B79)</f>
        <v>0</v>
      </c>
      <c r="Y79" s="3" t="n">
        <f aca="false">SUMIFS('Por foco'!$AA$2:$AA$579,'Por foco'!$A$2:$A$579,$A79,'Por foco'!$B$2:$B$579,$B79)</f>
        <v>-0.1</v>
      </c>
      <c r="Z79" s="3" t="n">
        <f aca="false">SUMIFS('Por foco'!$AB$2:$AB$579,'Por foco'!$A$2:$A$579,$A79,'Por foco'!$B$2:$B$579,$B79)</f>
        <v>10</v>
      </c>
      <c r="AA79" s="3" t="n">
        <f aca="false">SUMIFS('Por foco'!$AC$2:$AC$579,'Por foco'!$A$2:$A$579,$A79,'Por foco'!$B$2:$B$579,$B79)</f>
        <v>0</v>
      </c>
      <c r="AB79" s="3" t="n">
        <f aca="false">SUMIFS('Por foco'!$AD$2:$AD$579,'Por foco'!$A$2:$A$579,$A79,'Por foco'!$B$2:$B$579,$B79)</f>
        <v>0</v>
      </c>
      <c r="AC79" s="3" t="n">
        <f aca="false">SUMIFS('Por foco'!$AE$2:$AE$579,'Por foco'!$A$2:$A$579,$A79,'Por foco'!$B$2:$B$579,$B79)</f>
        <v>0</v>
      </c>
      <c r="AD79" s="3" t="n">
        <f aca="false">SUMIFS('Por foco'!$AF$2:$AF$579,'Por foco'!$A$2:$A$579,$A79,'Por foco'!$B$2:$B$579,$B79)</f>
        <v>0</v>
      </c>
      <c r="AE79" s="3" t="n">
        <f aca="false">SUMIFS('Por foco'!$AG$2:$AG$579,'Por foco'!$A$2:$A$579,$A79,'Por foco'!$B$2:$B$579,$B79)</f>
        <v>0</v>
      </c>
      <c r="AF79" s="3" t="n">
        <f aca="false">SUMIFS('Por foco'!$AH$2:$AH$579,'Por foco'!$A$2:$A$579,$A79,'Por foco'!$B$2:$B$579,$B79)</f>
        <v>0</v>
      </c>
      <c r="AG79" s="3" t="n">
        <f aca="false">SUMIFS('Por foco'!$AI$2:$AI$579,'Por foco'!$A$2:$A$579,$A79,'Por foco'!$B$2:$B$579,$B79)</f>
        <v>0</v>
      </c>
      <c r="AH79" s="3" t="n">
        <f aca="false">SUMIFS('Por foco'!$AJ$2:$AJ$579,'Por foco'!$A$2:$A$579,$A79,'Por foco'!$B$2:$B$579,$B79)</f>
        <v>0</v>
      </c>
      <c r="AI79" s="3" t="n">
        <f aca="false">SUMIFS('Por foco'!$AK$2:$AK$579,'Por foco'!$A$2:$A$579,$A79,'Por foco'!$B$2:$B$579,$B79)</f>
        <v>0</v>
      </c>
      <c r="AJ79" s="3" t="n">
        <f aca="false">SUMIFS('Por foco'!$AL$2:$AL$579,'Por foco'!$A$2:$A$579,$A79,'Por foco'!$B$2:$B$579,$B79)</f>
        <v>0</v>
      </c>
      <c r="AK79" s="3" t="n">
        <f aca="false">SUMIFS('Por foco'!$AM$2:$AM$579,'Por foco'!$A$2:$A$579,$A79,'Por foco'!$B$2:$B$579,$B79)</f>
        <v>0</v>
      </c>
      <c r="AL79" s="3" t="n">
        <f aca="false">SUMIFS('Por foco'!$AN$2:$AN$579,'Por foco'!$A$2:$A$579,$A79,'Por foco'!$B$2:$B$579,$B79)</f>
        <v>0</v>
      </c>
      <c r="AM79" s="3" t="n">
        <f aca="false">SUMIFS('Por foco'!$AO$2:$AO$579,'Por foco'!$A$2:$A$579,$A79,'Por foco'!$B$2:$B$579,$B79)</f>
        <v>0.05</v>
      </c>
      <c r="AN79" s="3" t="n">
        <f aca="false">SUMIFS('Por foco'!$AP$2:$AP$579,'Por foco'!$A$2:$A$579,$A79,'Por foco'!$B$2:$B$579,$B79)</f>
        <v>0</v>
      </c>
      <c r="AO79" s="3" t="n">
        <f aca="false">SUMIFS('Por foco'!$AQ$2:$AQ$579,'Por foco'!$A$2:$A$579,$A79,'Por foco'!$B$2:$B$579,$B79)</f>
        <v>0.5</v>
      </c>
      <c r="AP79" s="3" t="n">
        <f aca="false">SUMIFS('Por foco'!$AR$2:$AR$579,'Por foco'!$A$2:$A$579,$A79,'Por foco'!$B$2:$B$579,$B79)</f>
        <v>10</v>
      </c>
      <c r="AQ79" s="3" t="n">
        <f aca="false">SUMIFS('Por foco'!$AS$2:$AS$579,'Por foco'!$A$2:$A$579,$A79,'Por foco'!$B$2:$B$579,$B79)</f>
        <v>5</v>
      </c>
      <c r="AR79" s="3" t="n">
        <f aca="false">SUMIFS('Por foco'!$AT$2:$AT$579,'Por foco'!$A$2:$A$579,$A79,'Por foco'!$B$2:$B$579,$B79)</f>
        <v>0</v>
      </c>
      <c r="AS79" s="3" t="n">
        <f aca="false">SUMIFS('Por foco'!$AU$2:$AU$579,'Por foco'!$A$2:$A$579,$A79,'Por foco'!$B$2:$B$579,$B79)</f>
        <v>0</v>
      </c>
      <c r="AT79" s="3" t="n">
        <f aca="false">SUMIFS('Por foco'!$AV$2:$AV$579,'Por foco'!$A$2:$A$579,$A79,'Por foco'!$B$2:$B$579,$B79)</f>
        <v>0</v>
      </c>
      <c r="AU79" s="3" t="n">
        <f aca="false">SUMIFS('Por foco'!$AW$2:$AW$579,'Por foco'!$A$2:$A$579,$A79,'Por foco'!$B$2:$B$579,$B79)</f>
        <v>0</v>
      </c>
      <c r="AV79" s="3" t="n">
        <f aca="false">SUMIFS('Por foco'!$AX$2:$AX$579,'Por foco'!$A$2:$A$579,$A79,'Por foco'!$B$2:$B$579,$B79)</f>
        <v>0</v>
      </c>
      <c r="AW79" s="3" t="n">
        <f aca="false">SUMIFS('Por foco'!$AY$2:$AY$579,'Por foco'!$A$2:$A$579,$A79,'Por foco'!$B$2:$B$579,$B79)</f>
        <v>0</v>
      </c>
      <c r="AX79" s="3" t="n">
        <f aca="false">SUMIFS('Por foco'!$AZ$2:$AZ$579,'Por foco'!$A$2:$A$579,$A79,'Por foco'!$B$2:$B$579,$B79)</f>
        <v>0</v>
      </c>
      <c r="AY79" s="3" t="n">
        <f aca="false">SUMIFS('Por foco'!$BA$2:$BA$579,'Por foco'!$A$2:$A$579,$A79,'Por foco'!$B$2:$B$579,$B79)</f>
        <v>0</v>
      </c>
      <c r="AZ79" s="3" t="n">
        <f aca="false">SUMIFS('Por foco'!$BB$2:$BB$579,'Por foco'!$A$2:$A$579,$A79,'Por foco'!$B$2:$B$579,$B79)</f>
        <v>0</v>
      </c>
      <c r="BA79" s="3" t="n">
        <f aca="false">SUMIFS('Por foco'!$BC$2:$BC$579,'Por foco'!$A$2:$A$579,$A79,'Por foco'!$B$2:$B$579,$B79)</f>
        <v>0</v>
      </c>
      <c r="BB79" s="3" t="n">
        <f aca="false">SUMIFS('Por foco'!$BD$2:$BD$579,'Por foco'!$A$2:$A$579,$A79,'Por foco'!$B$2:$B$579,$B79)</f>
        <v>0</v>
      </c>
      <c r="BC79" s="3" t="n">
        <f aca="false">SUMIFS('Por foco'!$BE$2:$BE$579,'Por foco'!$A$2:$A$579,$A79,'Por foco'!$B$2:$B$579,$B79)</f>
        <v>0</v>
      </c>
      <c r="BD79" s="3" t="n">
        <f aca="false">SUMIFS('Por foco'!$BF$2:$BF$579,'Por foco'!$A$2:$A$579,$A79,'Por foco'!$B$2:$B$579,$B79)</f>
        <v>0</v>
      </c>
      <c r="BE79" s="3" t="n">
        <f aca="false">SUMIFS('Por foco'!$BG$2:$BG$579,'Por foco'!$A$2:$A$579,$A79,'Por foco'!$B$2:$B$579,$B79)</f>
        <v>0</v>
      </c>
    </row>
    <row r="80" customFormat="false" ht="15" hidden="false" customHeight="false" outlineLevel="0" collapsed="false">
      <c r="A80" s="3" t="s">
        <v>68</v>
      </c>
      <c r="B80" s="3" t="s">
        <v>149</v>
      </c>
      <c r="C80" s="3" t="n">
        <f aca="false">COUNTIFS('Por foco'!$A$2:$A$579,$A80,'Por foco'!$B$2:$B$579,$B80)</f>
        <v>7</v>
      </c>
      <c r="D80" s="6" t="n">
        <f aca="false">SUMIFS('Por foco'!$F$2:$F$579,'Por foco'!$A$2:$A$579,$A80,'Por foco'!$B$2:$B$579,$B80)</f>
        <v>2895</v>
      </c>
      <c r="E80" s="3" t="n">
        <f aca="false">IF(C80=0,0,SUMIFS('Por foco'!$E$2:$E$579,'Por foco'!$A$2:$A$579,$A80,'Por foco'!$B$2:$B$579,$B80)/C80)</f>
        <v>1</v>
      </c>
      <c r="F80" s="3" t="n">
        <f aca="false">SUMIFS('Por foco'!$H$2:$H$579,'Por foco'!$A$2:$A$579,$A80,'Por foco'!$B$2:$B$579,$B80)</f>
        <v>245</v>
      </c>
      <c r="G80" s="3" t="n">
        <f aca="false">SUMIFS('Por foco'!$I$2:$I$579,'Por foco'!$A$2:$A$579,$A80,'Por foco'!$B$2:$B$579,$B80)</f>
        <v>0</v>
      </c>
      <c r="H80" s="3" t="n">
        <f aca="false">SUMIFS('Por foco'!$J$2:$J$579,'Por foco'!$A$2:$A$579,$A80,'Por foco'!$B$2:$B$579,$B80)</f>
        <v>0</v>
      </c>
      <c r="I80" s="3" t="n">
        <f aca="false">SUMIFS('Por foco'!$K$2:$K$579,'Por foco'!$A$2:$A$579,$A80,'Por foco'!$B$2:$B$579,$B80)</f>
        <v>0</v>
      </c>
      <c r="J80" s="3" t="n">
        <f aca="false">SUMIFS('Por foco'!$L$2:$L$579,'Por foco'!$A$2:$A$579,$A80,'Por foco'!$B$2:$B$579,$B80)</f>
        <v>120000</v>
      </c>
      <c r="K80" s="3" t="n">
        <f aca="false">SUMIFS('Por foco'!$M$2:$M$579,'Por foco'!$A$2:$A$579,$A80,'Por foco'!$B$2:$B$579,$B80)</f>
        <v>0</v>
      </c>
      <c r="L80" s="3" t="n">
        <f aca="false">SUMIFS('Por foco'!$N$2:$N$579,'Por foco'!$A$2:$A$579,$A80,'Por foco'!$B$2:$B$579,$B80)</f>
        <v>0</v>
      </c>
      <c r="M80" s="3" t="n">
        <f aca="false">SUMIFS('Por foco'!$O$2:$O$579,'Por foco'!$A$2:$A$579,$A80,'Por foco'!$B$2:$B$579,$B80)</f>
        <v>0</v>
      </c>
      <c r="N80" s="3" t="n">
        <f aca="false">SUMIFS('Por foco'!$P$2:$P$579,'Por foco'!$A$2:$A$579,$A80,'Por foco'!$B$2:$B$579,$B80)</f>
        <v>0</v>
      </c>
      <c r="O80" s="3" t="n">
        <f aca="false">SUMIFS('Por foco'!$Q$2:$Q$579,'Por foco'!$A$2:$A$579,$A80,'Por foco'!$B$2:$B$579,$B80)</f>
        <v>0</v>
      </c>
      <c r="P80" s="3" t="n">
        <f aca="false">SUMIFS('Por foco'!$R$2:$R$579,'Por foco'!$A$2:$A$579,$A80,'Por foco'!$B$2:$B$579,$B80)</f>
        <v>0</v>
      </c>
      <c r="Q80" s="3" t="n">
        <f aca="false">SUMIFS('Por foco'!$S$2:$S$579,'Por foco'!$A$2:$A$579,$A80,'Por foco'!$B$2:$B$579,$B80)</f>
        <v>0</v>
      </c>
      <c r="R80" s="3" t="n">
        <f aca="false">SUMIFS('Por foco'!$T$2:$T$579,'Por foco'!$A$2:$A$579,$A80,'Por foco'!$B$2:$B$579,$B80)</f>
        <v>0</v>
      </c>
      <c r="S80" s="3" t="n">
        <f aca="false">SUMIFS('Por foco'!$U$2:$U$579,'Por foco'!$A$2:$A$579,$A80,'Por foco'!$B$2:$B$579,$B80)</f>
        <v>0</v>
      </c>
      <c r="T80" s="3" t="n">
        <f aca="false">SUMIFS('Por foco'!$V$2:$V$579,'Por foco'!$A$2:$A$579,$A80,'Por foco'!$B$2:$B$579,$B80)</f>
        <v>0</v>
      </c>
      <c r="U80" s="3" t="n">
        <f aca="false">SUMIFS('Por foco'!$W$2:$W$579,'Por foco'!$A$2:$A$579,$A80,'Por foco'!$B$2:$B$579,$B80)</f>
        <v>7000</v>
      </c>
      <c r="V80" s="3" t="n">
        <f aca="false">SUMIFS('Por foco'!$X$2:$X$579,'Por foco'!$A$2:$A$579,$A80,'Por foco'!$B$2:$B$579,$B80)</f>
        <v>0</v>
      </c>
      <c r="W80" s="3" t="n">
        <f aca="false">SUMIFS('Por foco'!$Y$2:$Y$579,'Por foco'!$A$2:$A$579,$A80,'Por foco'!$B$2:$B$579,$B80)</f>
        <v>0</v>
      </c>
      <c r="X80" s="3" t="n">
        <f aca="false">SUMIFS('Por foco'!$Z$2:$Z$579,'Por foco'!$A$2:$A$579,$A80,'Por foco'!$B$2:$B$579,$B80)</f>
        <v>0</v>
      </c>
      <c r="Y80" s="3" t="n">
        <f aca="false">SUMIFS('Por foco'!$AA$2:$AA$579,'Por foco'!$A$2:$A$579,$A80,'Por foco'!$B$2:$B$579,$B80)</f>
        <v>0</v>
      </c>
      <c r="Z80" s="3" t="n">
        <f aca="false">SUMIFS('Por foco'!$AB$2:$AB$579,'Por foco'!$A$2:$A$579,$A80,'Por foco'!$B$2:$B$579,$B80)</f>
        <v>30</v>
      </c>
      <c r="AA80" s="3" t="n">
        <f aca="false">SUMIFS('Por foco'!$AC$2:$AC$579,'Por foco'!$A$2:$A$579,$A80,'Por foco'!$B$2:$B$579,$B80)</f>
        <v>21</v>
      </c>
      <c r="AB80" s="3" t="n">
        <f aca="false">SUMIFS('Por foco'!$AD$2:$AD$579,'Por foco'!$A$2:$A$579,$A80,'Por foco'!$B$2:$B$579,$B80)</f>
        <v>0</v>
      </c>
      <c r="AC80" s="3" t="n">
        <f aca="false">SUMIFS('Por foco'!$AE$2:$AE$579,'Por foco'!$A$2:$A$579,$A80,'Por foco'!$B$2:$B$579,$B80)</f>
        <v>0</v>
      </c>
      <c r="AD80" s="3" t="n">
        <f aca="false">SUMIFS('Por foco'!$AF$2:$AF$579,'Por foco'!$A$2:$A$579,$A80,'Por foco'!$B$2:$B$579,$B80)</f>
        <v>405</v>
      </c>
      <c r="AE80" s="3" t="n">
        <f aca="false">SUMIFS('Por foco'!$AG$2:$AG$579,'Por foco'!$A$2:$A$579,$A80,'Por foco'!$B$2:$B$579,$B80)</f>
        <v>0</v>
      </c>
      <c r="AF80" s="3" t="n">
        <f aca="false">SUMIFS('Por foco'!$AH$2:$AH$579,'Por foco'!$A$2:$A$579,$A80,'Por foco'!$B$2:$B$579,$B80)</f>
        <v>0</v>
      </c>
      <c r="AG80" s="3" t="n">
        <f aca="false">SUMIFS('Por foco'!$AI$2:$AI$579,'Por foco'!$A$2:$A$579,$A80,'Por foco'!$B$2:$B$579,$B80)</f>
        <v>0</v>
      </c>
      <c r="AH80" s="3" t="n">
        <f aca="false">SUMIFS('Por foco'!$AJ$2:$AJ$579,'Por foco'!$A$2:$A$579,$A80,'Por foco'!$B$2:$B$579,$B80)</f>
        <v>0</v>
      </c>
      <c r="AI80" s="3" t="n">
        <f aca="false">SUMIFS('Por foco'!$AK$2:$AK$579,'Por foco'!$A$2:$A$579,$A80,'Por foco'!$B$2:$B$579,$B80)</f>
        <v>0</v>
      </c>
      <c r="AJ80" s="3" t="n">
        <f aca="false">SUMIFS('Por foco'!$AL$2:$AL$579,'Por foco'!$A$2:$A$579,$A80,'Por foco'!$B$2:$B$579,$B80)</f>
        <v>0</v>
      </c>
      <c r="AK80" s="3" t="n">
        <f aca="false">SUMIFS('Por foco'!$AM$2:$AM$579,'Por foco'!$A$2:$A$579,$A80,'Por foco'!$B$2:$B$579,$B80)</f>
        <v>0</v>
      </c>
      <c r="AL80" s="3" t="n">
        <f aca="false">SUMIFS('Por foco'!$AN$2:$AN$579,'Por foco'!$A$2:$A$579,$A80,'Por foco'!$B$2:$B$579,$B80)</f>
        <v>0</v>
      </c>
      <c r="AM80" s="3" t="n">
        <f aca="false">SUMIFS('Por foco'!$AO$2:$AO$579,'Por foco'!$A$2:$A$579,$A80,'Por foco'!$B$2:$B$579,$B80)</f>
        <v>0</v>
      </c>
      <c r="AN80" s="3" t="n">
        <f aca="false">SUMIFS('Por foco'!$AP$2:$AP$579,'Por foco'!$A$2:$A$579,$A80,'Por foco'!$B$2:$B$579,$B80)</f>
        <v>31</v>
      </c>
      <c r="AO80" s="3" t="n">
        <f aca="false">SUMIFS('Por foco'!$AQ$2:$AQ$579,'Por foco'!$A$2:$A$579,$A80,'Por foco'!$B$2:$B$579,$B80)</f>
        <v>0</v>
      </c>
      <c r="AP80" s="3" t="n">
        <f aca="false">SUMIFS('Por foco'!$AR$2:$AR$579,'Por foco'!$A$2:$A$579,$A80,'Por foco'!$B$2:$B$579,$B80)</f>
        <v>36</v>
      </c>
      <c r="AQ80" s="3" t="n">
        <f aca="false">SUMIFS('Por foco'!$AS$2:$AS$579,'Por foco'!$A$2:$A$579,$A80,'Por foco'!$B$2:$B$579,$B80)</f>
        <v>20</v>
      </c>
      <c r="AR80" s="3" t="n">
        <f aca="false">SUMIFS('Por foco'!$AT$2:$AT$579,'Por foco'!$A$2:$A$579,$A80,'Por foco'!$B$2:$B$579,$B80)</f>
        <v>0</v>
      </c>
      <c r="AS80" s="3" t="n">
        <f aca="false">SUMIFS('Por foco'!$AU$2:$AU$579,'Por foco'!$A$2:$A$579,$A80,'Por foco'!$B$2:$B$579,$B80)</f>
        <v>0</v>
      </c>
      <c r="AT80" s="3" t="n">
        <f aca="false">SUMIFS('Por foco'!$AV$2:$AV$579,'Por foco'!$A$2:$A$579,$A80,'Por foco'!$B$2:$B$579,$B80)</f>
        <v>0</v>
      </c>
      <c r="AU80" s="3" t="n">
        <f aca="false">SUMIFS('Por foco'!$AW$2:$AW$579,'Por foco'!$A$2:$A$579,$A80,'Por foco'!$B$2:$B$579,$B80)</f>
        <v>-16</v>
      </c>
      <c r="AV80" s="3" t="n">
        <f aca="false">SUMIFS('Por foco'!$AX$2:$AX$579,'Por foco'!$A$2:$A$579,$A80,'Por foco'!$B$2:$B$579,$B80)</f>
        <v>0</v>
      </c>
      <c r="AW80" s="3" t="n">
        <f aca="false">SUMIFS('Por foco'!$AY$2:$AY$579,'Por foco'!$A$2:$A$579,$A80,'Por foco'!$B$2:$B$579,$B80)</f>
        <v>0</v>
      </c>
      <c r="AX80" s="3" t="n">
        <f aca="false">SUMIFS('Por foco'!$AZ$2:$AZ$579,'Por foco'!$A$2:$A$579,$A80,'Por foco'!$B$2:$B$579,$B80)</f>
        <v>0</v>
      </c>
      <c r="AY80" s="3" t="n">
        <f aca="false">SUMIFS('Por foco'!$BA$2:$BA$579,'Por foco'!$A$2:$A$579,$A80,'Por foco'!$B$2:$B$579,$B80)</f>
        <v>0</v>
      </c>
      <c r="AZ80" s="3" t="n">
        <f aca="false">SUMIFS('Por foco'!$BB$2:$BB$579,'Por foco'!$A$2:$A$579,$A80,'Por foco'!$B$2:$B$579,$B80)</f>
        <v>0</v>
      </c>
      <c r="BA80" s="3" t="n">
        <f aca="false">SUMIFS('Por foco'!$BC$2:$BC$579,'Por foco'!$A$2:$A$579,$A80,'Por foco'!$B$2:$B$579,$B80)</f>
        <v>0</v>
      </c>
      <c r="BB80" s="3" t="n">
        <f aca="false">SUMIFS('Por foco'!$BD$2:$BD$579,'Por foco'!$A$2:$A$579,$A80,'Por foco'!$B$2:$B$579,$B80)</f>
        <v>0</v>
      </c>
      <c r="BC80" s="3" t="n">
        <f aca="false">SUMIFS('Por foco'!$BE$2:$BE$579,'Por foco'!$A$2:$A$579,$A80,'Por foco'!$B$2:$B$579,$B80)</f>
        <v>0</v>
      </c>
      <c r="BD80" s="3" t="n">
        <f aca="false">SUMIFS('Por foco'!$BF$2:$BF$579,'Por foco'!$A$2:$A$579,$A80,'Por foco'!$B$2:$B$579,$B80)</f>
        <v>0</v>
      </c>
      <c r="BE80" s="3" t="n">
        <f aca="false">SUMIFS('Por foco'!$BG$2:$BG$579,'Por foco'!$A$2:$A$579,$A80,'Por foco'!$B$2:$B$579,$B80)</f>
        <v>0</v>
      </c>
    </row>
    <row r="81" customFormat="false" ht="15" hidden="false" customHeight="false" outlineLevel="0" collapsed="false">
      <c r="A81" s="3" t="s">
        <v>69</v>
      </c>
      <c r="B81" s="3" t="s">
        <v>150</v>
      </c>
      <c r="C81" s="3" t="n">
        <f aca="false">COUNTIFS('Por foco'!$A$2:$A$579,$A81,'Por foco'!$B$2:$B$579,$B81)</f>
        <v>7</v>
      </c>
      <c r="D81" s="6" t="n">
        <f aca="false">SUMIFS('Por foco'!$F$2:$F$579,'Por foco'!$A$2:$A$579,$A81,'Por foco'!$B$2:$B$579,$B81)</f>
        <v>7380</v>
      </c>
      <c r="E81" s="3" t="n">
        <f aca="false">IF(C81=0,0,SUMIFS('Por foco'!$E$2:$E$579,'Por foco'!$A$2:$A$579,$A81,'Por foco'!$B$2:$B$579,$B81)/C81)</f>
        <v>1</v>
      </c>
      <c r="F81" s="3" t="n">
        <f aca="false">SUMIFS('Por foco'!$H$2:$H$579,'Por foco'!$A$2:$A$579,$A81,'Por foco'!$B$2:$B$579,$B81)</f>
        <v>245</v>
      </c>
      <c r="G81" s="3" t="n">
        <f aca="false">SUMIFS('Por foco'!$I$2:$I$579,'Por foco'!$A$2:$A$579,$A81,'Por foco'!$B$2:$B$579,$B81)</f>
        <v>0</v>
      </c>
      <c r="H81" s="3" t="n">
        <f aca="false">SUMIFS('Por foco'!$J$2:$J$579,'Por foco'!$A$2:$A$579,$A81,'Por foco'!$B$2:$B$579,$B81)</f>
        <v>0</v>
      </c>
      <c r="I81" s="3" t="n">
        <f aca="false">SUMIFS('Por foco'!$K$2:$K$579,'Por foco'!$A$2:$A$579,$A81,'Por foco'!$B$2:$B$579,$B81)</f>
        <v>0</v>
      </c>
      <c r="J81" s="3" t="n">
        <f aca="false">SUMIFS('Por foco'!$L$2:$L$579,'Por foco'!$A$2:$A$579,$A81,'Por foco'!$B$2:$B$579,$B81)</f>
        <v>1340000</v>
      </c>
      <c r="K81" s="3" t="n">
        <f aca="false">SUMIFS('Por foco'!$M$2:$M$579,'Por foco'!$A$2:$A$579,$A81,'Por foco'!$B$2:$B$579,$B81)</f>
        <v>0</v>
      </c>
      <c r="L81" s="3" t="n">
        <f aca="false">SUMIFS('Por foco'!$N$2:$N$579,'Por foco'!$A$2:$A$579,$A81,'Por foco'!$B$2:$B$579,$B81)</f>
        <v>0</v>
      </c>
      <c r="M81" s="3" t="n">
        <f aca="false">SUMIFS('Por foco'!$O$2:$O$579,'Por foco'!$A$2:$A$579,$A81,'Por foco'!$B$2:$B$579,$B81)</f>
        <v>0</v>
      </c>
      <c r="N81" s="3" t="n">
        <f aca="false">SUMIFS('Por foco'!$P$2:$P$579,'Por foco'!$A$2:$A$579,$A81,'Por foco'!$B$2:$B$579,$B81)</f>
        <v>0</v>
      </c>
      <c r="O81" s="3" t="n">
        <f aca="false">SUMIFS('Por foco'!$Q$2:$Q$579,'Por foco'!$A$2:$A$579,$A81,'Por foco'!$B$2:$B$579,$B81)</f>
        <v>0</v>
      </c>
      <c r="P81" s="3" t="n">
        <f aca="false">SUMIFS('Por foco'!$R$2:$R$579,'Por foco'!$A$2:$A$579,$A81,'Por foco'!$B$2:$B$579,$B81)</f>
        <v>0</v>
      </c>
      <c r="Q81" s="3" t="n">
        <f aca="false">SUMIFS('Por foco'!$S$2:$S$579,'Por foco'!$A$2:$A$579,$A81,'Por foco'!$B$2:$B$579,$B81)</f>
        <v>0</v>
      </c>
      <c r="R81" s="3" t="n">
        <f aca="false">SUMIFS('Por foco'!$T$2:$T$579,'Por foco'!$A$2:$A$579,$A81,'Por foco'!$B$2:$B$579,$B81)</f>
        <v>0</v>
      </c>
      <c r="S81" s="3" t="n">
        <f aca="false">SUMIFS('Por foco'!$U$2:$U$579,'Por foco'!$A$2:$A$579,$A81,'Por foco'!$B$2:$B$579,$B81)</f>
        <v>0</v>
      </c>
      <c r="T81" s="3" t="n">
        <f aca="false">SUMIFS('Por foco'!$V$2:$V$579,'Por foco'!$A$2:$A$579,$A81,'Por foco'!$B$2:$B$579,$B81)</f>
        <v>0</v>
      </c>
      <c r="U81" s="3" t="n">
        <f aca="false">SUMIFS('Por foco'!$W$2:$W$579,'Por foco'!$A$2:$A$579,$A81,'Por foco'!$B$2:$B$579,$B81)</f>
        <v>30150</v>
      </c>
      <c r="V81" s="3" t="n">
        <f aca="false">SUMIFS('Por foco'!$X$2:$X$579,'Por foco'!$A$2:$A$579,$A81,'Por foco'!$B$2:$B$579,$B81)</f>
        <v>6</v>
      </c>
      <c r="W81" s="3" t="n">
        <f aca="false">SUMIFS('Por foco'!$Y$2:$Y$579,'Por foco'!$A$2:$A$579,$A81,'Por foco'!$B$2:$B$579,$B81)</f>
        <v>0</v>
      </c>
      <c r="X81" s="3" t="n">
        <f aca="false">SUMIFS('Por foco'!$Z$2:$Z$579,'Por foco'!$A$2:$A$579,$A81,'Por foco'!$B$2:$B$579,$B81)</f>
        <v>2</v>
      </c>
      <c r="Y81" s="3" t="n">
        <f aca="false">SUMIFS('Por foco'!$AA$2:$AA$579,'Por foco'!$A$2:$A$579,$A81,'Por foco'!$B$2:$B$579,$B81)</f>
        <v>0</v>
      </c>
      <c r="Z81" s="3" t="n">
        <f aca="false">SUMIFS('Por foco'!$AB$2:$AB$579,'Por foco'!$A$2:$A$579,$A81,'Por foco'!$B$2:$B$579,$B81)</f>
        <v>41</v>
      </c>
      <c r="AA81" s="3" t="n">
        <f aca="false">SUMIFS('Por foco'!$AC$2:$AC$579,'Por foco'!$A$2:$A$579,$A81,'Por foco'!$B$2:$B$579,$B81)</f>
        <v>41</v>
      </c>
      <c r="AB81" s="3" t="n">
        <f aca="false">SUMIFS('Por foco'!$AD$2:$AD$579,'Por foco'!$A$2:$A$579,$A81,'Por foco'!$B$2:$B$579,$B81)</f>
        <v>0</v>
      </c>
      <c r="AC81" s="3" t="n">
        <f aca="false">SUMIFS('Por foco'!$AE$2:$AE$579,'Por foco'!$A$2:$A$579,$A81,'Por foco'!$B$2:$B$579,$B81)</f>
        <v>0</v>
      </c>
      <c r="AD81" s="3" t="n">
        <f aca="false">SUMIFS('Por foco'!$AF$2:$AF$579,'Por foco'!$A$2:$A$579,$A81,'Por foco'!$B$2:$B$579,$B81)</f>
        <v>0</v>
      </c>
      <c r="AE81" s="3" t="n">
        <f aca="false">SUMIFS('Por foco'!$AG$2:$AG$579,'Por foco'!$A$2:$A$579,$A81,'Por foco'!$B$2:$B$579,$B81)</f>
        <v>0</v>
      </c>
      <c r="AF81" s="3" t="n">
        <f aca="false">SUMIFS('Por foco'!$AH$2:$AH$579,'Por foco'!$A$2:$A$579,$A81,'Por foco'!$B$2:$B$579,$B81)</f>
        <v>0</v>
      </c>
      <c r="AG81" s="3" t="n">
        <f aca="false">SUMIFS('Por foco'!$AI$2:$AI$579,'Por foco'!$A$2:$A$579,$A81,'Por foco'!$B$2:$B$579,$B81)</f>
        <v>0</v>
      </c>
      <c r="AH81" s="3" t="n">
        <f aca="false">SUMIFS('Por foco'!$AJ$2:$AJ$579,'Por foco'!$A$2:$A$579,$A81,'Por foco'!$B$2:$B$579,$B81)</f>
        <v>0</v>
      </c>
      <c r="AI81" s="3" t="n">
        <f aca="false">SUMIFS('Por foco'!$AK$2:$AK$579,'Por foco'!$A$2:$A$579,$A81,'Por foco'!$B$2:$B$579,$B81)</f>
        <v>0</v>
      </c>
      <c r="AJ81" s="3" t="n">
        <f aca="false">SUMIFS('Por foco'!$AL$2:$AL$579,'Por foco'!$A$2:$A$579,$A81,'Por foco'!$B$2:$B$579,$B81)</f>
        <v>0</v>
      </c>
      <c r="AK81" s="3" t="n">
        <f aca="false">SUMIFS('Por foco'!$AM$2:$AM$579,'Por foco'!$A$2:$A$579,$A81,'Por foco'!$B$2:$B$579,$B81)</f>
        <v>0</v>
      </c>
      <c r="AL81" s="3" t="n">
        <f aca="false">SUMIFS('Por foco'!$AN$2:$AN$579,'Por foco'!$A$2:$A$579,$A81,'Por foco'!$B$2:$B$579,$B81)</f>
        <v>0</v>
      </c>
      <c r="AM81" s="3" t="n">
        <f aca="false">SUMIFS('Por foco'!$AO$2:$AO$579,'Por foco'!$A$2:$A$579,$A81,'Por foco'!$B$2:$B$579,$B81)</f>
        <v>0</v>
      </c>
      <c r="AN81" s="3" t="n">
        <f aca="false">SUMIFS('Por foco'!$AP$2:$AP$579,'Por foco'!$A$2:$A$579,$A81,'Por foco'!$B$2:$B$579,$B81)</f>
        <v>59</v>
      </c>
      <c r="AO81" s="3" t="n">
        <f aca="false">SUMIFS('Por foco'!$AQ$2:$AQ$579,'Por foco'!$A$2:$A$579,$A81,'Por foco'!$B$2:$B$579,$B81)</f>
        <v>33</v>
      </c>
      <c r="AP81" s="3" t="n">
        <f aca="false">SUMIFS('Por foco'!$AR$2:$AR$579,'Por foco'!$A$2:$A$579,$A81,'Por foco'!$B$2:$B$579,$B81)</f>
        <v>35</v>
      </c>
      <c r="AQ81" s="3" t="n">
        <f aca="false">SUMIFS('Por foco'!$AS$2:$AS$579,'Por foco'!$A$2:$A$579,$A81,'Por foco'!$B$2:$B$579,$B81)</f>
        <v>25</v>
      </c>
      <c r="AR81" s="3" t="n">
        <f aca="false">SUMIFS('Por foco'!$AT$2:$AT$579,'Por foco'!$A$2:$A$579,$A81,'Por foco'!$B$2:$B$579,$B81)</f>
        <v>0</v>
      </c>
      <c r="AS81" s="3" t="n">
        <f aca="false">SUMIFS('Por foco'!$AU$2:$AU$579,'Por foco'!$A$2:$A$579,$A81,'Por foco'!$B$2:$B$579,$B81)</f>
        <v>0</v>
      </c>
      <c r="AT81" s="3" t="n">
        <f aca="false">SUMIFS('Por foco'!$AV$2:$AV$579,'Por foco'!$A$2:$A$579,$A81,'Por foco'!$B$2:$B$579,$B81)</f>
        <v>0</v>
      </c>
      <c r="AU81" s="3" t="n">
        <f aca="false">SUMIFS('Por foco'!$AW$2:$AW$579,'Por foco'!$A$2:$A$579,$A81,'Por foco'!$B$2:$B$579,$B81)</f>
        <v>0</v>
      </c>
      <c r="AV81" s="3" t="n">
        <f aca="false">SUMIFS('Por foco'!$AX$2:$AX$579,'Por foco'!$A$2:$A$579,$A81,'Por foco'!$B$2:$B$579,$B81)</f>
        <v>-24</v>
      </c>
      <c r="AW81" s="3" t="n">
        <f aca="false">SUMIFS('Por foco'!$AY$2:$AY$579,'Por foco'!$A$2:$A$579,$A81,'Por foco'!$B$2:$B$579,$B81)</f>
        <v>0</v>
      </c>
      <c r="AX81" s="3" t="n">
        <f aca="false">SUMIFS('Por foco'!$AZ$2:$AZ$579,'Por foco'!$A$2:$A$579,$A81,'Por foco'!$B$2:$B$579,$B81)</f>
        <v>0</v>
      </c>
      <c r="AY81" s="3" t="n">
        <f aca="false">SUMIFS('Por foco'!$BA$2:$BA$579,'Por foco'!$A$2:$A$579,$A81,'Por foco'!$B$2:$B$579,$B81)</f>
        <v>0</v>
      </c>
      <c r="AZ81" s="3" t="n">
        <f aca="false">SUMIFS('Por foco'!$BB$2:$BB$579,'Por foco'!$A$2:$A$579,$A81,'Por foco'!$B$2:$B$579,$B81)</f>
        <v>0</v>
      </c>
      <c r="BA81" s="3" t="n">
        <f aca="false">SUMIFS('Por foco'!$BC$2:$BC$579,'Por foco'!$A$2:$A$579,$A81,'Por foco'!$B$2:$B$579,$B81)</f>
        <v>0</v>
      </c>
      <c r="BB81" s="3" t="n">
        <f aca="false">SUMIFS('Por foco'!$BD$2:$BD$579,'Por foco'!$A$2:$A$579,$A81,'Por foco'!$B$2:$B$579,$B81)</f>
        <v>0</v>
      </c>
      <c r="BC81" s="3" t="n">
        <f aca="false">SUMIFS('Por foco'!$BE$2:$BE$579,'Por foco'!$A$2:$A$579,$A81,'Por foco'!$B$2:$B$579,$B81)</f>
        <v>0</v>
      </c>
      <c r="BD81" s="3" t="n">
        <f aca="false">SUMIFS('Por foco'!$BF$2:$BF$579,'Por foco'!$A$2:$A$579,$A81,'Por foco'!$B$2:$B$579,$B81)</f>
        <v>0</v>
      </c>
      <c r="BE81" s="3" t="n">
        <f aca="false">SUMIFS('Por foco'!$BG$2:$BG$579,'Por foco'!$A$2:$A$579,$A81,'Por foco'!$B$2:$B$579,$B81)</f>
        <v>0</v>
      </c>
    </row>
    <row r="82" customFormat="false" ht="15" hidden="false" customHeight="false" outlineLevel="0" collapsed="false">
      <c r="A82" s="3" t="s">
        <v>70</v>
      </c>
      <c r="B82" s="3" t="s">
        <v>150</v>
      </c>
      <c r="C82" s="3" t="n">
        <f aca="false">COUNTIFS('Por foco'!$A$2:$A$579,$A82,'Por foco'!$B$2:$B$579,$B82)</f>
        <v>7</v>
      </c>
      <c r="D82" s="6" t="n">
        <f aca="false">SUMIFS('Por foco'!$F$2:$F$579,'Por foco'!$A$2:$A$579,$A82,'Por foco'!$B$2:$B$579,$B82)</f>
        <v>8685.87</v>
      </c>
      <c r="E82" s="3" t="n">
        <f aca="false">IF(C82=0,0,SUMIFS('Por foco'!$E$2:$E$579,'Por foco'!$A$2:$A$579,$A82,'Por foco'!$B$2:$B$579,$B82)/C82)</f>
        <v>1</v>
      </c>
      <c r="F82" s="3" t="n">
        <f aca="false">SUMIFS('Por foco'!$H$2:$H$579,'Por foco'!$A$2:$A$579,$A82,'Por foco'!$B$2:$B$579,$B82)</f>
        <v>245</v>
      </c>
      <c r="G82" s="3" t="n">
        <f aca="false">SUMIFS('Por foco'!$I$2:$I$579,'Por foco'!$A$2:$A$579,$A82,'Por foco'!$B$2:$B$579,$B82)</f>
        <v>0</v>
      </c>
      <c r="H82" s="3" t="n">
        <f aca="false">SUMIFS('Por foco'!$J$2:$J$579,'Por foco'!$A$2:$A$579,$A82,'Por foco'!$B$2:$B$579,$B82)</f>
        <v>0</v>
      </c>
      <c r="I82" s="3" t="n">
        <f aca="false">SUMIFS('Por foco'!$K$2:$K$579,'Por foco'!$A$2:$A$579,$A82,'Por foco'!$B$2:$B$579,$B82)</f>
        <v>0</v>
      </c>
      <c r="J82" s="3" t="n">
        <f aca="false">SUMIFS('Por foco'!$L$2:$L$579,'Por foco'!$A$2:$A$579,$A82,'Por foco'!$B$2:$B$579,$B82)</f>
        <v>1840000</v>
      </c>
      <c r="K82" s="3" t="n">
        <f aca="false">SUMIFS('Por foco'!$M$2:$M$579,'Por foco'!$A$2:$A$579,$A82,'Por foco'!$B$2:$B$579,$B82)</f>
        <v>0</v>
      </c>
      <c r="L82" s="3" t="n">
        <f aca="false">SUMIFS('Por foco'!$N$2:$N$579,'Por foco'!$A$2:$A$579,$A82,'Por foco'!$B$2:$B$579,$B82)</f>
        <v>0</v>
      </c>
      <c r="M82" s="3" t="n">
        <f aca="false">SUMIFS('Por foco'!$O$2:$O$579,'Por foco'!$A$2:$A$579,$A82,'Por foco'!$B$2:$B$579,$B82)</f>
        <v>0</v>
      </c>
      <c r="N82" s="3" t="n">
        <f aca="false">SUMIFS('Por foco'!$P$2:$P$579,'Por foco'!$A$2:$A$579,$A82,'Por foco'!$B$2:$B$579,$B82)</f>
        <v>0</v>
      </c>
      <c r="O82" s="3" t="n">
        <f aca="false">SUMIFS('Por foco'!$Q$2:$Q$579,'Por foco'!$A$2:$A$579,$A82,'Por foco'!$B$2:$B$579,$B82)</f>
        <v>0</v>
      </c>
      <c r="P82" s="3" t="n">
        <f aca="false">SUMIFS('Por foco'!$R$2:$R$579,'Por foco'!$A$2:$A$579,$A82,'Por foco'!$B$2:$B$579,$B82)</f>
        <v>0</v>
      </c>
      <c r="Q82" s="3" t="n">
        <f aca="false">SUMIFS('Por foco'!$S$2:$S$579,'Por foco'!$A$2:$A$579,$A82,'Por foco'!$B$2:$B$579,$B82)</f>
        <v>0</v>
      </c>
      <c r="R82" s="3" t="n">
        <f aca="false">SUMIFS('Por foco'!$T$2:$T$579,'Por foco'!$A$2:$A$579,$A82,'Por foco'!$B$2:$B$579,$B82)</f>
        <v>0</v>
      </c>
      <c r="S82" s="3" t="n">
        <f aca="false">SUMIFS('Por foco'!$U$2:$U$579,'Por foco'!$A$2:$A$579,$A82,'Por foco'!$B$2:$B$579,$B82)</f>
        <v>0</v>
      </c>
      <c r="T82" s="3" t="n">
        <f aca="false">SUMIFS('Por foco'!$V$2:$V$579,'Por foco'!$A$2:$A$579,$A82,'Por foco'!$B$2:$B$579,$B82)</f>
        <v>0</v>
      </c>
      <c r="U82" s="3" t="n">
        <f aca="false">SUMIFS('Por foco'!$W$2:$W$579,'Por foco'!$A$2:$A$579,$A82,'Por foco'!$B$2:$B$579,$B82)</f>
        <v>32150</v>
      </c>
      <c r="V82" s="3" t="n">
        <f aca="false">SUMIFS('Por foco'!$X$2:$X$579,'Por foco'!$A$2:$A$579,$A82,'Por foco'!$B$2:$B$579,$B82)</f>
        <v>8</v>
      </c>
      <c r="W82" s="3" t="n">
        <f aca="false">SUMIFS('Por foco'!$Y$2:$Y$579,'Por foco'!$A$2:$A$579,$A82,'Por foco'!$B$2:$B$579,$B82)</f>
        <v>0</v>
      </c>
      <c r="X82" s="3" t="n">
        <f aca="false">SUMIFS('Por foco'!$Z$2:$Z$579,'Por foco'!$A$2:$A$579,$A82,'Por foco'!$B$2:$B$579,$B82)</f>
        <v>0</v>
      </c>
      <c r="Y82" s="3" t="n">
        <f aca="false">SUMIFS('Por foco'!$AA$2:$AA$579,'Por foco'!$A$2:$A$579,$A82,'Por foco'!$B$2:$B$579,$B82)</f>
        <v>0</v>
      </c>
      <c r="Z82" s="3" t="n">
        <f aca="false">SUMIFS('Por foco'!$AB$2:$AB$579,'Por foco'!$A$2:$A$579,$A82,'Por foco'!$B$2:$B$579,$B82)</f>
        <v>41</v>
      </c>
      <c r="AA82" s="3" t="n">
        <f aca="false">SUMIFS('Por foco'!$AC$2:$AC$579,'Por foco'!$A$2:$A$579,$A82,'Por foco'!$B$2:$B$579,$B82)</f>
        <v>41</v>
      </c>
      <c r="AB82" s="3" t="n">
        <f aca="false">SUMIFS('Por foco'!$AD$2:$AD$579,'Por foco'!$A$2:$A$579,$A82,'Por foco'!$B$2:$B$579,$B82)</f>
        <v>0</v>
      </c>
      <c r="AC82" s="3" t="n">
        <f aca="false">SUMIFS('Por foco'!$AE$2:$AE$579,'Por foco'!$A$2:$A$579,$A82,'Por foco'!$B$2:$B$579,$B82)</f>
        <v>0</v>
      </c>
      <c r="AD82" s="3" t="n">
        <f aca="false">SUMIFS('Por foco'!$AF$2:$AF$579,'Por foco'!$A$2:$A$579,$A82,'Por foco'!$B$2:$B$579,$B82)</f>
        <v>0</v>
      </c>
      <c r="AE82" s="3" t="n">
        <f aca="false">SUMIFS('Por foco'!$AG$2:$AG$579,'Por foco'!$A$2:$A$579,$A82,'Por foco'!$B$2:$B$579,$B82)</f>
        <v>24</v>
      </c>
      <c r="AF82" s="3" t="n">
        <f aca="false">SUMIFS('Por foco'!$AH$2:$AH$579,'Por foco'!$A$2:$A$579,$A82,'Por foco'!$B$2:$B$579,$B82)</f>
        <v>0</v>
      </c>
      <c r="AG82" s="3" t="n">
        <f aca="false">SUMIFS('Por foco'!$AI$2:$AI$579,'Por foco'!$A$2:$A$579,$A82,'Por foco'!$B$2:$B$579,$B82)</f>
        <v>0</v>
      </c>
      <c r="AH82" s="3" t="n">
        <f aca="false">SUMIFS('Por foco'!$AJ$2:$AJ$579,'Por foco'!$A$2:$A$579,$A82,'Por foco'!$B$2:$B$579,$B82)</f>
        <v>0</v>
      </c>
      <c r="AI82" s="3" t="n">
        <f aca="false">SUMIFS('Por foco'!$AK$2:$AK$579,'Por foco'!$A$2:$A$579,$A82,'Por foco'!$B$2:$B$579,$B82)</f>
        <v>0</v>
      </c>
      <c r="AJ82" s="3" t="n">
        <f aca="false">SUMIFS('Por foco'!$AL$2:$AL$579,'Por foco'!$A$2:$A$579,$A82,'Por foco'!$B$2:$B$579,$B82)</f>
        <v>0</v>
      </c>
      <c r="AK82" s="3" t="n">
        <f aca="false">SUMIFS('Por foco'!$AM$2:$AM$579,'Por foco'!$A$2:$A$579,$A82,'Por foco'!$B$2:$B$579,$B82)</f>
        <v>0</v>
      </c>
      <c r="AL82" s="3" t="n">
        <f aca="false">SUMIFS('Por foco'!$AN$2:$AN$579,'Por foco'!$A$2:$A$579,$A82,'Por foco'!$B$2:$B$579,$B82)</f>
        <v>0</v>
      </c>
      <c r="AM82" s="3" t="n">
        <f aca="false">SUMIFS('Por foco'!$AO$2:$AO$579,'Por foco'!$A$2:$A$579,$A82,'Por foco'!$B$2:$B$579,$B82)</f>
        <v>0.29</v>
      </c>
      <c r="AN82" s="3" t="n">
        <f aca="false">SUMIFS('Por foco'!$AP$2:$AP$579,'Por foco'!$A$2:$A$579,$A82,'Por foco'!$B$2:$B$579,$B82)</f>
        <v>59</v>
      </c>
      <c r="AO82" s="3" t="n">
        <f aca="false">SUMIFS('Por foco'!$AQ$2:$AQ$579,'Por foco'!$A$2:$A$579,$A82,'Por foco'!$B$2:$B$579,$B82)</f>
        <v>0</v>
      </c>
      <c r="AP82" s="3" t="n">
        <f aca="false">SUMIFS('Por foco'!$AR$2:$AR$579,'Por foco'!$A$2:$A$579,$A82,'Por foco'!$B$2:$B$579,$B82)</f>
        <v>35</v>
      </c>
      <c r="AQ82" s="3" t="n">
        <f aca="false">SUMIFS('Por foco'!$AS$2:$AS$579,'Por foco'!$A$2:$A$579,$A82,'Por foco'!$B$2:$B$579,$B82)</f>
        <v>25</v>
      </c>
      <c r="AR82" s="3" t="n">
        <f aca="false">SUMIFS('Por foco'!$AT$2:$AT$579,'Por foco'!$A$2:$A$579,$A82,'Por foco'!$B$2:$B$579,$B82)</f>
        <v>0</v>
      </c>
      <c r="AS82" s="3" t="n">
        <f aca="false">SUMIFS('Por foco'!$AU$2:$AU$579,'Por foco'!$A$2:$A$579,$A82,'Por foco'!$B$2:$B$579,$B82)</f>
        <v>0</v>
      </c>
      <c r="AT82" s="3" t="n">
        <f aca="false">SUMIFS('Por foco'!$AV$2:$AV$579,'Por foco'!$A$2:$A$579,$A82,'Por foco'!$B$2:$B$579,$B82)</f>
        <v>0</v>
      </c>
      <c r="AU82" s="3" t="n">
        <f aca="false">SUMIFS('Por foco'!$AW$2:$AW$579,'Por foco'!$A$2:$A$579,$A82,'Por foco'!$B$2:$B$579,$B82)</f>
        <v>0</v>
      </c>
      <c r="AV82" s="3" t="n">
        <f aca="false">SUMIFS('Por foco'!$AX$2:$AX$579,'Por foco'!$A$2:$A$579,$A82,'Por foco'!$B$2:$B$579,$B82)</f>
        <v>-24</v>
      </c>
      <c r="AW82" s="3" t="n">
        <f aca="false">SUMIFS('Por foco'!$AY$2:$AY$579,'Por foco'!$A$2:$A$579,$A82,'Por foco'!$B$2:$B$579,$B82)</f>
        <v>0</v>
      </c>
      <c r="AX82" s="3" t="n">
        <f aca="false">SUMIFS('Por foco'!$AZ$2:$AZ$579,'Por foco'!$A$2:$A$579,$A82,'Por foco'!$B$2:$B$579,$B82)</f>
        <v>0</v>
      </c>
      <c r="AY82" s="3" t="n">
        <f aca="false">SUMIFS('Por foco'!$BA$2:$BA$579,'Por foco'!$A$2:$A$579,$A82,'Por foco'!$B$2:$B$579,$B82)</f>
        <v>0</v>
      </c>
      <c r="AZ82" s="3" t="n">
        <f aca="false">SUMIFS('Por foco'!$BB$2:$BB$579,'Por foco'!$A$2:$A$579,$A82,'Por foco'!$B$2:$B$579,$B82)</f>
        <v>0</v>
      </c>
      <c r="BA82" s="3" t="n">
        <f aca="false">SUMIFS('Por foco'!$BC$2:$BC$579,'Por foco'!$A$2:$A$579,$A82,'Por foco'!$B$2:$B$579,$B82)</f>
        <v>0</v>
      </c>
      <c r="BB82" s="3" t="n">
        <f aca="false">SUMIFS('Por foco'!$BD$2:$BD$579,'Por foco'!$A$2:$A$579,$A82,'Por foco'!$B$2:$B$579,$B82)</f>
        <v>0</v>
      </c>
      <c r="BC82" s="3" t="n">
        <f aca="false">SUMIFS('Por foco'!$BE$2:$BE$579,'Por foco'!$A$2:$A$579,$A82,'Por foco'!$B$2:$B$579,$B82)</f>
        <v>0</v>
      </c>
      <c r="BD82" s="3" t="n">
        <f aca="false">SUMIFS('Por foco'!$BF$2:$BF$579,'Por foco'!$A$2:$A$579,$A82,'Por foco'!$B$2:$B$579,$B82)</f>
        <v>0</v>
      </c>
      <c r="BE82" s="3" t="n">
        <f aca="false">SUMIFS('Por foco'!$BG$2:$BG$579,'Por foco'!$A$2:$A$579,$A82,'Por foco'!$B$2:$B$579,$B82)</f>
        <v>0</v>
      </c>
    </row>
    <row r="83" customFormat="false" ht="15" hidden="false" customHeight="false" outlineLevel="0" collapsed="false">
      <c r="A83" s="3" t="s">
        <v>71</v>
      </c>
      <c r="B83" s="3" t="s">
        <v>150</v>
      </c>
      <c r="C83" s="3" t="n">
        <f aca="false">COUNTIFS('Por foco'!$A$2:$A$579,$A83,'Por foco'!$B$2:$B$579,$B83)</f>
        <v>7</v>
      </c>
      <c r="D83" s="6" t="n">
        <f aca="false">SUMIFS('Por foco'!$F$2:$F$579,'Por foco'!$A$2:$A$579,$A83,'Por foco'!$B$2:$B$579,$B83)</f>
        <v>7381</v>
      </c>
      <c r="E83" s="3" t="n">
        <f aca="false">IF(C83=0,0,SUMIFS('Por foco'!$E$2:$E$579,'Por foco'!$A$2:$A$579,$A83,'Por foco'!$B$2:$B$579,$B83)/C83)</f>
        <v>1</v>
      </c>
      <c r="F83" s="3" t="n">
        <f aca="false">SUMIFS('Por foco'!$H$2:$H$579,'Por foco'!$A$2:$A$579,$A83,'Por foco'!$B$2:$B$579,$B83)</f>
        <v>245</v>
      </c>
      <c r="G83" s="3" t="n">
        <f aca="false">SUMIFS('Por foco'!$I$2:$I$579,'Por foco'!$A$2:$A$579,$A83,'Por foco'!$B$2:$B$579,$B83)</f>
        <v>0</v>
      </c>
      <c r="H83" s="3" t="n">
        <f aca="false">SUMIFS('Por foco'!$J$2:$J$579,'Por foco'!$A$2:$A$579,$A83,'Por foco'!$B$2:$B$579,$B83)</f>
        <v>0</v>
      </c>
      <c r="I83" s="3" t="n">
        <f aca="false">SUMIFS('Por foco'!$K$2:$K$579,'Por foco'!$A$2:$A$579,$A83,'Por foco'!$B$2:$B$579,$B83)</f>
        <v>0</v>
      </c>
      <c r="J83" s="3" t="n">
        <f aca="false">SUMIFS('Por foco'!$L$2:$L$579,'Por foco'!$A$2:$A$579,$A83,'Por foco'!$B$2:$B$579,$B83)</f>
        <v>1240000</v>
      </c>
      <c r="K83" s="3" t="n">
        <f aca="false">SUMIFS('Por foco'!$M$2:$M$579,'Por foco'!$A$2:$A$579,$A83,'Por foco'!$B$2:$B$579,$B83)</f>
        <v>0</v>
      </c>
      <c r="L83" s="3" t="n">
        <f aca="false">SUMIFS('Por foco'!$N$2:$N$579,'Por foco'!$A$2:$A$579,$A83,'Por foco'!$B$2:$B$579,$B83)</f>
        <v>0</v>
      </c>
      <c r="M83" s="3" t="n">
        <f aca="false">SUMIFS('Por foco'!$O$2:$O$579,'Por foco'!$A$2:$A$579,$A83,'Por foco'!$B$2:$B$579,$B83)</f>
        <v>0</v>
      </c>
      <c r="N83" s="3" t="n">
        <f aca="false">SUMIFS('Por foco'!$P$2:$P$579,'Por foco'!$A$2:$A$579,$A83,'Por foco'!$B$2:$B$579,$B83)</f>
        <v>0</v>
      </c>
      <c r="O83" s="3" t="n">
        <f aca="false">SUMIFS('Por foco'!$Q$2:$Q$579,'Por foco'!$A$2:$A$579,$A83,'Por foco'!$B$2:$B$579,$B83)</f>
        <v>0</v>
      </c>
      <c r="P83" s="3" t="n">
        <f aca="false">SUMIFS('Por foco'!$R$2:$R$579,'Por foco'!$A$2:$A$579,$A83,'Por foco'!$B$2:$B$579,$B83)</f>
        <v>0</v>
      </c>
      <c r="Q83" s="3" t="n">
        <f aca="false">SUMIFS('Por foco'!$S$2:$S$579,'Por foco'!$A$2:$A$579,$A83,'Por foco'!$B$2:$B$579,$B83)</f>
        <v>0</v>
      </c>
      <c r="R83" s="3" t="n">
        <f aca="false">SUMIFS('Por foco'!$T$2:$T$579,'Por foco'!$A$2:$A$579,$A83,'Por foco'!$B$2:$B$579,$B83)</f>
        <v>0</v>
      </c>
      <c r="S83" s="3" t="n">
        <f aca="false">SUMIFS('Por foco'!$U$2:$U$579,'Por foco'!$A$2:$A$579,$A83,'Por foco'!$B$2:$B$579,$B83)</f>
        <v>0</v>
      </c>
      <c r="T83" s="3" t="n">
        <f aca="false">SUMIFS('Por foco'!$V$2:$V$579,'Por foco'!$A$2:$A$579,$A83,'Por foco'!$B$2:$B$579,$B83)</f>
        <v>0</v>
      </c>
      <c r="U83" s="3" t="n">
        <f aca="false">SUMIFS('Por foco'!$W$2:$W$579,'Por foco'!$A$2:$A$579,$A83,'Por foco'!$B$2:$B$579,$B83)</f>
        <v>32150</v>
      </c>
      <c r="V83" s="3" t="n">
        <f aca="false">SUMIFS('Por foco'!$X$2:$X$579,'Por foco'!$A$2:$A$579,$A83,'Por foco'!$B$2:$B$579,$B83)</f>
        <v>8</v>
      </c>
      <c r="W83" s="3" t="n">
        <f aca="false">SUMIFS('Por foco'!$Y$2:$Y$579,'Por foco'!$A$2:$A$579,$A83,'Por foco'!$B$2:$B$579,$B83)</f>
        <v>0</v>
      </c>
      <c r="X83" s="3" t="n">
        <f aca="false">SUMIFS('Por foco'!$Z$2:$Z$579,'Por foco'!$A$2:$A$579,$A83,'Por foco'!$B$2:$B$579,$B83)</f>
        <v>0</v>
      </c>
      <c r="Y83" s="3" t="n">
        <f aca="false">SUMIFS('Por foco'!$AA$2:$AA$579,'Por foco'!$A$2:$A$579,$A83,'Por foco'!$B$2:$B$579,$B83)</f>
        <v>0</v>
      </c>
      <c r="Z83" s="3" t="n">
        <f aca="false">SUMIFS('Por foco'!$AB$2:$AB$579,'Por foco'!$A$2:$A$579,$A83,'Por foco'!$B$2:$B$579,$B83)</f>
        <v>41</v>
      </c>
      <c r="AA83" s="3" t="n">
        <f aca="false">SUMIFS('Por foco'!$AC$2:$AC$579,'Por foco'!$A$2:$A$579,$A83,'Por foco'!$B$2:$B$579,$B83)</f>
        <v>41</v>
      </c>
      <c r="AB83" s="3" t="n">
        <f aca="false">SUMIFS('Por foco'!$AD$2:$AD$579,'Por foco'!$A$2:$A$579,$A83,'Por foco'!$B$2:$B$579,$B83)</f>
        <v>0</v>
      </c>
      <c r="AC83" s="3" t="n">
        <f aca="false">SUMIFS('Por foco'!$AE$2:$AE$579,'Por foco'!$A$2:$A$579,$A83,'Por foco'!$B$2:$B$579,$B83)</f>
        <v>0</v>
      </c>
      <c r="AD83" s="3" t="n">
        <f aca="false">SUMIFS('Por foco'!$AF$2:$AF$579,'Por foco'!$A$2:$A$579,$A83,'Por foco'!$B$2:$B$579,$B83)</f>
        <v>0</v>
      </c>
      <c r="AE83" s="3" t="n">
        <f aca="false">SUMIFS('Por foco'!$AG$2:$AG$579,'Por foco'!$A$2:$A$579,$A83,'Por foco'!$B$2:$B$579,$B83)</f>
        <v>0</v>
      </c>
      <c r="AF83" s="3" t="n">
        <f aca="false">SUMIFS('Por foco'!$AH$2:$AH$579,'Por foco'!$A$2:$A$579,$A83,'Por foco'!$B$2:$B$579,$B83)</f>
        <v>0</v>
      </c>
      <c r="AG83" s="3" t="n">
        <f aca="false">SUMIFS('Por foco'!$AI$2:$AI$579,'Por foco'!$A$2:$A$579,$A83,'Por foco'!$B$2:$B$579,$B83)</f>
        <v>0</v>
      </c>
      <c r="AH83" s="3" t="n">
        <f aca="false">SUMIFS('Por foco'!$AJ$2:$AJ$579,'Por foco'!$A$2:$A$579,$A83,'Por foco'!$B$2:$B$579,$B83)</f>
        <v>0</v>
      </c>
      <c r="AI83" s="3" t="n">
        <f aca="false">SUMIFS('Por foco'!$AK$2:$AK$579,'Por foco'!$A$2:$A$579,$A83,'Por foco'!$B$2:$B$579,$B83)</f>
        <v>0</v>
      </c>
      <c r="AJ83" s="3" t="n">
        <f aca="false">SUMIFS('Por foco'!$AL$2:$AL$579,'Por foco'!$A$2:$A$579,$A83,'Por foco'!$B$2:$B$579,$B83)</f>
        <v>0</v>
      </c>
      <c r="AK83" s="3" t="n">
        <f aca="false">SUMIFS('Por foco'!$AM$2:$AM$579,'Por foco'!$A$2:$A$579,$A83,'Por foco'!$B$2:$B$579,$B83)</f>
        <v>0</v>
      </c>
      <c r="AL83" s="3" t="n">
        <f aca="false">SUMIFS('Por foco'!$AN$2:$AN$579,'Por foco'!$A$2:$A$579,$A83,'Por foco'!$B$2:$B$579,$B83)</f>
        <v>0</v>
      </c>
      <c r="AM83" s="3" t="n">
        <f aca="false">SUMIFS('Por foco'!$AO$2:$AO$579,'Por foco'!$A$2:$A$579,$A83,'Por foco'!$B$2:$B$579,$B83)</f>
        <v>0</v>
      </c>
      <c r="AN83" s="3" t="n">
        <f aca="false">SUMIFS('Por foco'!$AP$2:$AP$579,'Por foco'!$A$2:$A$579,$A83,'Por foco'!$B$2:$B$579,$B83)</f>
        <v>59</v>
      </c>
      <c r="AO83" s="3" t="n">
        <f aca="false">SUMIFS('Por foco'!$AQ$2:$AQ$579,'Por foco'!$A$2:$A$579,$A83,'Por foco'!$B$2:$B$579,$B83)</f>
        <v>26</v>
      </c>
      <c r="AP83" s="3" t="n">
        <f aca="false">SUMIFS('Por foco'!$AR$2:$AR$579,'Por foco'!$A$2:$A$579,$A83,'Por foco'!$B$2:$B$579,$B83)</f>
        <v>43</v>
      </c>
      <c r="AQ83" s="3" t="n">
        <f aca="false">SUMIFS('Por foco'!$AS$2:$AS$579,'Por foco'!$A$2:$A$579,$A83,'Por foco'!$B$2:$B$579,$B83)</f>
        <v>25</v>
      </c>
      <c r="AR83" s="3" t="n">
        <f aca="false">SUMIFS('Por foco'!$AT$2:$AT$579,'Por foco'!$A$2:$A$579,$A83,'Por foco'!$B$2:$B$579,$B83)</f>
        <v>0</v>
      </c>
      <c r="AS83" s="3" t="n">
        <f aca="false">SUMIFS('Por foco'!$AU$2:$AU$579,'Por foco'!$A$2:$A$579,$A83,'Por foco'!$B$2:$B$579,$B83)</f>
        <v>0</v>
      </c>
      <c r="AT83" s="3" t="n">
        <f aca="false">SUMIFS('Por foco'!$AV$2:$AV$579,'Por foco'!$A$2:$A$579,$A83,'Por foco'!$B$2:$B$579,$B83)</f>
        <v>0</v>
      </c>
      <c r="AU83" s="3" t="n">
        <f aca="false">SUMIFS('Por foco'!$AW$2:$AW$579,'Por foco'!$A$2:$A$579,$A83,'Por foco'!$B$2:$B$579,$B83)</f>
        <v>-26</v>
      </c>
      <c r="AV83" s="3" t="n">
        <f aca="false">SUMIFS('Por foco'!$AX$2:$AX$579,'Por foco'!$A$2:$A$579,$A83,'Por foco'!$B$2:$B$579,$B83)</f>
        <v>-24</v>
      </c>
      <c r="AW83" s="3" t="n">
        <f aca="false">SUMIFS('Por foco'!$AY$2:$AY$579,'Por foco'!$A$2:$A$579,$A83,'Por foco'!$B$2:$B$579,$B83)</f>
        <v>0</v>
      </c>
      <c r="AX83" s="3" t="n">
        <f aca="false">SUMIFS('Por foco'!$AZ$2:$AZ$579,'Por foco'!$A$2:$A$579,$A83,'Por foco'!$B$2:$B$579,$B83)</f>
        <v>0</v>
      </c>
      <c r="AY83" s="3" t="n">
        <f aca="false">SUMIFS('Por foco'!$BA$2:$BA$579,'Por foco'!$A$2:$A$579,$A83,'Por foco'!$B$2:$B$579,$B83)</f>
        <v>0</v>
      </c>
      <c r="AZ83" s="3" t="n">
        <f aca="false">SUMIFS('Por foco'!$BB$2:$BB$579,'Por foco'!$A$2:$A$579,$A83,'Por foco'!$B$2:$B$579,$B83)</f>
        <v>0</v>
      </c>
      <c r="BA83" s="3" t="n">
        <f aca="false">SUMIFS('Por foco'!$BC$2:$BC$579,'Por foco'!$A$2:$A$579,$A83,'Por foco'!$B$2:$B$579,$B83)</f>
        <v>0</v>
      </c>
      <c r="BB83" s="3" t="n">
        <f aca="false">SUMIFS('Por foco'!$BD$2:$BD$579,'Por foco'!$A$2:$A$579,$A83,'Por foco'!$B$2:$B$579,$B83)</f>
        <v>0</v>
      </c>
      <c r="BC83" s="3" t="n">
        <f aca="false">SUMIFS('Por foco'!$BE$2:$BE$579,'Por foco'!$A$2:$A$579,$A83,'Por foco'!$B$2:$B$579,$B83)</f>
        <v>0</v>
      </c>
      <c r="BD83" s="3" t="n">
        <f aca="false">SUMIFS('Por foco'!$BF$2:$BF$579,'Por foco'!$A$2:$A$579,$A83,'Por foco'!$B$2:$B$579,$B83)</f>
        <v>0</v>
      </c>
      <c r="BE83" s="3" t="n">
        <f aca="false">SUMIFS('Por foco'!$BG$2:$BG$579,'Por foco'!$A$2:$A$579,$A83,'Por foco'!$B$2:$B$579,$B83)</f>
        <v>0</v>
      </c>
    </row>
    <row r="84" customFormat="false" ht="15" hidden="false" customHeight="false" outlineLevel="0" collapsed="false">
      <c r="A84" s="3" t="s">
        <v>72</v>
      </c>
      <c r="B84" s="3" t="s">
        <v>151</v>
      </c>
      <c r="C84" s="3" t="n">
        <f aca="false">COUNTIFS('Por foco'!$A$2:$A$579,$A84,'Por foco'!$B$2:$B$579,$B84)</f>
        <v>7</v>
      </c>
      <c r="D84" s="6" t="n">
        <f aca="false">SUMIFS('Por foco'!$F$2:$F$579,'Por foco'!$A$2:$A$579,$A84,'Por foco'!$B$2:$B$579,$B84)</f>
        <v>8103.2</v>
      </c>
      <c r="E84" s="3" t="n">
        <f aca="false">IF(C84=0,0,SUMIFS('Por foco'!$E$2:$E$579,'Por foco'!$A$2:$A$579,$A84,'Por foco'!$B$2:$B$579,$B84)/C84)</f>
        <v>1</v>
      </c>
      <c r="F84" s="3" t="n">
        <f aca="false">SUMIFS('Por foco'!$H$2:$H$579,'Por foco'!$A$2:$A$579,$A84,'Por foco'!$B$2:$B$579,$B84)</f>
        <v>2548</v>
      </c>
      <c r="G84" s="3" t="n">
        <f aca="false">SUMIFS('Por foco'!$I$2:$I$579,'Por foco'!$A$2:$A$579,$A84,'Por foco'!$B$2:$B$579,$B84)</f>
        <v>400</v>
      </c>
      <c r="H84" s="3" t="n">
        <f aca="false">SUMIFS('Por foco'!$J$2:$J$579,'Por foco'!$A$2:$A$579,$A84,'Por foco'!$B$2:$B$579,$B84)</f>
        <v>10</v>
      </c>
      <c r="I84" s="3" t="n">
        <f aca="false">SUMIFS('Por foco'!$K$2:$K$579,'Por foco'!$A$2:$A$579,$A84,'Por foco'!$B$2:$B$579,$B84)</f>
        <v>10</v>
      </c>
      <c r="J84" s="3" t="n">
        <f aca="false">SUMIFS('Por foco'!$L$2:$L$579,'Por foco'!$A$2:$A$579,$A84,'Por foco'!$B$2:$B$579,$B84)</f>
        <v>1950000</v>
      </c>
      <c r="K84" s="3" t="n">
        <f aca="false">SUMIFS('Por foco'!$M$2:$M$579,'Por foco'!$A$2:$A$579,$A84,'Por foco'!$B$2:$B$579,$B84)</f>
        <v>0</v>
      </c>
      <c r="L84" s="3" t="n">
        <f aca="false">SUMIFS('Por foco'!$N$2:$N$579,'Por foco'!$A$2:$A$579,$A84,'Por foco'!$B$2:$B$579,$B84)</f>
        <v>0</v>
      </c>
      <c r="M84" s="3" t="n">
        <f aca="false">SUMIFS('Por foco'!$O$2:$O$579,'Por foco'!$A$2:$A$579,$A84,'Por foco'!$B$2:$B$579,$B84)</f>
        <v>0</v>
      </c>
      <c r="N84" s="3" t="n">
        <f aca="false">SUMIFS('Por foco'!$P$2:$P$579,'Por foco'!$A$2:$A$579,$A84,'Por foco'!$B$2:$B$579,$B84)</f>
        <v>0</v>
      </c>
      <c r="O84" s="3" t="n">
        <f aca="false">SUMIFS('Por foco'!$Q$2:$Q$579,'Por foco'!$A$2:$A$579,$A84,'Por foco'!$B$2:$B$579,$B84)</f>
        <v>0</v>
      </c>
      <c r="P84" s="3" t="n">
        <f aca="false">SUMIFS('Por foco'!$R$2:$R$579,'Por foco'!$A$2:$A$579,$A84,'Por foco'!$B$2:$B$579,$B84)</f>
        <v>15</v>
      </c>
      <c r="Q84" s="3" t="n">
        <f aca="false">SUMIFS('Por foco'!$S$2:$S$579,'Por foco'!$A$2:$A$579,$A84,'Por foco'!$B$2:$B$579,$B84)</f>
        <v>0</v>
      </c>
      <c r="R84" s="3" t="n">
        <f aca="false">SUMIFS('Por foco'!$T$2:$T$579,'Por foco'!$A$2:$A$579,$A84,'Por foco'!$B$2:$B$579,$B84)</f>
        <v>0</v>
      </c>
      <c r="S84" s="3" t="n">
        <f aca="false">SUMIFS('Por foco'!$U$2:$U$579,'Por foco'!$A$2:$A$579,$A84,'Por foco'!$B$2:$B$579,$B84)</f>
        <v>1</v>
      </c>
      <c r="T84" s="3" t="n">
        <f aca="false">SUMIFS('Por foco'!$V$2:$V$579,'Por foco'!$A$2:$A$579,$A84,'Por foco'!$B$2:$B$579,$B84)</f>
        <v>0</v>
      </c>
      <c r="U84" s="3" t="n">
        <f aca="false">SUMIFS('Por foco'!$W$2:$W$579,'Por foco'!$A$2:$A$579,$A84,'Por foco'!$B$2:$B$579,$B84)</f>
        <v>38910</v>
      </c>
      <c r="V84" s="3" t="n">
        <f aca="false">SUMIFS('Por foco'!$X$2:$X$579,'Por foco'!$A$2:$A$579,$A84,'Por foco'!$B$2:$B$579,$B84)</f>
        <v>10</v>
      </c>
      <c r="W84" s="3" t="n">
        <f aca="false">SUMIFS('Por foco'!$Y$2:$Y$579,'Por foco'!$A$2:$A$579,$A84,'Por foco'!$B$2:$B$579,$B84)</f>
        <v>0</v>
      </c>
      <c r="X84" s="3" t="n">
        <f aca="false">SUMIFS('Por foco'!$Z$2:$Z$579,'Por foco'!$A$2:$A$579,$A84,'Por foco'!$B$2:$B$579,$B84)</f>
        <v>9</v>
      </c>
      <c r="Y84" s="3" t="n">
        <f aca="false">SUMIFS('Por foco'!$AA$2:$AA$579,'Por foco'!$A$2:$A$579,$A84,'Por foco'!$B$2:$B$579,$B84)</f>
        <v>0</v>
      </c>
      <c r="Z84" s="3" t="n">
        <f aca="false">SUMIFS('Por foco'!$AB$2:$AB$579,'Por foco'!$A$2:$A$579,$A84,'Por foco'!$B$2:$B$579,$B84)</f>
        <v>0</v>
      </c>
      <c r="AA84" s="3" t="n">
        <f aca="false">SUMIFS('Por foco'!$AC$2:$AC$579,'Por foco'!$A$2:$A$579,$A84,'Por foco'!$B$2:$B$579,$B84)</f>
        <v>0</v>
      </c>
      <c r="AB84" s="3" t="n">
        <f aca="false">SUMIFS('Por foco'!$AD$2:$AD$579,'Por foco'!$A$2:$A$579,$A84,'Por foco'!$B$2:$B$579,$B84)</f>
        <v>0</v>
      </c>
      <c r="AC84" s="3" t="n">
        <f aca="false">SUMIFS('Por foco'!$AE$2:$AE$579,'Por foco'!$A$2:$A$579,$A84,'Por foco'!$B$2:$B$579,$B84)</f>
        <v>0</v>
      </c>
      <c r="AD84" s="3" t="n">
        <f aca="false">SUMIFS('Por foco'!$AF$2:$AF$579,'Por foco'!$A$2:$A$579,$A84,'Por foco'!$B$2:$B$579,$B84)</f>
        <v>0</v>
      </c>
      <c r="AE84" s="3" t="n">
        <f aca="false">SUMIFS('Por foco'!$AG$2:$AG$579,'Por foco'!$A$2:$A$579,$A84,'Por foco'!$B$2:$B$579,$B84)</f>
        <v>0</v>
      </c>
      <c r="AF84" s="3" t="n">
        <f aca="false">SUMIFS('Por foco'!$AH$2:$AH$579,'Por foco'!$A$2:$A$579,$A84,'Por foco'!$B$2:$B$579,$B84)</f>
        <v>0</v>
      </c>
      <c r="AG84" s="3" t="n">
        <f aca="false">SUMIFS('Por foco'!$AI$2:$AI$579,'Por foco'!$A$2:$A$579,$A84,'Por foco'!$B$2:$B$579,$B84)</f>
        <v>25</v>
      </c>
      <c r="AH84" s="3" t="n">
        <f aca="false">SUMIFS('Por foco'!$AJ$2:$AJ$579,'Por foco'!$A$2:$A$579,$A84,'Por foco'!$B$2:$B$579,$B84)</f>
        <v>0</v>
      </c>
      <c r="AI84" s="3" t="n">
        <f aca="false">SUMIFS('Por foco'!$AK$2:$AK$579,'Por foco'!$A$2:$A$579,$A84,'Por foco'!$B$2:$B$579,$B84)</f>
        <v>0</v>
      </c>
      <c r="AJ84" s="3" t="n">
        <f aca="false">SUMIFS('Por foco'!$AL$2:$AL$579,'Por foco'!$A$2:$A$579,$A84,'Por foco'!$B$2:$B$579,$B84)</f>
        <v>0</v>
      </c>
      <c r="AK84" s="3" t="n">
        <f aca="false">SUMIFS('Por foco'!$AM$2:$AM$579,'Por foco'!$A$2:$A$579,$A84,'Por foco'!$B$2:$B$579,$B84)</f>
        <v>0</v>
      </c>
      <c r="AL84" s="3" t="n">
        <f aca="false">SUMIFS('Por foco'!$AN$2:$AN$579,'Por foco'!$A$2:$A$579,$A84,'Por foco'!$B$2:$B$579,$B84)</f>
        <v>25</v>
      </c>
      <c r="AM84" s="3" t="n">
        <f aca="false">SUMIFS('Por foco'!$AO$2:$AO$579,'Por foco'!$A$2:$A$579,$A84,'Por foco'!$B$2:$B$579,$B84)</f>
        <v>0</v>
      </c>
      <c r="AN84" s="3" t="n">
        <f aca="false">SUMIFS('Por foco'!$AP$2:$AP$579,'Por foco'!$A$2:$A$579,$A84,'Por foco'!$B$2:$B$579,$B84)</f>
        <v>0</v>
      </c>
      <c r="AO84" s="3" t="n">
        <f aca="false">SUMIFS('Por foco'!$AQ$2:$AQ$579,'Por foco'!$A$2:$A$579,$A84,'Por foco'!$B$2:$B$579,$B84)</f>
        <v>0</v>
      </c>
      <c r="AP84" s="3" t="n">
        <f aca="false">SUMIFS('Por foco'!$AR$2:$AR$579,'Por foco'!$A$2:$A$579,$A84,'Por foco'!$B$2:$B$579,$B84)</f>
        <v>0</v>
      </c>
      <c r="AQ84" s="3" t="n">
        <f aca="false">SUMIFS('Por foco'!$AS$2:$AS$579,'Por foco'!$A$2:$A$579,$A84,'Por foco'!$B$2:$B$579,$B84)</f>
        <v>0</v>
      </c>
      <c r="AR84" s="3" t="n">
        <f aca="false">SUMIFS('Por foco'!$AT$2:$AT$579,'Por foco'!$A$2:$A$579,$A84,'Por foco'!$B$2:$B$579,$B84)</f>
        <v>0</v>
      </c>
      <c r="AS84" s="3" t="n">
        <f aca="false">SUMIFS('Por foco'!$AU$2:$AU$579,'Por foco'!$A$2:$A$579,$A84,'Por foco'!$B$2:$B$579,$B84)</f>
        <v>0</v>
      </c>
      <c r="AT84" s="3" t="n">
        <f aca="false">SUMIFS('Por foco'!$AV$2:$AV$579,'Por foco'!$A$2:$A$579,$A84,'Por foco'!$B$2:$B$579,$B84)</f>
        <v>0</v>
      </c>
      <c r="AU84" s="3" t="n">
        <f aca="false">SUMIFS('Por foco'!$AW$2:$AW$579,'Por foco'!$A$2:$A$579,$A84,'Por foco'!$B$2:$B$579,$B84)</f>
        <v>0</v>
      </c>
      <c r="AV84" s="3" t="n">
        <f aca="false">SUMIFS('Por foco'!$AX$2:$AX$579,'Por foco'!$A$2:$A$579,$A84,'Por foco'!$B$2:$B$579,$B84)</f>
        <v>0</v>
      </c>
      <c r="AW84" s="3" t="n">
        <f aca="false">SUMIFS('Por foco'!$AY$2:$AY$579,'Por foco'!$A$2:$A$579,$A84,'Por foco'!$B$2:$B$579,$B84)</f>
        <v>0</v>
      </c>
      <c r="AX84" s="3" t="n">
        <f aca="false">SUMIFS('Por foco'!$AZ$2:$AZ$579,'Por foco'!$A$2:$A$579,$A84,'Por foco'!$B$2:$B$579,$B84)</f>
        <v>0</v>
      </c>
      <c r="AY84" s="3" t="n">
        <f aca="false">SUMIFS('Por foco'!$BA$2:$BA$579,'Por foco'!$A$2:$A$579,$A84,'Por foco'!$B$2:$B$579,$B84)</f>
        <v>0</v>
      </c>
      <c r="AZ84" s="3" t="n">
        <f aca="false">SUMIFS('Por foco'!$BB$2:$BB$579,'Por foco'!$A$2:$A$579,$A84,'Por foco'!$B$2:$B$579,$B84)</f>
        <v>0</v>
      </c>
      <c r="BA84" s="3" t="n">
        <f aca="false">SUMIFS('Por foco'!$BC$2:$BC$579,'Por foco'!$A$2:$A$579,$A84,'Por foco'!$B$2:$B$579,$B84)</f>
        <v>0</v>
      </c>
      <c r="BB84" s="3" t="n">
        <f aca="false">SUMIFS('Por foco'!$BD$2:$BD$579,'Por foco'!$A$2:$A$579,$A84,'Por foco'!$B$2:$B$579,$B84)</f>
        <v>0</v>
      </c>
      <c r="BC84" s="3" t="n">
        <f aca="false">SUMIFS('Por foco'!$BE$2:$BE$579,'Por foco'!$A$2:$A$579,$A84,'Por foco'!$B$2:$B$579,$B84)</f>
        <v>0</v>
      </c>
      <c r="BD84" s="3" t="n">
        <f aca="false">SUMIFS('Por foco'!$BF$2:$BF$579,'Por foco'!$A$2:$A$579,$A84,'Por foco'!$B$2:$B$579,$B84)</f>
        <v>0</v>
      </c>
      <c r="BE84" s="3" t="n">
        <f aca="false">SUMIFS('Por foco'!$BG$2:$BG$579,'Por foco'!$A$2:$A$579,$A84,'Por foco'!$B$2:$B$579,$B84)</f>
        <v>0</v>
      </c>
    </row>
    <row r="85" customFormat="false" ht="15" hidden="false" customHeight="false" outlineLevel="0" collapsed="false">
      <c r="A85" s="3" t="s">
        <v>73</v>
      </c>
      <c r="B85" s="3" t="s">
        <v>152</v>
      </c>
      <c r="C85" s="3" t="n">
        <f aca="false">COUNTIFS('Por foco'!$A$2:$A$579,$A85,'Por foco'!$B$2:$B$579,$B85)</f>
        <v>5</v>
      </c>
      <c r="D85" s="6" t="n">
        <f aca="false">SUMIFS('Por foco'!$F$2:$F$579,'Por foco'!$A$2:$A$579,$A85,'Por foco'!$B$2:$B$579,$B85)</f>
        <v>2650</v>
      </c>
      <c r="E85" s="3" t="n">
        <f aca="false">IF(C85=0,0,SUMIFS('Por foco'!$E$2:$E$579,'Por foco'!$A$2:$A$579,$A85,'Por foco'!$B$2:$B$579,$B85)/C85)</f>
        <v>1</v>
      </c>
      <c r="F85" s="3" t="n">
        <f aca="false">SUMIFS('Por foco'!$H$2:$H$579,'Por foco'!$A$2:$A$579,$A85,'Por foco'!$B$2:$B$579,$B85)</f>
        <v>175</v>
      </c>
      <c r="G85" s="3" t="n">
        <f aca="false">SUMIFS('Por foco'!$I$2:$I$579,'Por foco'!$A$2:$A$579,$A85,'Por foco'!$B$2:$B$579,$B85)</f>
        <v>0</v>
      </c>
      <c r="H85" s="3" t="n">
        <f aca="false">SUMIFS('Por foco'!$J$2:$J$579,'Por foco'!$A$2:$A$579,$A85,'Por foco'!$B$2:$B$579,$B85)</f>
        <v>0</v>
      </c>
      <c r="I85" s="3" t="n">
        <f aca="false">SUMIFS('Por foco'!$K$2:$K$579,'Por foco'!$A$2:$A$579,$A85,'Por foco'!$B$2:$B$579,$B85)</f>
        <v>0</v>
      </c>
      <c r="J85" s="3" t="n">
        <f aca="false">SUMIFS('Por foco'!$L$2:$L$579,'Por foco'!$A$2:$A$579,$A85,'Por foco'!$B$2:$B$579,$B85)</f>
        <v>50000</v>
      </c>
      <c r="K85" s="3" t="n">
        <f aca="false">SUMIFS('Por foco'!$M$2:$M$579,'Por foco'!$A$2:$A$579,$A85,'Por foco'!$B$2:$B$579,$B85)</f>
        <v>0</v>
      </c>
      <c r="L85" s="3" t="n">
        <f aca="false">SUMIFS('Por foco'!$N$2:$N$579,'Por foco'!$A$2:$A$579,$A85,'Por foco'!$B$2:$B$579,$B85)</f>
        <v>0</v>
      </c>
      <c r="M85" s="3" t="n">
        <f aca="false">SUMIFS('Por foco'!$O$2:$O$579,'Por foco'!$A$2:$A$579,$A85,'Por foco'!$B$2:$B$579,$B85)</f>
        <v>0</v>
      </c>
      <c r="N85" s="3" t="n">
        <f aca="false">SUMIFS('Por foco'!$P$2:$P$579,'Por foco'!$A$2:$A$579,$A85,'Por foco'!$B$2:$B$579,$B85)</f>
        <v>0</v>
      </c>
      <c r="O85" s="3" t="n">
        <f aca="false">SUMIFS('Por foco'!$Q$2:$Q$579,'Por foco'!$A$2:$A$579,$A85,'Por foco'!$B$2:$B$579,$B85)</f>
        <v>0</v>
      </c>
      <c r="P85" s="3" t="n">
        <f aca="false">SUMIFS('Por foco'!$R$2:$R$579,'Por foco'!$A$2:$A$579,$A85,'Por foco'!$B$2:$B$579,$B85)</f>
        <v>0</v>
      </c>
      <c r="Q85" s="3" t="n">
        <f aca="false">SUMIFS('Por foco'!$S$2:$S$579,'Por foco'!$A$2:$A$579,$A85,'Por foco'!$B$2:$B$579,$B85)</f>
        <v>0</v>
      </c>
      <c r="R85" s="3" t="n">
        <f aca="false">SUMIFS('Por foco'!$T$2:$T$579,'Por foco'!$A$2:$A$579,$A85,'Por foco'!$B$2:$B$579,$B85)</f>
        <v>0</v>
      </c>
      <c r="S85" s="3" t="n">
        <f aca="false">SUMIFS('Por foco'!$U$2:$U$579,'Por foco'!$A$2:$A$579,$A85,'Por foco'!$B$2:$B$579,$B85)</f>
        <v>0</v>
      </c>
      <c r="T85" s="3" t="n">
        <f aca="false">SUMIFS('Por foco'!$V$2:$V$579,'Por foco'!$A$2:$A$579,$A85,'Por foco'!$B$2:$B$579,$B85)</f>
        <v>0</v>
      </c>
      <c r="U85" s="3" t="n">
        <f aca="false">SUMIFS('Por foco'!$W$2:$W$579,'Por foco'!$A$2:$A$579,$A85,'Por foco'!$B$2:$B$579,$B85)</f>
        <v>0</v>
      </c>
      <c r="V85" s="3" t="n">
        <f aca="false">SUMIFS('Por foco'!$X$2:$X$579,'Por foco'!$A$2:$A$579,$A85,'Por foco'!$B$2:$B$579,$B85)</f>
        <v>36</v>
      </c>
      <c r="W85" s="3" t="n">
        <f aca="false">SUMIFS('Por foco'!$Y$2:$Y$579,'Por foco'!$A$2:$A$579,$A85,'Por foco'!$B$2:$B$579,$B85)</f>
        <v>0</v>
      </c>
      <c r="X85" s="3" t="n">
        <f aca="false">SUMIFS('Por foco'!$Z$2:$Z$579,'Por foco'!$A$2:$A$579,$A85,'Por foco'!$B$2:$B$579,$B85)</f>
        <v>0</v>
      </c>
      <c r="Y85" s="3" t="n">
        <f aca="false">SUMIFS('Por foco'!$AA$2:$AA$579,'Por foco'!$A$2:$A$579,$A85,'Por foco'!$B$2:$B$579,$B85)</f>
        <v>0</v>
      </c>
      <c r="Z85" s="3" t="n">
        <f aca="false">SUMIFS('Por foco'!$AB$2:$AB$579,'Por foco'!$A$2:$A$579,$A85,'Por foco'!$B$2:$B$579,$B85)</f>
        <v>5</v>
      </c>
      <c r="AA85" s="3" t="n">
        <f aca="false">SUMIFS('Por foco'!$AC$2:$AC$579,'Por foco'!$A$2:$A$579,$A85,'Por foco'!$B$2:$B$579,$B85)</f>
        <v>0</v>
      </c>
      <c r="AB85" s="3" t="n">
        <f aca="false">SUMIFS('Por foco'!$AD$2:$AD$579,'Por foco'!$A$2:$A$579,$A85,'Por foco'!$B$2:$B$579,$B85)</f>
        <v>0</v>
      </c>
      <c r="AC85" s="3" t="n">
        <f aca="false">SUMIFS('Por foco'!$AE$2:$AE$579,'Por foco'!$A$2:$A$579,$A85,'Por foco'!$B$2:$B$579,$B85)</f>
        <v>0</v>
      </c>
      <c r="AD85" s="3" t="n">
        <f aca="false">SUMIFS('Por foco'!$AF$2:$AF$579,'Por foco'!$A$2:$A$579,$A85,'Por foco'!$B$2:$B$579,$B85)</f>
        <v>0</v>
      </c>
      <c r="AE85" s="3" t="n">
        <f aca="false">SUMIFS('Por foco'!$AG$2:$AG$579,'Por foco'!$A$2:$A$579,$A85,'Por foco'!$B$2:$B$579,$B85)</f>
        <v>5</v>
      </c>
      <c r="AF85" s="3" t="n">
        <f aca="false">SUMIFS('Por foco'!$AH$2:$AH$579,'Por foco'!$A$2:$A$579,$A85,'Por foco'!$B$2:$B$579,$B85)</f>
        <v>0</v>
      </c>
      <c r="AG85" s="3" t="n">
        <f aca="false">SUMIFS('Por foco'!$AI$2:$AI$579,'Por foco'!$A$2:$A$579,$A85,'Por foco'!$B$2:$B$579,$B85)</f>
        <v>0</v>
      </c>
      <c r="AH85" s="3" t="n">
        <f aca="false">SUMIFS('Por foco'!$AJ$2:$AJ$579,'Por foco'!$A$2:$A$579,$A85,'Por foco'!$B$2:$B$579,$B85)</f>
        <v>0</v>
      </c>
      <c r="AI85" s="3" t="n">
        <f aca="false">SUMIFS('Por foco'!$AK$2:$AK$579,'Por foco'!$A$2:$A$579,$A85,'Por foco'!$B$2:$B$579,$B85)</f>
        <v>0</v>
      </c>
      <c r="AJ85" s="3" t="n">
        <f aca="false">SUMIFS('Por foco'!$AL$2:$AL$579,'Por foco'!$A$2:$A$579,$A85,'Por foco'!$B$2:$B$579,$B85)</f>
        <v>0</v>
      </c>
      <c r="AK85" s="3" t="n">
        <f aca="false">SUMIFS('Por foco'!$AM$2:$AM$579,'Por foco'!$A$2:$A$579,$A85,'Por foco'!$B$2:$B$579,$B85)</f>
        <v>0</v>
      </c>
      <c r="AL85" s="3" t="n">
        <f aca="false">SUMIFS('Por foco'!$AN$2:$AN$579,'Por foco'!$A$2:$A$579,$A85,'Por foco'!$B$2:$B$579,$B85)</f>
        <v>0</v>
      </c>
      <c r="AM85" s="3" t="n">
        <f aca="false">SUMIFS('Por foco'!$AO$2:$AO$579,'Por foco'!$A$2:$A$579,$A85,'Por foco'!$B$2:$B$579,$B85)</f>
        <v>0</v>
      </c>
      <c r="AN85" s="3" t="n">
        <f aca="false">SUMIFS('Por foco'!$AP$2:$AP$579,'Por foco'!$A$2:$A$579,$A85,'Por foco'!$B$2:$B$579,$B85)</f>
        <v>5</v>
      </c>
      <c r="AO85" s="3" t="n">
        <f aca="false">SUMIFS('Por foco'!$AQ$2:$AQ$579,'Por foco'!$A$2:$A$579,$A85,'Por foco'!$B$2:$B$579,$B85)</f>
        <v>0</v>
      </c>
      <c r="AP85" s="3" t="n">
        <f aca="false">SUMIFS('Por foco'!$AR$2:$AR$579,'Por foco'!$A$2:$A$579,$A85,'Por foco'!$B$2:$B$579,$B85)</f>
        <v>55</v>
      </c>
      <c r="AQ85" s="3" t="n">
        <f aca="false">SUMIFS('Por foco'!$AS$2:$AS$579,'Por foco'!$A$2:$A$579,$A85,'Por foco'!$B$2:$B$579,$B85)</f>
        <v>10</v>
      </c>
      <c r="AR85" s="3" t="n">
        <f aca="false">SUMIFS('Por foco'!$AT$2:$AT$579,'Por foco'!$A$2:$A$579,$A85,'Por foco'!$B$2:$B$579,$B85)</f>
        <v>0</v>
      </c>
      <c r="AS85" s="3" t="n">
        <f aca="false">SUMIFS('Por foco'!$AU$2:$AU$579,'Por foco'!$A$2:$A$579,$A85,'Por foco'!$B$2:$B$579,$B85)</f>
        <v>0</v>
      </c>
      <c r="AT85" s="3" t="n">
        <f aca="false">SUMIFS('Por foco'!$AV$2:$AV$579,'Por foco'!$A$2:$A$579,$A85,'Por foco'!$B$2:$B$579,$B85)</f>
        <v>0</v>
      </c>
      <c r="AU85" s="3" t="n">
        <f aca="false">SUMIFS('Por foco'!$AW$2:$AW$579,'Por foco'!$A$2:$A$579,$A85,'Por foco'!$B$2:$B$579,$B85)</f>
        <v>0</v>
      </c>
      <c r="AV85" s="3" t="n">
        <f aca="false">SUMIFS('Por foco'!$AX$2:$AX$579,'Por foco'!$A$2:$A$579,$A85,'Por foco'!$B$2:$B$579,$B85)</f>
        <v>0</v>
      </c>
      <c r="AW85" s="3" t="n">
        <f aca="false">SUMIFS('Por foco'!$AY$2:$AY$579,'Por foco'!$A$2:$A$579,$A85,'Por foco'!$B$2:$B$579,$B85)</f>
        <v>0</v>
      </c>
      <c r="AX85" s="3" t="n">
        <f aca="false">SUMIFS('Por foco'!$AZ$2:$AZ$579,'Por foco'!$A$2:$A$579,$A85,'Por foco'!$B$2:$B$579,$B85)</f>
        <v>0</v>
      </c>
      <c r="AY85" s="3" t="n">
        <f aca="false">SUMIFS('Por foco'!$BA$2:$BA$579,'Por foco'!$A$2:$A$579,$A85,'Por foco'!$B$2:$B$579,$B85)</f>
        <v>0</v>
      </c>
      <c r="AZ85" s="3" t="n">
        <f aca="false">SUMIFS('Por foco'!$BB$2:$BB$579,'Por foco'!$A$2:$A$579,$A85,'Por foco'!$B$2:$B$579,$B85)</f>
        <v>0</v>
      </c>
      <c r="BA85" s="3" t="n">
        <f aca="false">SUMIFS('Por foco'!$BC$2:$BC$579,'Por foco'!$A$2:$A$579,$A85,'Por foco'!$B$2:$B$579,$B85)</f>
        <v>0</v>
      </c>
      <c r="BB85" s="3" t="n">
        <f aca="false">SUMIFS('Por foco'!$BD$2:$BD$579,'Por foco'!$A$2:$A$579,$A85,'Por foco'!$B$2:$B$579,$B85)</f>
        <v>0</v>
      </c>
      <c r="BC85" s="3" t="n">
        <f aca="false">SUMIFS('Por foco'!$BE$2:$BE$579,'Por foco'!$A$2:$A$579,$A85,'Por foco'!$B$2:$B$579,$B85)</f>
        <v>0</v>
      </c>
      <c r="BD85" s="3" t="n">
        <f aca="false">SUMIFS('Por foco'!$BF$2:$BF$579,'Por foco'!$A$2:$A$579,$A85,'Por foco'!$B$2:$B$579,$B85)</f>
        <v>0</v>
      </c>
      <c r="BE85" s="3" t="n">
        <f aca="false">SUMIFS('Por foco'!$BG$2:$BG$579,'Por foco'!$A$2:$A$579,$A85,'Por foco'!$B$2:$B$579,$B85)</f>
        <v>0</v>
      </c>
    </row>
    <row r="86" customFormat="false" ht="15" hidden="false" customHeight="false" outlineLevel="0" collapsed="false">
      <c r="A86" s="3" t="s">
        <v>73</v>
      </c>
      <c r="B86" s="3" t="s">
        <v>153</v>
      </c>
      <c r="C86" s="3" t="n">
        <f aca="false">COUNTIFS('Por foco'!$A$2:$A$579,$A86,'Por foco'!$B$2:$B$579,$B86)</f>
        <v>5</v>
      </c>
      <c r="D86" s="6" t="n">
        <f aca="false">SUMIFS('Por foco'!$F$2:$F$579,'Por foco'!$A$2:$A$579,$A86,'Por foco'!$B$2:$B$579,$B86)</f>
        <v>1675</v>
      </c>
      <c r="E86" s="3" t="n">
        <f aca="false">IF(C86=0,0,SUMIFS('Por foco'!$E$2:$E$579,'Por foco'!$A$2:$A$579,$A86,'Por foco'!$B$2:$B$579,$B86)/C86)</f>
        <v>1</v>
      </c>
      <c r="F86" s="3" t="n">
        <f aca="false">SUMIFS('Por foco'!$H$2:$H$579,'Por foco'!$A$2:$A$579,$A86,'Por foco'!$B$2:$B$579,$B86)</f>
        <v>175</v>
      </c>
      <c r="G86" s="3" t="n">
        <f aca="false">SUMIFS('Por foco'!$I$2:$I$579,'Por foco'!$A$2:$A$579,$A86,'Por foco'!$B$2:$B$579,$B86)</f>
        <v>0</v>
      </c>
      <c r="H86" s="3" t="n">
        <f aca="false">SUMIFS('Por foco'!$J$2:$J$579,'Por foco'!$A$2:$A$579,$A86,'Por foco'!$B$2:$B$579,$B86)</f>
        <v>0</v>
      </c>
      <c r="I86" s="3" t="n">
        <f aca="false">SUMIFS('Por foco'!$K$2:$K$579,'Por foco'!$A$2:$A$579,$A86,'Por foco'!$B$2:$B$579,$B86)</f>
        <v>0</v>
      </c>
      <c r="J86" s="3" t="n">
        <f aca="false">SUMIFS('Por foco'!$L$2:$L$579,'Por foco'!$A$2:$A$579,$A86,'Por foco'!$B$2:$B$579,$B86)</f>
        <v>250000</v>
      </c>
      <c r="K86" s="3" t="n">
        <f aca="false">SUMIFS('Por foco'!$M$2:$M$579,'Por foco'!$A$2:$A$579,$A86,'Por foco'!$B$2:$B$579,$B86)</f>
        <v>30</v>
      </c>
      <c r="L86" s="3" t="n">
        <f aca="false">SUMIFS('Por foco'!$N$2:$N$579,'Por foco'!$A$2:$A$579,$A86,'Por foco'!$B$2:$B$579,$B86)</f>
        <v>0</v>
      </c>
      <c r="M86" s="3" t="n">
        <f aca="false">SUMIFS('Por foco'!$O$2:$O$579,'Por foco'!$A$2:$A$579,$A86,'Por foco'!$B$2:$B$579,$B86)</f>
        <v>0</v>
      </c>
      <c r="N86" s="3" t="n">
        <f aca="false">SUMIFS('Por foco'!$P$2:$P$579,'Por foco'!$A$2:$A$579,$A86,'Por foco'!$B$2:$B$579,$B86)</f>
        <v>0</v>
      </c>
      <c r="O86" s="3" t="n">
        <f aca="false">SUMIFS('Por foco'!$Q$2:$Q$579,'Por foco'!$A$2:$A$579,$A86,'Por foco'!$B$2:$B$579,$B86)</f>
        <v>0</v>
      </c>
      <c r="P86" s="3" t="n">
        <f aca="false">SUMIFS('Por foco'!$R$2:$R$579,'Por foco'!$A$2:$A$579,$A86,'Por foco'!$B$2:$B$579,$B86)</f>
        <v>0</v>
      </c>
      <c r="Q86" s="3" t="n">
        <f aca="false">SUMIFS('Por foco'!$S$2:$S$579,'Por foco'!$A$2:$A$579,$A86,'Por foco'!$B$2:$B$579,$B86)</f>
        <v>0</v>
      </c>
      <c r="R86" s="3" t="n">
        <f aca="false">SUMIFS('Por foco'!$T$2:$T$579,'Por foco'!$A$2:$A$579,$A86,'Por foco'!$B$2:$B$579,$B86)</f>
        <v>0</v>
      </c>
      <c r="S86" s="3" t="n">
        <f aca="false">SUMIFS('Por foco'!$U$2:$U$579,'Por foco'!$A$2:$A$579,$A86,'Por foco'!$B$2:$B$579,$B86)</f>
        <v>0</v>
      </c>
      <c r="T86" s="3" t="n">
        <f aca="false">SUMIFS('Por foco'!$V$2:$V$579,'Por foco'!$A$2:$A$579,$A86,'Por foco'!$B$2:$B$579,$B86)</f>
        <v>0</v>
      </c>
      <c r="U86" s="3" t="n">
        <f aca="false">SUMIFS('Por foco'!$W$2:$W$579,'Por foco'!$A$2:$A$579,$A86,'Por foco'!$B$2:$B$579,$B86)</f>
        <v>20000</v>
      </c>
      <c r="V86" s="3" t="n">
        <f aca="false">SUMIFS('Por foco'!$X$2:$X$579,'Por foco'!$A$2:$A$579,$A86,'Por foco'!$B$2:$B$579,$B86)</f>
        <v>13</v>
      </c>
      <c r="W86" s="3" t="n">
        <f aca="false">SUMIFS('Por foco'!$Y$2:$Y$579,'Por foco'!$A$2:$A$579,$A86,'Por foco'!$B$2:$B$579,$B86)</f>
        <v>0</v>
      </c>
      <c r="X86" s="3" t="n">
        <f aca="false">SUMIFS('Por foco'!$Z$2:$Z$579,'Por foco'!$A$2:$A$579,$A86,'Por foco'!$B$2:$B$579,$B86)</f>
        <v>0</v>
      </c>
      <c r="Y86" s="3" t="n">
        <f aca="false">SUMIFS('Por foco'!$AA$2:$AA$579,'Por foco'!$A$2:$A$579,$A86,'Por foco'!$B$2:$B$579,$B86)</f>
        <v>0</v>
      </c>
      <c r="Z86" s="3" t="n">
        <f aca="false">SUMIFS('Por foco'!$AB$2:$AB$579,'Por foco'!$A$2:$A$579,$A86,'Por foco'!$B$2:$B$579,$B86)</f>
        <v>0</v>
      </c>
      <c r="AA86" s="3" t="n">
        <f aca="false">SUMIFS('Por foco'!$AC$2:$AC$579,'Por foco'!$A$2:$A$579,$A86,'Por foco'!$B$2:$B$579,$B86)</f>
        <v>0</v>
      </c>
      <c r="AB86" s="3" t="n">
        <f aca="false">SUMIFS('Por foco'!$AD$2:$AD$579,'Por foco'!$A$2:$A$579,$A86,'Por foco'!$B$2:$B$579,$B86)</f>
        <v>0</v>
      </c>
      <c r="AC86" s="3" t="n">
        <f aca="false">SUMIFS('Por foco'!$AE$2:$AE$579,'Por foco'!$A$2:$A$579,$A86,'Por foco'!$B$2:$B$579,$B86)</f>
        <v>0</v>
      </c>
      <c r="AD86" s="3" t="n">
        <f aca="false">SUMIFS('Por foco'!$AF$2:$AF$579,'Por foco'!$A$2:$A$579,$A86,'Por foco'!$B$2:$B$579,$B86)</f>
        <v>0</v>
      </c>
      <c r="AE86" s="3" t="n">
        <f aca="false">SUMIFS('Por foco'!$AG$2:$AG$579,'Por foco'!$A$2:$A$579,$A86,'Por foco'!$B$2:$B$579,$B86)</f>
        <v>0</v>
      </c>
      <c r="AF86" s="3" t="n">
        <f aca="false">SUMIFS('Por foco'!$AH$2:$AH$579,'Por foco'!$A$2:$A$579,$A86,'Por foco'!$B$2:$B$579,$B86)</f>
        <v>0</v>
      </c>
      <c r="AG86" s="3" t="n">
        <f aca="false">SUMIFS('Por foco'!$AI$2:$AI$579,'Por foco'!$A$2:$A$579,$A86,'Por foco'!$B$2:$B$579,$B86)</f>
        <v>0</v>
      </c>
      <c r="AH86" s="3" t="n">
        <f aca="false">SUMIFS('Por foco'!$AJ$2:$AJ$579,'Por foco'!$A$2:$A$579,$A86,'Por foco'!$B$2:$B$579,$B86)</f>
        <v>0</v>
      </c>
      <c r="AI86" s="3" t="n">
        <f aca="false">SUMIFS('Por foco'!$AK$2:$AK$579,'Por foco'!$A$2:$A$579,$A86,'Por foco'!$B$2:$B$579,$B86)</f>
        <v>0</v>
      </c>
      <c r="AJ86" s="3" t="n">
        <f aca="false">SUMIFS('Por foco'!$AL$2:$AL$579,'Por foco'!$A$2:$A$579,$A86,'Por foco'!$B$2:$B$579,$B86)</f>
        <v>0</v>
      </c>
      <c r="AK86" s="3" t="n">
        <f aca="false">SUMIFS('Por foco'!$AM$2:$AM$579,'Por foco'!$A$2:$A$579,$A86,'Por foco'!$B$2:$B$579,$B86)</f>
        <v>0</v>
      </c>
      <c r="AL86" s="3" t="n">
        <f aca="false">SUMIFS('Por foco'!$AN$2:$AN$579,'Por foco'!$A$2:$A$579,$A86,'Por foco'!$B$2:$B$579,$B86)</f>
        <v>0</v>
      </c>
      <c r="AM86" s="3" t="n">
        <f aca="false">SUMIFS('Por foco'!$AO$2:$AO$579,'Por foco'!$A$2:$A$579,$A86,'Por foco'!$B$2:$B$579,$B86)</f>
        <v>0</v>
      </c>
      <c r="AN86" s="3" t="n">
        <f aca="false">SUMIFS('Por foco'!$AP$2:$AP$579,'Por foco'!$A$2:$A$579,$A86,'Por foco'!$B$2:$B$579,$B86)</f>
        <v>0</v>
      </c>
      <c r="AO86" s="3" t="n">
        <f aca="false">SUMIFS('Por foco'!$AQ$2:$AQ$579,'Por foco'!$A$2:$A$579,$A86,'Por foco'!$B$2:$B$579,$B86)</f>
        <v>10</v>
      </c>
      <c r="AP86" s="3" t="n">
        <f aca="false">SUMIFS('Por foco'!$AR$2:$AR$579,'Por foco'!$A$2:$A$579,$A86,'Por foco'!$B$2:$B$579,$B86)</f>
        <v>0</v>
      </c>
      <c r="AQ86" s="3" t="n">
        <f aca="false">SUMIFS('Por foco'!$AS$2:$AS$579,'Por foco'!$A$2:$A$579,$A86,'Por foco'!$B$2:$B$579,$B86)</f>
        <v>0</v>
      </c>
      <c r="AR86" s="3" t="n">
        <f aca="false">SUMIFS('Por foco'!$AT$2:$AT$579,'Por foco'!$A$2:$A$579,$A86,'Por foco'!$B$2:$B$579,$B86)</f>
        <v>15</v>
      </c>
      <c r="AS86" s="3" t="n">
        <f aca="false">SUMIFS('Por foco'!$AU$2:$AU$579,'Por foco'!$A$2:$A$579,$A86,'Por foco'!$B$2:$B$579,$B86)</f>
        <v>0</v>
      </c>
      <c r="AT86" s="3" t="n">
        <f aca="false">SUMIFS('Por foco'!$AV$2:$AV$579,'Por foco'!$A$2:$A$579,$A86,'Por foco'!$B$2:$B$579,$B86)</f>
        <v>0</v>
      </c>
      <c r="AU86" s="3" t="n">
        <f aca="false">SUMIFS('Por foco'!$AW$2:$AW$579,'Por foco'!$A$2:$A$579,$A86,'Por foco'!$B$2:$B$579,$B86)</f>
        <v>0</v>
      </c>
      <c r="AV86" s="3" t="n">
        <f aca="false">SUMIFS('Por foco'!$AX$2:$AX$579,'Por foco'!$A$2:$A$579,$A86,'Por foco'!$B$2:$B$579,$B86)</f>
        <v>0</v>
      </c>
      <c r="AW86" s="3" t="n">
        <f aca="false">SUMIFS('Por foco'!$AY$2:$AY$579,'Por foco'!$A$2:$A$579,$A86,'Por foco'!$B$2:$B$579,$B86)</f>
        <v>0</v>
      </c>
      <c r="AX86" s="3" t="n">
        <f aca="false">SUMIFS('Por foco'!$AZ$2:$AZ$579,'Por foco'!$A$2:$A$579,$A86,'Por foco'!$B$2:$B$579,$B86)</f>
        <v>0</v>
      </c>
      <c r="AY86" s="3" t="n">
        <f aca="false">SUMIFS('Por foco'!$BA$2:$BA$579,'Por foco'!$A$2:$A$579,$A86,'Por foco'!$B$2:$B$579,$B86)</f>
        <v>0</v>
      </c>
      <c r="AZ86" s="3" t="n">
        <f aca="false">SUMIFS('Por foco'!$BB$2:$BB$579,'Por foco'!$A$2:$A$579,$A86,'Por foco'!$B$2:$B$579,$B86)</f>
        <v>0</v>
      </c>
      <c r="BA86" s="3" t="n">
        <f aca="false">SUMIFS('Por foco'!$BC$2:$BC$579,'Por foco'!$A$2:$A$579,$A86,'Por foco'!$B$2:$B$579,$B86)</f>
        <v>0</v>
      </c>
      <c r="BB86" s="3" t="n">
        <f aca="false">SUMIFS('Por foco'!$BD$2:$BD$579,'Por foco'!$A$2:$A$579,$A86,'Por foco'!$B$2:$B$579,$B86)</f>
        <v>0</v>
      </c>
      <c r="BC86" s="3" t="n">
        <f aca="false">SUMIFS('Por foco'!$BE$2:$BE$579,'Por foco'!$A$2:$A$579,$A86,'Por foco'!$B$2:$B$579,$B86)</f>
        <v>0</v>
      </c>
      <c r="BD86" s="3" t="n">
        <f aca="false">SUMIFS('Por foco'!$BF$2:$BF$579,'Por foco'!$A$2:$A$579,$A86,'Por foco'!$B$2:$B$579,$B86)</f>
        <v>0</v>
      </c>
      <c r="BE86" s="3" t="n">
        <f aca="false">SUMIFS('Por foco'!$BG$2:$BG$579,'Por foco'!$A$2:$A$579,$A86,'Por foco'!$B$2:$B$579,$B86)</f>
        <v>0</v>
      </c>
    </row>
    <row r="87" customFormat="false" ht="15" hidden="false" customHeight="false" outlineLevel="0" collapsed="false">
      <c r="A87" s="3" t="s">
        <v>73</v>
      </c>
      <c r="B87" s="3" t="s">
        <v>154</v>
      </c>
      <c r="C87" s="3" t="n">
        <f aca="false">COUNTIFS('Por foco'!$A$2:$A$579,$A87,'Por foco'!$B$2:$B$579,$B87)</f>
        <v>1</v>
      </c>
      <c r="D87" s="6" t="n">
        <f aca="false">SUMIFS('Por foco'!$F$2:$F$579,'Por foco'!$A$2:$A$579,$A87,'Por foco'!$B$2:$B$579,$B87)</f>
        <v>3200</v>
      </c>
      <c r="E87" s="3" t="n">
        <f aca="false">IF(C87=0,0,SUMIFS('Por foco'!$E$2:$E$579,'Por foco'!$A$2:$A$579,$A87,'Por foco'!$B$2:$B$579,$B87)/C87)</f>
        <v>1</v>
      </c>
      <c r="F87" s="3" t="n">
        <f aca="false">SUMIFS('Por foco'!$H$2:$H$579,'Por foco'!$A$2:$A$579,$A87,'Por foco'!$B$2:$B$579,$B87)</f>
        <v>70</v>
      </c>
      <c r="G87" s="3" t="n">
        <f aca="false">SUMIFS('Por foco'!$I$2:$I$579,'Por foco'!$A$2:$A$579,$A87,'Por foco'!$B$2:$B$579,$B87)</f>
        <v>0</v>
      </c>
      <c r="H87" s="3" t="n">
        <f aca="false">SUMIFS('Por foco'!$J$2:$J$579,'Por foco'!$A$2:$A$579,$A87,'Por foco'!$B$2:$B$579,$B87)</f>
        <v>0</v>
      </c>
      <c r="I87" s="3" t="n">
        <f aca="false">SUMIFS('Por foco'!$K$2:$K$579,'Por foco'!$A$2:$A$579,$A87,'Por foco'!$B$2:$B$579,$B87)</f>
        <v>0</v>
      </c>
      <c r="J87" s="3" t="n">
        <f aca="false">SUMIFS('Por foco'!$L$2:$L$579,'Por foco'!$A$2:$A$579,$A87,'Por foco'!$B$2:$B$579,$B87)</f>
        <v>500000</v>
      </c>
      <c r="K87" s="3" t="n">
        <f aca="false">SUMIFS('Por foco'!$M$2:$M$579,'Por foco'!$A$2:$A$579,$A87,'Por foco'!$B$2:$B$579,$B87)</f>
        <v>0</v>
      </c>
      <c r="L87" s="3" t="n">
        <f aca="false">SUMIFS('Por foco'!$N$2:$N$579,'Por foco'!$A$2:$A$579,$A87,'Por foco'!$B$2:$B$579,$B87)</f>
        <v>0</v>
      </c>
      <c r="M87" s="3" t="n">
        <f aca="false">SUMIFS('Por foco'!$O$2:$O$579,'Por foco'!$A$2:$A$579,$A87,'Por foco'!$B$2:$B$579,$B87)</f>
        <v>0</v>
      </c>
      <c r="N87" s="3" t="n">
        <f aca="false">SUMIFS('Por foco'!$P$2:$P$579,'Por foco'!$A$2:$A$579,$A87,'Por foco'!$B$2:$B$579,$B87)</f>
        <v>0</v>
      </c>
      <c r="O87" s="3" t="n">
        <f aca="false">SUMIFS('Por foco'!$Q$2:$Q$579,'Por foco'!$A$2:$A$579,$A87,'Por foco'!$B$2:$B$579,$B87)</f>
        <v>0</v>
      </c>
      <c r="P87" s="3" t="n">
        <f aca="false">SUMIFS('Por foco'!$R$2:$R$579,'Por foco'!$A$2:$A$579,$A87,'Por foco'!$B$2:$B$579,$B87)</f>
        <v>0</v>
      </c>
      <c r="Q87" s="3" t="n">
        <f aca="false">SUMIFS('Por foco'!$S$2:$S$579,'Por foco'!$A$2:$A$579,$A87,'Por foco'!$B$2:$B$579,$B87)</f>
        <v>0</v>
      </c>
      <c r="R87" s="3" t="n">
        <f aca="false">SUMIFS('Por foco'!$T$2:$T$579,'Por foco'!$A$2:$A$579,$A87,'Por foco'!$B$2:$B$579,$B87)</f>
        <v>0</v>
      </c>
      <c r="S87" s="3" t="n">
        <f aca="false">SUMIFS('Por foco'!$U$2:$U$579,'Por foco'!$A$2:$A$579,$A87,'Por foco'!$B$2:$B$579,$B87)</f>
        <v>0</v>
      </c>
      <c r="T87" s="3" t="n">
        <f aca="false">SUMIFS('Por foco'!$V$2:$V$579,'Por foco'!$A$2:$A$579,$A87,'Por foco'!$B$2:$B$579,$B87)</f>
        <v>0</v>
      </c>
      <c r="U87" s="3" t="n">
        <f aca="false">SUMIFS('Por foco'!$W$2:$W$579,'Por foco'!$A$2:$A$579,$A87,'Por foco'!$B$2:$B$579,$B87)</f>
        <v>110000</v>
      </c>
      <c r="V87" s="3" t="n">
        <f aca="false">SUMIFS('Por foco'!$X$2:$X$579,'Por foco'!$A$2:$A$579,$A87,'Por foco'!$B$2:$B$579,$B87)</f>
        <v>0</v>
      </c>
      <c r="W87" s="3" t="n">
        <f aca="false">SUMIFS('Por foco'!$Y$2:$Y$579,'Por foco'!$A$2:$A$579,$A87,'Por foco'!$B$2:$B$579,$B87)</f>
        <v>0</v>
      </c>
      <c r="X87" s="3" t="n">
        <f aca="false">SUMIFS('Por foco'!$Z$2:$Z$579,'Por foco'!$A$2:$A$579,$A87,'Por foco'!$B$2:$B$579,$B87)</f>
        <v>0</v>
      </c>
      <c r="Y87" s="3" t="n">
        <f aca="false">SUMIFS('Por foco'!$AA$2:$AA$579,'Por foco'!$A$2:$A$579,$A87,'Por foco'!$B$2:$B$579,$B87)</f>
        <v>0</v>
      </c>
      <c r="Z87" s="3" t="n">
        <f aca="false">SUMIFS('Por foco'!$AB$2:$AB$579,'Por foco'!$A$2:$A$579,$A87,'Por foco'!$B$2:$B$579,$B87)</f>
        <v>0</v>
      </c>
      <c r="AA87" s="3" t="n">
        <f aca="false">SUMIFS('Por foco'!$AC$2:$AC$579,'Por foco'!$A$2:$A$579,$A87,'Por foco'!$B$2:$B$579,$B87)</f>
        <v>0</v>
      </c>
      <c r="AB87" s="3" t="n">
        <f aca="false">SUMIFS('Por foco'!$AD$2:$AD$579,'Por foco'!$A$2:$A$579,$A87,'Por foco'!$B$2:$B$579,$B87)</f>
        <v>0</v>
      </c>
      <c r="AC87" s="3" t="n">
        <f aca="false">SUMIFS('Por foco'!$AE$2:$AE$579,'Por foco'!$A$2:$A$579,$A87,'Por foco'!$B$2:$B$579,$B87)</f>
        <v>0</v>
      </c>
      <c r="AD87" s="3" t="n">
        <f aca="false">SUMIFS('Por foco'!$AF$2:$AF$579,'Por foco'!$A$2:$A$579,$A87,'Por foco'!$B$2:$B$579,$B87)</f>
        <v>0</v>
      </c>
      <c r="AE87" s="3" t="n">
        <f aca="false">SUMIFS('Por foco'!$AG$2:$AG$579,'Por foco'!$A$2:$A$579,$A87,'Por foco'!$B$2:$B$579,$B87)</f>
        <v>0</v>
      </c>
      <c r="AF87" s="3" t="n">
        <f aca="false">SUMIFS('Por foco'!$AH$2:$AH$579,'Por foco'!$A$2:$A$579,$A87,'Por foco'!$B$2:$B$579,$B87)</f>
        <v>0</v>
      </c>
      <c r="AG87" s="3" t="n">
        <f aca="false">SUMIFS('Por foco'!$AI$2:$AI$579,'Por foco'!$A$2:$A$579,$A87,'Por foco'!$B$2:$B$579,$B87)</f>
        <v>0</v>
      </c>
      <c r="AH87" s="3" t="n">
        <f aca="false">SUMIFS('Por foco'!$AJ$2:$AJ$579,'Por foco'!$A$2:$A$579,$A87,'Por foco'!$B$2:$B$579,$B87)</f>
        <v>0</v>
      </c>
      <c r="AI87" s="3" t="n">
        <f aca="false">SUMIFS('Por foco'!$AK$2:$AK$579,'Por foco'!$A$2:$A$579,$A87,'Por foco'!$B$2:$B$579,$B87)</f>
        <v>0</v>
      </c>
      <c r="AJ87" s="3" t="n">
        <f aca="false">SUMIFS('Por foco'!$AL$2:$AL$579,'Por foco'!$A$2:$A$579,$A87,'Por foco'!$B$2:$B$579,$B87)</f>
        <v>0</v>
      </c>
      <c r="AK87" s="3" t="n">
        <f aca="false">SUMIFS('Por foco'!$AM$2:$AM$579,'Por foco'!$A$2:$A$579,$A87,'Por foco'!$B$2:$B$579,$B87)</f>
        <v>0</v>
      </c>
      <c r="AL87" s="3" t="n">
        <f aca="false">SUMIFS('Por foco'!$AN$2:$AN$579,'Por foco'!$A$2:$A$579,$A87,'Por foco'!$B$2:$B$579,$B87)</f>
        <v>0</v>
      </c>
      <c r="AM87" s="3" t="n">
        <f aca="false">SUMIFS('Por foco'!$AO$2:$AO$579,'Por foco'!$A$2:$A$579,$A87,'Por foco'!$B$2:$B$579,$B87)</f>
        <v>0</v>
      </c>
      <c r="AN87" s="3" t="n">
        <f aca="false">SUMIFS('Por foco'!$AP$2:$AP$579,'Por foco'!$A$2:$A$579,$A87,'Por foco'!$B$2:$B$579,$B87)</f>
        <v>0</v>
      </c>
      <c r="AO87" s="3" t="n">
        <f aca="false">SUMIFS('Por foco'!$AQ$2:$AQ$579,'Por foco'!$A$2:$A$579,$A87,'Por foco'!$B$2:$B$579,$B87)</f>
        <v>0</v>
      </c>
      <c r="AP87" s="3" t="n">
        <f aca="false">SUMIFS('Por foco'!$AR$2:$AR$579,'Por foco'!$A$2:$A$579,$A87,'Por foco'!$B$2:$B$579,$B87)</f>
        <v>0</v>
      </c>
      <c r="AQ87" s="3" t="n">
        <f aca="false">SUMIFS('Por foco'!$AS$2:$AS$579,'Por foco'!$A$2:$A$579,$A87,'Por foco'!$B$2:$B$579,$B87)</f>
        <v>0</v>
      </c>
      <c r="AR87" s="3" t="n">
        <f aca="false">SUMIFS('Por foco'!$AT$2:$AT$579,'Por foco'!$A$2:$A$579,$A87,'Por foco'!$B$2:$B$579,$B87)</f>
        <v>0</v>
      </c>
      <c r="AS87" s="3" t="n">
        <f aca="false">SUMIFS('Por foco'!$AU$2:$AU$579,'Por foco'!$A$2:$A$579,$A87,'Por foco'!$B$2:$B$579,$B87)</f>
        <v>0</v>
      </c>
      <c r="AT87" s="3" t="n">
        <f aca="false">SUMIFS('Por foco'!$AV$2:$AV$579,'Por foco'!$A$2:$A$579,$A87,'Por foco'!$B$2:$B$579,$B87)</f>
        <v>0</v>
      </c>
      <c r="AU87" s="3" t="n">
        <f aca="false">SUMIFS('Por foco'!$AW$2:$AW$579,'Por foco'!$A$2:$A$579,$A87,'Por foco'!$B$2:$B$579,$B87)</f>
        <v>0</v>
      </c>
      <c r="AV87" s="3" t="n">
        <f aca="false">SUMIFS('Por foco'!$AX$2:$AX$579,'Por foco'!$A$2:$A$579,$A87,'Por foco'!$B$2:$B$579,$B87)</f>
        <v>0</v>
      </c>
      <c r="AW87" s="3" t="n">
        <f aca="false">SUMIFS('Por foco'!$AY$2:$AY$579,'Por foco'!$A$2:$A$579,$A87,'Por foco'!$B$2:$B$579,$B87)</f>
        <v>0</v>
      </c>
      <c r="AX87" s="3" t="n">
        <f aca="false">SUMIFS('Por foco'!$AZ$2:$AZ$579,'Por foco'!$A$2:$A$579,$A87,'Por foco'!$B$2:$B$579,$B87)</f>
        <v>0</v>
      </c>
      <c r="AY87" s="3" t="n">
        <f aca="false">SUMIFS('Por foco'!$BA$2:$BA$579,'Por foco'!$A$2:$A$579,$A87,'Por foco'!$B$2:$B$579,$B87)</f>
        <v>0</v>
      </c>
      <c r="AZ87" s="3" t="n">
        <f aca="false">SUMIFS('Por foco'!$BB$2:$BB$579,'Por foco'!$A$2:$A$579,$A87,'Por foco'!$B$2:$B$579,$B87)</f>
        <v>0</v>
      </c>
      <c r="BA87" s="3" t="n">
        <f aca="false">SUMIFS('Por foco'!$BC$2:$BC$579,'Por foco'!$A$2:$A$579,$A87,'Por foco'!$B$2:$B$579,$B87)</f>
        <v>0</v>
      </c>
      <c r="BB87" s="3" t="n">
        <f aca="false">SUMIFS('Por foco'!$BD$2:$BD$579,'Por foco'!$A$2:$A$579,$A87,'Por foco'!$B$2:$B$579,$B87)</f>
        <v>0</v>
      </c>
      <c r="BC87" s="3" t="n">
        <f aca="false">SUMIFS('Por foco'!$BE$2:$BE$579,'Por foco'!$A$2:$A$579,$A87,'Por foco'!$B$2:$B$579,$B87)</f>
        <v>0</v>
      </c>
      <c r="BD87" s="3" t="n">
        <f aca="false">SUMIFS('Por foco'!$BF$2:$BF$579,'Por foco'!$A$2:$A$579,$A87,'Por foco'!$B$2:$B$579,$B87)</f>
        <v>0</v>
      </c>
      <c r="BE87" s="3" t="n">
        <f aca="false">SUMIFS('Por foco'!$BG$2:$BG$579,'Por foco'!$A$2:$A$579,$A87,'Por foco'!$B$2:$B$579,$B87)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5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4" min="3" style="0" width="34"/>
    <col collapsed="false" customWidth="true" hidden="false" outlineLevel="0" max="59" min="5" style="0" width="13"/>
    <col collapsed="false" customWidth="true" hidden="false" outlineLevel="0" max="65" min="60" style="0" width="50"/>
  </cols>
  <sheetData>
    <row r="1" customFormat="false" ht="75" hidden="false" customHeight="true" outlineLevel="0" collapsed="false">
      <c r="A1" s="1" t="s">
        <v>0</v>
      </c>
      <c r="B1" s="1" t="s">
        <v>75</v>
      </c>
      <c r="C1" s="1" t="s">
        <v>155</v>
      </c>
      <c r="D1" s="1" t="s">
        <v>156</v>
      </c>
      <c r="E1" s="1" t="s">
        <v>77</v>
      </c>
      <c r="F1" s="1" t="s">
        <v>76</v>
      </c>
      <c r="G1" s="1" t="s">
        <v>157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2" t="s">
        <v>21</v>
      </c>
      <c r="AB1" s="2" t="s">
        <v>22</v>
      </c>
      <c r="AC1" s="2" t="s">
        <v>23</v>
      </c>
      <c r="AD1" s="2" t="s">
        <v>24</v>
      </c>
      <c r="AE1" s="2" t="s">
        <v>25</v>
      </c>
      <c r="AF1" s="2" t="s">
        <v>26</v>
      </c>
      <c r="AG1" s="2" t="s">
        <v>27</v>
      </c>
      <c r="AH1" s="2" t="s">
        <v>28</v>
      </c>
      <c r="AI1" s="2" t="s">
        <v>29</v>
      </c>
      <c r="AJ1" s="2" t="s">
        <v>30</v>
      </c>
      <c r="AK1" s="2" t="s">
        <v>31</v>
      </c>
      <c r="AL1" s="2" t="s">
        <v>32</v>
      </c>
      <c r="AM1" s="2" t="s">
        <v>33</v>
      </c>
      <c r="AN1" s="2" t="s">
        <v>34</v>
      </c>
      <c r="AO1" s="2" t="s">
        <v>35</v>
      </c>
      <c r="AP1" s="2" t="s">
        <v>36</v>
      </c>
      <c r="AQ1" s="2" t="s">
        <v>37</v>
      </c>
      <c r="AR1" s="2" t="s">
        <v>38</v>
      </c>
      <c r="AS1" s="2" t="s">
        <v>39</v>
      </c>
      <c r="AT1" s="2" t="s">
        <v>40</v>
      </c>
      <c r="AU1" s="2" t="s">
        <v>41</v>
      </c>
      <c r="AV1" s="2" t="s">
        <v>42</v>
      </c>
      <c r="AW1" s="2" t="s">
        <v>43</v>
      </c>
      <c r="AX1" s="2" t="s">
        <v>44</v>
      </c>
      <c r="AY1" s="2" t="s">
        <v>45</v>
      </c>
      <c r="AZ1" s="2" t="s">
        <v>46</v>
      </c>
      <c r="BA1" s="2" t="s">
        <v>47</v>
      </c>
      <c r="BB1" s="2" t="s">
        <v>48</v>
      </c>
      <c r="BC1" s="2" t="s">
        <v>49</v>
      </c>
      <c r="BD1" s="2" t="s">
        <v>50</v>
      </c>
      <c r="BE1" s="2" t="s">
        <v>51</v>
      </c>
      <c r="BF1" s="2" t="s">
        <v>52</v>
      </c>
      <c r="BG1" s="2" t="s">
        <v>53</v>
      </c>
      <c r="BH1" s="1" t="s">
        <v>158</v>
      </c>
      <c r="BI1" s="1" t="s">
        <v>159</v>
      </c>
      <c r="BJ1" s="1" t="s">
        <v>160</v>
      </c>
      <c r="BK1" s="1" t="s">
        <v>161</v>
      </c>
      <c r="BL1" s="1" t="s">
        <v>162</v>
      </c>
      <c r="BM1" s="1" t="s">
        <v>163</v>
      </c>
    </row>
    <row r="2" customFormat="false" ht="15" hidden="false" customHeight="false" outlineLevel="0" collapsed="false">
      <c r="A2" s="3" t="s">
        <v>60</v>
      </c>
      <c r="B2" s="3" t="s">
        <v>78</v>
      </c>
      <c r="C2" s="3" t="s">
        <v>164</v>
      </c>
      <c r="D2" s="3" t="s">
        <v>165</v>
      </c>
      <c r="E2" s="3" t="n">
        <v>1</v>
      </c>
      <c r="F2" s="6" t="n">
        <f aca="false">H2*Pesos!$B$2+I2*Pesos!$B$3+J2*Pesos!$B$4+K2*Pesos!$B$5+L2*Pesos!$B$6+M2*Pesos!$B$7+N2*Pesos!$B$8+O2*Pesos!$B$9+P2*Pesos!$B$10+Q2*Pesos!$B$11+R2*Pesos!$B$12+S2*Pesos!$B$13+T2*Pesos!$B$14+U2*Pesos!$B$15+V2*Pesos!$B$16+W2*Pesos!$B$17+X2*Pesos!$B$18+Y2*Pesos!$B$19+Z2*Pesos!$B$20+AA2*Pesos!$B$21+AB2*Pesos!$B$22+AC2*Pesos!$B$23+AD2*Pesos!$B$24+AE2*Pesos!$B$25+AF2*Pesos!$B$26+AG2*Pesos!$B$27+AH2*Pesos!$B$28+AI2*Pesos!$B$29+AJ2*Pesos!$B$30+AK2*Pesos!$B$31+AL2*Pesos!$B$32+AM2*Pesos!$B$33+AN2*Pesos!$B$34+AO2*Pesos!$B$35+AP2*Pesos!$B$36+AQ2*Pesos!$B$37+AR2*Pesos!$B$38+AS2*Pesos!$B$39+AT2*Pesos!$B$40+AU2*Pesos!$B$41+AV2*Pesos!$B$42+AW2*Pesos!$B$43+AX2*Pesos!$B$44+AY2*Pesos!$B$45+AZ2*Pesos!$B$46+BA2*Pesos!$B$47+BB2*Pesos!$B$48+BC2*Pesos!$B$49+BD2*Pesos!$B$50+BE2*Pesos!$B$51+BF2*Pesos!$B$52+BG2*Pesos!$B$53</f>
        <v>100</v>
      </c>
      <c r="G2" s="6" t="n">
        <f aca="false">E2*F2</f>
        <v>100</v>
      </c>
      <c r="H2" s="3" t="n">
        <v>49</v>
      </c>
      <c r="I2" s="3" t="n">
        <v>100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</row>
    <row r="3" customFormat="false" ht="15" hidden="false" customHeight="false" outlineLevel="0" collapsed="false">
      <c r="A3" s="3" t="s">
        <v>60</v>
      </c>
      <c r="B3" s="3" t="s">
        <v>78</v>
      </c>
      <c r="C3" s="3" t="s">
        <v>166</v>
      </c>
      <c r="D3" s="3" t="s">
        <v>167</v>
      </c>
      <c r="E3" s="3" t="n">
        <v>1</v>
      </c>
      <c r="F3" s="6" t="n">
        <f aca="false">H3*Pesos!$B$2+I3*Pesos!$B$3+J3*Pesos!$B$4+K3*Pesos!$B$5+L3*Pesos!$B$6+M3*Pesos!$B$7+N3*Pesos!$B$8+O3*Pesos!$B$9+P3*Pesos!$B$10+Q3*Pesos!$B$11+R3*Pesos!$B$12+S3*Pesos!$B$13+T3*Pesos!$B$14+U3*Pesos!$B$15+V3*Pesos!$B$16+W3*Pesos!$B$17+X3*Pesos!$B$18+Y3*Pesos!$B$19+Z3*Pesos!$B$20+AA3*Pesos!$B$21+AB3*Pesos!$B$22+AC3*Pesos!$B$23+AD3*Pesos!$B$24+AE3*Pesos!$B$25+AF3*Pesos!$B$26+AG3*Pesos!$B$27+AH3*Pesos!$B$28+AI3*Pesos!$B$29+AJ3*Pesos!$B$30+AK3*Pesos!$B$31+AL3*Pesos!$B$32+AM3*Pesos!$B$33+AN3*Pesos!$B$34+AO3*Pesos!$B$35+AP3*Pesos!$B$36+AQ3*Pesos!$B$37+AR3*Pesos!$B$38+AS3*Pesos!$B$39+AT3*Pesos!$B$40+AU3*Pesos!$B$41+AV3*Pesos!$B$42+AW3*Pesos!$B$43+AX3*Pesos!$B$44+AY3*Pesos!$B$45+AZ3*Pesos!$B$46+BA3*Pesos!$B$47+BB3*Pesos!$B$48+BC3*Pesos!$B$49+BD3*Pesos!$B$50+BE3*Pesos!$B$51+BF3*Pesos!$B$52+BG3*Pesos!$B$53</f>
        <v>100</v>
      </c>
      <c r="G3" s="6" t="n">
        <f aca="false">E3*F3</f>
        <v>100</v>
      </c>
      <c r="H3" s="3" t="n">
        <v>49</v>
      </c>
      <c r="I3" s="3" t="n">
        <v>100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</row>
    <row r="4" customFormat="false" ht="15" hidden="false" customHeight="false" outlineLevel="0" collapsed="false">
      <c r="A4" s="3" t="s">
        <v>60</v>
      </c>
      <c r="B4" s="3" t="s">
        <v>78</v>
      </c>
      <c r="C4" s="3" t="s">
        <v>168</v>
      </c>
      <c r="D4" s="3" t="s">
        <v>169</v>
      </c>
      <c r="E4" s="3" t="n">
        <v>0.5</v>
      </c>
      <c r="F4" s="6" t="n">
        <f aca="false">H4*Pesos!$B$2+I4*Pesos!$B$3+J4*Pesos!$B$4+K4*Pesos!$B$5+L4*Pesos!$B$6+M4*Pesos!$B$7+N4*Pesos!$B$8+O4*Pesos!$B$9+P4*Pesos!$B$10+Q4*Pesos!$B$11+R4*Pesos!$B$12+S4*Pesos!$B$13+T4*Pesos!$B$14+U4*Pesos!$B$15+V4*Pesos!$B$16+W4*Pesos!$B$17+X4*Pesos!$B$18+Y4*Pesos!$B$19+Z4*Pesos!$B$20+AA4*Pesos!$B$21+AB4*Pesos!$B$22+AC4*Pesos!$B$23+AD4*Pesos!$B$24+AE4*Pesos!$B$25+AF4*Pesos!$B$26+AG4*Pesos!$B$27+AH4*Pesos!$B$28+AI4*Pesos!$B$29+AJ4*Pesos!$B$30+AK4*Pesos!$B$31+AL4*Pesos!$B$32+AM4*Pesos!$B$33+AN4*Pesos!$B$34+AO4*Pesos!$B$35+AP4*Pesos!$B$36+AQ4*Pesos!$B$37+AR4*Pesos!$B$38+AS4*Pesos!$B$39+AT4*Pesos!$B$40+AU4*Pesos!$B$41+AV4*Pesos!$B$42+AW4*Pesos!$B$43+AX4*Pesos!$B$44+AY4*Pesos!$B$45+AZ4*Pesos!$B$46+BA4*Pesos!$B$47+BB4*Pesos!$B$48+BC4*Pesos!$B$49+BD4*Pesos!$B$50+BE4*Pesos!$B$51+BF4*Pesos!$B$52+BG4*Pesos!$B$53</f>
        <v>100</v>
      </c>
      <c r="G4" s="6" t="n">
        <f aca="false">E4*F4</f>
        <v>50</v>
      </c>
      <c r="H4" s="3" t="n">
        <v>49</v>
      </c>
      <c r="I4" s="3" t="n">
        <v>100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 t="s">
        <v>170</v>
      </c>
    </row>
    <row r="5" customFormat="false" ht="15" hidden="false" customHeight="false" outlineLevel="0" collapsed="false">
      <c r="A5" s="3" t="s">
        <v>60</v>
      </c>
      <c r="B5" s="3" t="s">
        <v>78</v>
      </c>
      <c r="C5" s="3" t="s">
        <v>171</v>
      </c>
      <c r="D5" s="3" t="s">
        <v>172</v>
      </c>
      <c r="E5" s="3" t="n">
        <v>0.5</v>
      </c>
      <c r="F5" s="6" t="n">
        <f aca="false">H5*Pesos!$B$2+I5*Pesos!$B$3+J5*Pesos!$B$4+K5*Pesos!$B$5+L5*Pesos!$B$6+M5*Pesos!$B$7+N5*Pesos!$B$8+O5*Pesos!$B$9+P5*Pesos!$B$10+Q5*Pesos!$B$11+R5*Pesos!$B$12+S5*Pesos!$B$13+T5*Pesos!$B$14+U5*Pesos!$B$15+V5*Pesos!$B$16+W5*Pesos!$B$17+X5*Pesos!$B$18+Y5*Pesos!$B$19+Z5*Pesos!$B$20+AA5*Pesos!$B$21+AB5*Pesos!$B$22+AC5*Pesos!$B$23+AD5*Pesos!$B$24+AE5*Pesos!$B$25+AF5*Pesos!$B$26+AG5*Pesos!$B$27+AH5*Pesos!$B$28+AI5*Pesos!$B$29+AJ5*Pesos!$B$30+AK5*Pesos!$B$31+AL5*Pesos!$B$32+AM5*Pesos!$B$33+AN5*Pesos!$B$34+AO5*Pesos!$B$35+AP5*Pesos!$B$36+AQ5*Pesos!$B$37+AR5*Pesos!$B$38+AS5*Pesos!$B$39+AT5*Pesos!$B$40+AU5*Pesos!$B$41+AV5*Pesos!$B$42+AW5*Pesos!$B$43+AX5*Pesos!$B$44+AY5*Pesos!$B$45+AZ5*Pesos!$B$46+BA5*Pesos!$B$47+BB5*Pesos!$B$48+BC5*Pesos!$B$49+BD5*Pesos!$B$50+BE5*Pesos!$B$51+BF5*Pesos!$B$52+BG5*Pesos!$B$53</f>
        <v>232.5</v>
      </c>
      <c r="G5" s="6" t="n">
        <f aca="false">E5*F5</f>
        <v>116.25</v>
      </c>
      <c r="H5" s="3" t="n">
        <v>49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 t="n">
        <v>0.25</v>
      </c>
      <c r="AB5" s="3" t="n">
        <v>5</v>
      </c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 t="s">
        <v>173</v>
      </c>
      <c r="BI5" s="3"/>
      <c r="BJ5" s="3"/>
      <c r="BK5" s="3"/>
      <c r="BL5" s="3"/>
      <c r="BM5" s="3"/>
    </row>
    <row r="6" customFormat="false" ht="15" hidden="false" customHeight="false" outlineLevel="0" collapsed="false">
      <c r="A6" s="3" t="s">
        <v>60</v>
      </c>
      <c r="B6" s="3" t="s">
        <v>78</v>
      </c>
      <c r="C6" s="3" t="s">
        <v>174</v>
      </c>
      <c r="D6" s="3" t="s">
        <v>175</v>
      </c>
      <c r="E6" s="3" t="n">
        <v>0.5</v>
      </c>
      <c r="F6" s="6" t="n">
        <f aca="false">H6*Pesos!$B$2+I6*Pesos!$B$3+J6*Pesos!$B$4+K6*Pesos!$B$5+L6*Pesos!$B$6+M6*Pesos!$B$7+N6*Pesos!$B$8+O6*Pesos!$B$9+P6*Pesos!$B$10+Q6*Pesos!$B$11+R6*Pesos!$B$12+S6*Pesos!$B$13+T6*Pesos!$B$14+U6*Pesos!$B$15+V6*Pesos!$B$16+W6*Pesos!$B$17+X6*Pesos!$B$18+Y6*Pesos!$B$19+Z6*Pesos!$B$20+AA6*Pesos!$B$21+AB6*Pesos!$B$22+AC6*Pesos!$B$23+AD6*Pesos!$B$24+AE6*Pesos!$B$25+AF6*Pesos!$B$26+AG6*Pesos!$B$27+AH6*Pesos!$B$28+AI6*Pesos!$B$29+AJ6*Pesos!$B$30+AK6*Pesos!$B$31+AL6*Pesos!$B$32+AM6*Pesos!$B$33+AN6*Pesos!$B$34+AO6*Pesos!$B$35+AP6*Pesos!$B$36+AQ6*Pesos!$B$37+AR6*Pesos!$B$38+AS6*Pesos!$B$39+AT6*Pesos!$B$40+AU6*Pesos!$B$41+AV6*Pesos!$B$42+AW6*Pesos!$B$43+AX6*Pesos!$B$44+AY6*Pesos!$B$45+AZ6*Pesos!$B$46+BA6*Pesos!$B$47+BB6*Pesos!$B$48+BC6*Pesos!$B$49+BD6*Pesos!$B$50+BE6*Pesos!$B$51+BF6*Pesos!$B$52+BG6*Pesos!$B$53</f>
        <v>113.6</v>
      </c>
      <c r="G6" s="6" t="n">
        <f aca="false">E6*F6</f>
        <v>56.8</v>
      </c>
      <c r="H6" s="3" t="n">
        <v>84</v>
      </c>
      <c r="I6" s="3" t="n">
        <v>100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 t="n">
        <v>-0.6</v>
      </c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 t="n">
        <v>0.8</v>
      </c>
      <c r="AS6" s="3"/>
      <c r="AT6" s="3"/>
      <c r="AU6" s="3" t="n">
        <v>2</v>
      </c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 t="s">
        <v>176</v>
      </c>
      <c r="BK6" s="3"/>
      <c r="BL6" s="3"/>
      <c r="BM6" s="3"/>
    </row>
    <row r="7" customFormat="false" ht="15" hidden="false" customHeight="false" outlineLevel="0" collapsed="false">
      <c r="A7" s="3" t="s">
        <v>60</v>
      </c>
      <c r="B7" s="3" t="s">
        <v>78</v>
      </c>
      <c r="C7" s="3" t="s">
        <v>177</v>
      </c>
      <c r="D7" s="3" t="s">
        <v>178</v>
      </c>
      <c r="E7" s="3" t="n">
        <v>0.5</v>
      </c>
      <c r="F7" s="6" t="n">
        <f aca="false">H7*Pesos!$B$2+I7*Pesos!$B$3+J7*Pesos!$B$4+K7*Pesos!$B$5+L7*Pesos!$B$6+M7*Pesos!$B$7+N7*Pesos!$B$8+O7*Pesos!$B$9+P7*Pesos!$B$10+Q7*Pesos!$B$11+R7*Pesos!$B$12+S7*Pesos!$B$13+T7*Pesos!$B$14+U7*Pesos!$B$15+V7*Pesos!$B$16+W7*Pesos!$B$17+X7*Pesos!$B$18+Y7*Pesos!$B$19+Z7*Pesos!$B$20+AA7*Pesos!$B$21+AB7*Pesos!$B$22+AC7*Pesos!$B$23+AD7*Pesos!$B$24+AE7*Pesos!$B$25+AF7*Pesos!$B$26+AG7*Pesos!$B$27+AH7*Pesos!$B$28+AI7*Pesos!$B$29+AJ7*Pesos!$B$30+AK7*Pesos!$B$31+AL7*Pesos!$B$32+AM7*Pesos!$B$33+AN7*Pesos!$B$34+AO7*Pesos!$B$35+AP7*Pesos!$B$36+AQ7*Pesos!$B$37+AR7*Pesos!$B$38+AS7*Pesos!$B$39+AT7*Pesos!$B$40+AU7*Pesos!$B$41+AV7*Pesos!$B$42+AW7*Pesos!$B$43+AX7*Pesos!$B$44+AY7*Pesos!$B$45+AZ7*Pesos!$B$46+BA7*Pesos!$B$47+BB7*Pesos!$B$48+BC7*Pesos!$B$49+BD7*Pesos!$B$50+BE7*Pesos!$B$51+BF7*Pesos!$B$52+BG7*Pesos!$B$53</f>
        <v>120</v>
      </c>
      <c r="G7" s="6" t="n">
        <f aca="false">E7*F7</f>
        <v>60</v>
      </c>
      <c r="H7" s="3" t="n">
        <v>63</v>
      </c>
      <c r="I7" s="3" t="n">
        <v>100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1</v>
      </c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customFormat="false" ht="15" hidden="false" customHeight="false" outlineLevel="0" collapsed="false">
      <c r="A8" s="3" t="s">
        <v>60</v>
      </c>
      <c r="B8" s="3" t="s">
        <v>78</v>
      </c>
      <c r="C8" s="3" t="s">
        <v>179</v>
      </c>
      <c r="D8" s="3" t="s">
        <v>180</v>
      </c>
      <c r="E8" s="3" t="n">
        <v>0.5</v>
      </c>
      <c r="F8" s="6" t="n">
        <f aca="false">H8*Pesos!$B$2+I8*Pesos!$B$3+J8*Pesos!$B$4+K8*Pesos!$B$5+L8*Pesos!$B$6+M8*Pesos!$B$7+N8*Pesos!$B$8+O8*Pesos!$B$9+P8*Pesos!$B$10+Q8*Pesos!$B$11+R8*Pesos!$B$12+S8*Pesos!$B$13+T8*Pesos!$B$14+U8*Pesos!$B$15+V8*Pesos!$B$16+W8*Pesos!$B$17+X8*Pesos!$B$18+Y8*Pesos!$B$19+Z8*Pesos!$B$20+AA8*Pesos!$B$21+AB8*Pesos!$B$22+AC8*Pesos!$B$23+AD8*Pesos!$B$24+AE8*Pesos!$B$25+AF8*Pesos!$B$26+AG8*Pesos!$B$27+AH8*Pesos!$B$28+AI8*Pesos!$B$29+AJ8*Pesos!$B$30+AK8*Pesos!$B$31+AL8*Pesos!$B$32+AM8*Pesos!$B$33+AN8*Pesos!$B$34+AO8*Pesos!$B$35+AP8*Pesos!$B$36+AQ8*Pesos!$B$37+AR8*Pesos!$B$38+AS8*Pesos!$B$39+AT8*Pesos!$B$40+AU8*Pesos!$B$41+AV8*Pesos!$B$42+AW8*Pesos!$B$43+AX8*Pesos!$B$44+AY8*Pesos!$B$45+AZ8*Pesos!$B$46+BA8*Pesos!$B$47+BB8*Pesos!$B$48+BC8*Pesos!$B$49+BD8*Pesos!$B$50+BE8*Pesos!$B$51+BF8*Pesos!$B$52+BG8*Pesos!$B$53</f>
        <v>120</v>
      </c>
      <c r="G8" s="6" t="n">
        <f aca="false">E8*F8</f>
        <v>60</v>
      </c>
      <c r="H8" s="3" t="n">
        <v>63</v>
      </c>
      <c r="I8" s="3" t="n">
        <v>100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n">
        <v>1</v>
      </c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customFormat="false" ht="15" hidden="false" customHeight="false" outlineLevel="0" collapsed="false">
      <c r="A9" s="3" t="s">
        <v>60</v>
      </c>
      <c r="B9" s="3" t="s">
        <v>78</v>
      </c>
      <c r="C9" s="3" t="s">
        <v>181</v>
      </c>
      <c r="D9" s="3" t="s">
        <v>182</v>
      </c>
      <c r="E9" s="3" t="n">
        <v>0.5</v>
      </c>
      <c r="F9" s="6" t="n">
        <f aca="false">H9*Pesos!$B$2+I9*Pesos!$B$3+J9*Pesos!$B$4+K9*Pesos!$B$5+L9*Pesos!$B$6+M9*Pesos!$B$7+N9*Pesos!$B$8+O9*Pesos!$B$9+P9*Pesos!$B$10+Q9*Pesos!$B$11+R9*Pesos!$B$12+S9*Pesos!$B$13+T9*Pesos!$B$14+U9*Pesos!$B$15+V9*Pesos!$B$16+W9*Pesos!$B$17+X9*Pesos!$B$18+Y9*Pesos!$B$19+Z9*Pesos!$B$20+AA9*Pesos!$B$21+AB9*Pesos!$B$22+AC9*Pesos!$B$23+AD9*Pesos!$B$24+AE9*Pesos!$B$25+AF9*Pesos!$B$26+AG9*Pesos!$B$27+AH9*Pesos!$B$28+AI9*Pesos!$B$29+AJ9*Pesos!$B$30+AK9*Pesos!$B$31+AL9*Pesos!$B$32+AM9*Pesos!$B$33+AN9*Pesos!$B$34+AO9*Pesos!$B$35+AP9*Pesos!$B$36+AQ9*Pesos!$B$37+AR9*Pesos!$B$38+AS9*Pesos!$B$39+AT9*Pesos!$B$40+AU9*Pesos!$B$41+AV9*Pesos!$B$42+AW9*Pesos!$B$43+AX9*Pesos!$B$44+AY9*Pesos!$B$45+AZ9*Pesos!$B$46+BA9*Pesos!$B$47+BB9*Pesos!$B$48+BC9*Pesos!$B$49+BD9*Pesos!$B$50+BE9*Pesos!$B$51+BF9*Pesos!$B$52+BG9*Pesos!$B$53</f>
        <v>195</v>
      </c>
      <c r="G9" s="6" t="n">
        <f aca="false">E9*F9</f>
        <v>97.5</v>
      </c>
      <c r="H9" s="3" t="n">
        <v>63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 t="n">
        <v>5</v>
      </c>
      <c r="AJ9" s="3"/>
      <c r="AK9" s="3"/>
      <c r="AL9" s="3"/>
      <c r="AM9" s="3"/>
      <c r="AN9" s="3"/>
      <c r="AO9" s="3"/>
      <c r="AP9" s="3"/>
      <c r="AQ9" s="3"/>
      <c r="AR9" s="3" t="n">
        <v>10</v>
      </c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 t="s">
        <v>182</v>
      </c>
      <c r="BI9" s="3"/>
      <c r="BJ9" s="3"/>
      <c r="BK9" s="3"/>
      <c r="BL9" s="3"/>
      <c r="BM9" s="3"/>
    </row>
    <row r="10" customFormat="false" ht="15" hidden="false" customHeight="false" outlineLevel="0" collapsed="false">
      <c r="A10" s="3" t="s">
        <v>60</v>
      </c>
      <c r="B10" s="3" t="s">
        <v>78</v>
      </c>
      <c r="C10" s="3" t="s">
        <v>183</v>
      </c>
      <c r="D10" s="3" t="s">
        <v>184</v>
      </c>
      <c r="E10" s="3" t="n">
        <v>0.5</v>
      </c>
      <c r="F10" s="6" t="n">
        <f aca="false">H10*Pesos!$B$2+I10*Pesos!$B$3+J10*Pesos!$B$4+K10*Pesos!$B$5+L10*Pesos!$B$6+M10*Pesos!$B$7+N10*Pesos!$B$8+O10*Pesos!$B$9+P10*Pesos!$B$10+Q10*Pesos!$B$11+R10*Pesos!$B$12+S10*Pesos!$B$13+T10*Pesos!$B$14+U10*Pesos!$B$15+V10*Pesos!$B$16+W10*Pesos!$B$17+X10*Pesos!$B$18+Y10*Pesos!$B$19+Z10*Pesos!$B$20+AA10*Pesos!$B$21+AB10*Pesos!$B$22+AC10*Pesos!$B$23+AD10*Pesos!$B$24+AE10*Pesos!$B$25+AF10*Pesos!$B$26+AG10*Pesos!$B$27+AH10*Pesos!$B$28+AI10*Pesos!$B$29+AJ10*Pesos!$B$30+AK10*Pesos!$B$31+AL10*Pesos!$B$32+AM10*Pesos!$B$33+AN10*Pesos!$B$34+AO10*Pesos!$B$35+AP10*Pesos!$B$36+AQ10*Pesos!$B$37+AR10*Pesos!$B$38+AS10*Pesos!$B$39+AT10*Pesos!$B$40+AU10*Pesos!$B$41+AV10*Pesos!$B$42+AW10*Pesos!$B$43+AX10*Pesos!$B$44+AY10*Pesos!$B$45+AZ10*Pesos!$B$46+BA10*Pesos!$B$47+BB10*Pesos!$B$48+BC10*Pesos!$B$49+BD10*Pesos!$B$50+BE10*Pesos!$B$51+BF10*Pesos!$B$52+BG10*Pesos!$B$53</f>
        <v>120</v>
      </c>
      <c r="G10" s="6" t="n">
        <f aca="false">E10*F10</f>
        <v>60</v>
      </c>
      <c r="H10" s="3" t="n">
        <v>49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 t="n">
        <v>10</v>
      </c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 t="s">
        <v>185</v>
      </c>
      <c r="BI10" s="3"/>
      <c r="BJ10" s="3"/>
      <c r="BK10" s="3"/>
      <c r="BL10" s="3"/>
      <c r="BM10" s="3"/>
    </row>
    <row r="11" customFormat="false" ht="15" hidden="false" customHeight="false" outlineLevel="0" collapsed="false">
      <c r="A11" s="3" t="s">
        <v>60</v>
      </c>
      <c r="B11" s="3" t="s">
        <v>78</v>
      </c>
      <c r="C11" s="3" t="s">
        <v>186</v>
      </c>
      <c r="D11" s="3" t="s">
        <v>187</v>
      </c>
      <c r="E11" s="3" t="n">
        <v>0.5</v>
      </c>
      <c r="F11" s="6" t="n">
        <f aca="false">H11*Pesos!$B$2+I11*Pesos!$B$3+J11*Pesos!$B$4+K11*Pesos!$B$5+L11*Pesos!$B$6+M11*Pesos!$B$7+N11*Pesos!$B$8+O11*Pesos!$B$9+P11*Pesos!$B$10+Q11*Pesos!$B$11+R11*Pesos!$B$12+S11*Pesos!$B$13+T11*Pesos!$B$14+U11*Pesos!$B$15+V11*Pesos!$B$16+W11*Pesos!$B$17+X11*Pesos!$B$18+Y11*Pesos!$B$19+Z11*Pesos!$B$20+AA11*Pesos!$B$21+AB11*Pesos!$B$22+AC11*Pesos!$B$23+AD11*Pesos!$B$24+AE11*Pesos!$B$25+AF11*Pesos!$B$26+AG11*Pesos!$B$27+AH11*Pesos!$B$28+AI11*Pesos!$B$29+AJ11*Pesos!$B$30+AK11*Pesos!$B$31+AL11*Pesos!$B$32+AM11*Pesos!$B$33+AN11*Pesos!$B$34+AO11*Pesos!$B$35+AP11*Pesos!$B$36+AQ11*Pesos!$B$37+AR11*Pesos!$B$38+AS11*Pesos!$B$39+AT11*Pesos!$B$40+AU11*Pesos!$B$41+AV11*Pesos!$B$42+AW11*Pesos!$B$43+AX11*Pesos!$B$44+AY11*Pesos!$B$45+AZ11*Pesos!$B$46+BA11*Pesos!$B$47+BB11*Pesos!$B$48+BC11*Pesos!$B$49+BD11*Pesos!$B$50+BE11*Pesos!$B$51+BF11*Pesos!$B$52+BG11*Pesos!$B$53</f>
        <v>40</v>
      </c>
      <c r="G11" s="6" t="n">
        <f aca="false">E11*F11</f>
        <v>20</v>
      </c>
      <c r="H11" s="3" t="n">
        <v>105</v>
      </c>
      <c r="I11" s="3"/>
      <c r="J11" s="3"/>
      <c r="K11" s="3" t="n">
        <v>5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 t="s">
        <v>188</v>
      </c>
      <c r="BL11" s="3"/>
      <c r="BM11" s="3"/>
    </row>
    <row r="12" customFormat="false" ht="15" hidden="false" customHeight="false" outlineLevel="0" collapsed="false">
      <c r="A12" s="3" t="s">
        <v>60</v>
      </c>
      <c r="B12" s="3" t="s">
        <v>78</v>
      </c>
      <c r="C12" s="3" t="s">
        <v>189</v>
      </c>
      <c r="D12" s="3" t="s">
        <v>190</v>
      </c>
      <c r="E12" s="3" t="n">
        <v>0.5</v>
      </c>
      <c r="F12" s="6" t="n">
        <f aca="false">H12*Pesos!$B$2+I12*Pesos!$B$3+J12*Pesos!$B$4+K12*Pesos!$B$5+L12*Pesos!$B$6+M12*Pesos!$B$7+N12*Pesos!$B$8+O12*Pesos!$B$9+P12*Pesos!$B$10+Q12*Pesos!$B$11+R12*Pesos!$B$12+S12*Pesos!$B$13+T12*Pesos!$B$14+U12*Pesos!$B$15+V12*Pesos!$B$16+W12*Pesos!$B$17+X12*Pesos!$B$18+Y12*Pesos!$B$19+Z12*Pesos!$B$20+AA12*Pesos!$B$21+AB12*Pesos!$B$22+AC12*Pesos!$B$23+AD12*Pesos!$B$24+AE12*Pesos!$B$25+AF12*Pesos!$B$26+AG12*Pesos!$B$27+AH12*Pesos!$B$28+AI12*Pesos!$B$29+AJ12*Pesos!$B$30+AK12*Pesos!$B$31+AL12*Pesos!$B$32+AM12*Pesos!$B$33+AN12*Pesos!$B$34+AO12*Pesos!$B$35+AP12*Pesos!$B$36+AQ12*Pesos!$B$37+AR12*Pesos!$B$38+AS12*Pesos!$B$39+AT12*Pesos!$B$40+AU12*Pesos!$B$41+AV12*Pesos!$B$42+AW12*Pesos!$B$43+AX12*Pesos!$B$44+AY12*Pesos!$B$45+AZ12*Pesos!$B$46+BA12*Pesos!$B$47+BB12*Pesos!$B$48+BC12*Pesos!$B$49+BD12*Pesos!$B$50+BE12*Pesos!$B$51+BF12*Pesos!$B$52+BG12*Pesos!$B$53</f>
        <v>446.9</v>
      </c>
      <c r="G12" s="6" t="n">
        <f aca="false">E12*F12</f>
        <v>223.45</v>
      </c>
      <c r="H12" s="3" t="n">
        <v>84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 t="n">
        <v>0.05</v>
      </c>
      <c r="AB12" s="3" t="n">
        <v>4.1</v>
      </c>
      <c r="AC12" s="3" t="n">
        <v>5</v>
      </c>
      <c r="AD12" s="3"/>
      <c r="AE12" s="3"/>
      <c r="AF12" s="3"/>
      <c r="AG12" s="3" t="n">
        <v>10</v>
      </c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 t="n">
        <v>1.2</v>
      </c>
      <c r="AS12" s="3"/>
      <c r="AT12" s="3"/>
      <c r="AU12" s="3" t="n">
        <v>3</v>
      </c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 t="s">
        <v>191</v>
      </c>
      <c r="BI12" s="3"/>
      <c r="BJ12" s="3" t="s">
        <v>192</v>
      </c>
      <c r="BK12" s="3"/>
      <c r="BL12" s="3"/>
      <c r="BM12" s="3"/>
    </row>
    <row r="13" customFormat="false" ht="15" hidden="false" customHeight="false" outlineLevel="0" collapsed="false">
      <c r="A13" s="3" t="s">
        <v>60</v>
      </c>
      <c r="B13" s="3" t="s">
        <v>79</v>
      </c>
      <c r="C13" s="3" t="s">
        <v>170</v>
      </c>
      <c r="D13" s="3" t="s">
        <v>193</v>
      </c>
      <c r="E13" s="3" t="n">
        <v>0.5</v>
      </c>
      <c r="F13" s="6" t="n">
        <f aca="false">H13*Pesos!$B$2+I13*Pesos!$B$3+J13*Pesos!$B$4+K13*Pesos!$B$5+L13*Pesos!$B$6+M13*Pesos!$B$7+N13*Pesos!$B$8+O13*Pesos!$B$9+P13*Pesos!$B$10+Q13*Pesos!$B$11+R13*Pesos!$B$12+S13*Pesos!$B$13+T13*Pesos!$B$14+U13*Pesos!$B$15+V13*Pesos!$B$16+W13*Pesos!$B$17+X13*Pesos!$B$18+Y13*Pesos!$B$19+Z13*Pesos!$B$20+AA13*Pesos!$B$21+AB13*Pesos!$B$22+AC13*Pesos!$B$23+AD13*Pesos!$B$24+AE13*Pesos!$B$25+AF13*Pesos!$B$26+AG13*Pesos!$B$27+AH13*Pesos!$B$28+AI13*Pesos!$B$29+AJ13*Pesos!$B$30+AK13*Pesos!$B$31+AL13*Pesos!$B$32+AM13*Pesos!$B$33+AN13*Pesos!$B$34+AO13*Pesos!$B$35+AP13*Pesos!$B$36+AQ13*Pesos!$B$37+AR13*Pesos!$B$38+AS13*Pesos!$B$39+AT13*Pesos!$B$40+AU13*Pesos!$B$41+AV13*Pesos!$B$42+AW13*Pesos!$B$43+AX13*Pesos!$B$44+AY13*Pesos!$B$45+AZ13*Pesos!$B$46+BA13*Pesos!$B$47+BB13*Pesos!$B$48+BC13*Pesos!$B$49+BD13*Pesos!$B$50+BE13*Pesos!$B$51+BF13*Pesos!$B$52+BG13*Pesos!$B$53</f>
        <v>0</v>
      </c>
      <c r="G13" s="6" t="n">
        <f aca="false">E13*F13</f>
        <v>0</v>
      </c>
      <c r="H13" s="3" t="n">
        <v>35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 t="s">
        <v>194</v>
      </c>
      <c r="BJ13" s="3"/>
      <c r="BK13" s="3"/>
      <c r="BL13" s="3"/>
      <c r="BM13" s="3" t="s">
        <v>168</v>
      </c>
    </row>
    <row r="14" customFormat="false" ht="15" hidden="false" customHeight="false" outlineLevel="0" collapsed="false">
      <c r="A14" s="3" t="s">
        <v>60</v>
      </c>
      <c r="B14" s="3" t="s">
        <v>79</v>
      </c>
      <c r="C14" s="3" t="s">
        <v>195</v>
      </c>
      <c r="D14" s="3" t="s">
        <v>196</v>
      </c>
      <c r="E14" s="3" t="n">
        <v>0.5</v>
      </c>
      <c r="F14" s="6" t="n">
        <f aca="false">H14*Pesos!$B$2+I14*Pesos!$B$3+J14*Pesos!$B$4+K14*Pesos!$B$5+L14*Pesos!$B$6+M14*Pesos!$B$7+N14*Pesos!$B$8+O14*Pesos!$B$9+P14*Pesos!$B$10+Q14*Pesos!$B$11+R14*Pesos!$B$12+S14*Pesos!$B$13+T14*Pesos!$B$14+U14*Pesos!$B$15+V14*Pesos!$B$16+W14*Pesos!$B$17+X14*Pesos!$B$18+Y14*Pesos!$B$19+Z14*Pesos!$B$20+AA14*Pesos!$B$21+AB14*Pesos!$B$22+AC14*Pesos!$B$23+AD14*Pesos!$B$24+AE14*Pesos!$B$25+AF14*Pesos!$B$26+AG14*Pesos!$B$27+AH14*Pesos!$B$28+AI14*Pesos!$B$29+AJ14*Pesos!$B$30+AK14*Pesos!$B$31+AL14*Pesos!$B$32+AM14*Pesos!$B$33+AN14*Pesos!$B$34+AO14*Pesos!$B$35+AP14*Pesos!$B$36+AQ14*Pesos!$B$37+AR14*Pesos!$B$38+AS14*Pesos!$B$39+AT14*Pesos!$B$40+AU14*Pesos!$B$41+AV14*Pesos!$B$42+AW14*Pesos!$B$43+AX14*Pesos!$B$44+AY14*Pesos!$B$45+AZ14*Pesos!$B$46+BA14*Pesos!$B$47+BB14*Pesos!$B$48+BC14*Pesos!$B$49+BD14*Pesos!$B$50+BE14*Pesos!$B$51+BF14*Pesos!$B$52+BG14*Pesos!$B$53</f>
        <v>51.75</v>
      </c>
      <c r="G14" s="6" t="n">
        <f aca="false">E14*F14</f>
        <v>25.875</v>
      </c>
      <c r="H14" s="3" t="n">
        <v>21</v>
      </c>
      <c r="I14" s="3"/>
      <c r="J14" s="3"/>
      <c r="K14" s="3" t="n">
        <v>10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 t="n">
        <v>-0.025</v>
      </c>
      <c r="AB14" s="3" t="n">
        <v>-5</v>
      </c>
      <c r="AC14" s="3" t="n">
        <v>5</v>
      </c>
      <c r="AD14" s="3" t="n">
        <v>0.01</v>
      </c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 t="s">
        <v>197</v>
      </c>
      <c r="BI14" s="3"/>
      <c r="BJ14" s="3"/>
      <c r="BK14" s="3" t="s">
        <v>198</v>
      </c>
      <c r="BL14" s="3"/>
      <c r="BM14" s="3"/>
    </row>
    <row r="15" customFormat="false" ht="15" hidden="false" customHeight="false" outlineLevel="0" collapsed="false">
      <c r="A15" s="3" t="s">
        <v>60</v>
      </c>
      <c r="B15" s="3" t="s">
        <v>79</v>
      </c>
      <c r="C15" s="3" t="s">
        <v>199</v>
      </c>
      <c r="D15" s="3" t="s">
        <v>200</v>
      </c>
      <c r="E15" s="3" t="n">
        <v>0.5</v>
      </c>
      <c r="F15" s="6" t="n">
        <f aca="false">H15*Pesos!$B$2+I15*Pesos!$B$3+J15*Pesos!$B$4+K15*Pesos!$B$5+L15*Pesos!$B$6+M15*Pesos!$B$7+N15*Pesos!$B$8+O15*Pesos!$B$9+P15*Pesos!$B$10+Q15*Pesos!$B$11+R15*Pesos!$B$12+S15*Pesos!$B$13+T15*Pesos!$B$14+U15*Pesos!$B$15+V15*Pesos!$B$16+W15*Pesos!$B$17+X15*Pesos!$B$18+Y15*Pesos!$B$19+Z15*Pesos!$B$20+AA15*Pesos!$B$21+AB15*Pesos!$B$22+AC15*Pesos!$B$23+AD15*Pesos!$B$24+AE15*Pesos!$B$25+AF15*Pesos!$B$26+AG15*Pesos!$B$27+AH15*Pesos!$B$28+AI15*Pesos!$B$29+AJ15*Pesos!$B$30+AK15*Pesos!$B$31+AL15*Pesos!$B$32+AM15*Pesos!$B$33+AN15*Pesos!$B$34+AO15*Pesos!$B$35+AP15*Pesos!$B$36+AQ15*Pesos!$B$37+AR15*Pesos!$B$38+AS15*Pesos!$B$39+AT15*Pesos!$B$40+AU15*Pesos!$B$41+AV15*Pesos!$B$42+AW15*Pesos!$B$43+AX15*Pesos!$B$44+AY15*Pesos!$B$45+AZ15*Pesos!$B$46+BA15*Pesos!$B$47+BB15*Pesos!$B$48+BC15*Pesos!$B$49+BD15*Pesos!$B$50+BE15*Pesos!$B$51+BF15*Pesos!$B$52+BG15*Pesos!$B$53</f>
        <v>-19.6</v>
      </c>
      <c r="G15" s="6" t="n">
        <f aca="false">E15*F15</f>
        <v>-9.8</v>
      </c>
      <c r="H15" s="3" t="n">
        <v>49</v>
      </c>
      <c r="I15" s="3"/>
      <c r="J15" s="3"/>
      <c r="K15" s="3"/>
      <c r="L15" s="3" t="n">
        <v>30000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 t="n">
        <v>4.1</v>
      </c>
      <c r="AC15" s="3"/>
      <c r="AD15" s="3"/>
      <c r="AE15" s="3"/>
      <c r="AF15" s="3"/>
      <c r="AG15" s="3" t="n">
        <v>-10</v>
      </c>
      <c r="AH15" s="3"/>
      <c r="AI15" s="3"/>
      <c r="AJ15" s="3"/>
      <c r="AK15" s="3"/>
      <c r="AL15" s="3" t="n">
        <v>-5</v>
      </c>
      <c r="AM15" s="3"/>
      <c r="AN15" s="3"/>
      <c r="AO15" s="3"/>
      <c r="AP15" s="3"/>
      <c r="AQ15" s="3"/>
      <c r="AR15" s="3" t="n">
        <v>1.2</v>
      </c>
      <c r="AS15" s="3"/>
      <c r="AT15" s="3"/>
      <c r="AU15" s="3" t="n">
        <v>3</v>
      </c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 t="s">
        <v>201</v>
      </c>
      <c r="BI15" s="3"/>
      <c r="BJ15" s="3" t="s">
        <v>192</v>
      </c>
      <c r="BK15" s="3"/>
      <c r="BL15" s="3"/>
      <c r="BM15" s="3"/>
    </row>
    <row r="16" customFormat="false" ht="15" hidden="false" customHeight="false" outlineLevel="0" collapsed="false">
      <c r="A16" s="3" t="s">
        <v>60</v>
      </c>
      <c r="B16" s="3" t="s">
        <v>79</v>
      </c>
      <c r="C16" s="3" t="s">
        <v>202</v>
      </c>
      <c r="D16" s="3" t="s">
        <v>203</v>
      </c>
      <c r="E16" s="3" t="n">
        <v>0.5</v>
      </c>
      <c r="F16" s="6" t="n">
        <f aca="false">H16*Pesos!$B$2+I16*Pesos!$B$3+J16*Pesos!$B$4+K16*Pesos!$B$5+L16*Pesos!$B$6+M16*Pesos!$B$7+N16*Pesos!$B$8+O16*Pesos!$B$9+P16*Pesos!$B$10+Q16*Pesos!$B$11+R16*Pesos!$B$12+S16*Pesos!$B$13+T16*Pesos!$B$14+U16*Pesos!$B$15+V16*Pesos!$B$16+W16*Pesos!$B$17+X16*Pesos!$B$18+Y16*Pesos!$B$19+Z16*Pesos!$B$20+AA16*Pesos!$B$21+AB16*Pesos!$B$22+AC16*Pesos!$B$23+AD16*Pesos!$B$24+AE16*Pesos!$B$25+AF16*Pesos!$B$26+AG16*Pesos!$B$27+AH16*Pesos!$B$28+AI16*Pesos!$B$29+AJ16*Pesos!$B$30+AK16*Pesos!$B$31+AL16*Pesos!$B$32+AM16*Pesos!$B$33+AN16*Pesos!$B$34+AO16*Pesos!$B$35+AP16*Pesos!$B$36+AQ16*Pesos!$B$37+AR16*Pesos!$B$38+AS16*Pesos!$B$39+AT16*Pesos!$B$40+AU16*Pesos!$B$41+AV16*Pesos!$B$42+AW16*Pesos!$B$43+AX16*Pesos!$B$44+AY16*Pesos!$B$45+AZ16*Pesos!$B$46+BA16*Pesos!$B$47+BB16*Pesos!$B$48+BC16*Pesos!$B$49+BD16*Pesos!$B$50+BE16*Pesos!$B$51+BF16*Pesos!$B$52+BG16*Pesos!$B$53</f>
        <v>230</v>
      </c>
      <c r="G16" s="6" t="n">
        <f aca="false">E16*F16</f>
        <v>115</v>
      </c>
      <c r="H16" s="3" t="n">
        <v>63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 t="n">
        <v>15</v>
      </c>
      <c r="AS16" s="3" t="n">
        <v>5</v>
      </c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 t="s">
        <v>203</v>
      </c>
      <c r="BI16" s="3"/>
      <c r="BJ16" s="3"/>
      <c r="BK16" s="3"/>
      <c r="BL16" s="3"/>
      <c r="BM16" s="3"/>
    </row>
    <row r="17" customFormat="false" ht="15" hidden="false" customHeight="false" outlineLevel="0" collapsed="false">
      <c r="A17" s="3" t="s">
        <v>60</v>
      </c>
      <c r="B17" s="3" t="s">
        <v>79</v>
      </c>
      <c r="C17" s="3" t="s">
        <v>204</v>
      </c>
      <c r="D17" s="3" t="s">
        <v>205</v>
      </c>
      <c r="E17" s="3" t="n">
        <v>0.5</v>
      </c>
      <c r="F17" s="6" t="n">
        <f aca="false">H17*Pesos!$B$2+I17*Pesos!$B$3+J17*Pesos!$B$4+K17*Pesos!$B$5+L17*Pesos!$B$6+M17*Pesos!$B$7+N17*Pesos!$B$8+O17*Pesos!$B$9+P17*Pesos!$B$10+Q17*Pesos!$B$11+R17*Pesos!$B$12+S17*Pesos!$B$13+T17*Pesos!$B$14+U17*Pesos!$B$15+V17*Pesos!$B$16+W17*Pesos!$B$17+X17*Pesos!$B$18+Y17*Pesos!$B$19+Z17*Pesos!$B$20+AA17*Pesos!$B$21+AB17*Pesos!$B$22+AC17*Pesos!$B$23+AD17*Pesos!$B$24+AE17*Pesos!$B$25+AF17*Pesos!$B$26+AG17*Pesos!$B$27+AH17*Pesos!$B$28+AI17*Pesos!$B$29+AJ17*Pesos!$B$30+AK17*Pesos!$B$31+AL17*Pesos!$B$32+AM17*Pesos!$B$33+AN17*Pesos!$B$34+AO17*Pesos!$B$35+AP17*Pesos!$B$36+AQ17*Pesos!$B$37+AR17*Pesos!$B$38+AS17*Pesos!$B$39+AT17*Pesos!$B$40+AU17*Pesos!$B$41+AV17*Pesos!$B$42+AW17*Pesos!$B$43+AX17*Pesos!$B$44+AY17*Pesos!$B$45+AZ17*Pesos!$B$46+BA17*Pesos!$B$47+BB17*Pesos!$B$48+BC17*Pesos!$B$49+BD17*Pesos!$B$50+BE17*Pesos!$B$51+BF17*Pesos!$B$52+BG17*Pesos!$B$53</f>
        <v>140</v>
      </c>
      <c r="G17" s="6" t="n">
        <f aca="false">E17*F17</f>
        <v>70</v>
      </c>
      <c r="H17" s="3" t="n">
        <v>49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 t="n">
        <v>10</v>
      </c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 t="n">
        <v>5</v>
      </c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 t="s">
        <v>205</v>
      </c>
      <c r="BI17" s="3"/>
      <c r="BJ17" s="3"/>
      <c r="BK17" s="3"/>
      <c r="BL17" s="3"/>
      <c r="BM17" s="3"/>
    </row>
    <row r="18" customFormat="false" ht="15" hidden="false" customHeight="false" outlineLevel="0" collapsed="false">
      <c r="A18" s="3" t="s">
        <v>60</v>
      </c>
      <c r="B18" s="3" t="s">
        <v>79</v>
      </c>
      <c r="C18" s="3" t="s">
        <v>206</v>
      </c>
      <c r="D18" s="3" t="s">
        <v>207</v>
      </c>
      <c r="E18" s="3" t="n">
        <v>0.5</v>
      </c>
      <c r="F18" s="6" t="n">
        <f aca="false">H18*Pesos!$B$2+I18*Pesos!$B$3+J18*Pesos!$B$4+K18*Pesos!$B$5+L18*Pesos!$B$6+M18*Pesos!$B$7+N18*Pesos!$B$8+O18*Pesos!$B$9+P18*Pesos!$B$10+Q18*Pesos!$B$11+R18*Pesos!$B$12+S18*Pesos!$B$13+T18*Pesos!$B$14+U18*Pesos!$B$15+V18*Pesos!$B$16+W18*Pesos!$B$17+X18*Pesos!$B$18+Y18*Pesos!$B$19+Z18*Pesos!$B$20+AA18*Pesos!$B$21+AB18*Pesos!$B$22+AC18*Pesos!$B$23+AD18*Pesos!$B$24+AE18*Pesos!$B$25+AF18*Pesos!$B$26+AG18*Pesos!$B$27+AH18*Pesos!$B$28+AI18*Pesos!$B$29+AJ18*Pesos!$B$30+AK18*Pesos!$B$31+AL18*Pesos!$B$32+AM18*Pesos!$B$33+AN18*Pesos!$B$34+AO18*Pesos!$B$35+AP18*Pesos!$B$36+AQ18*Pesos!$B$37+AR18*Pesos!$B$38+AS18*Pesos!$B$39+AT18*Pesos!$B$40+AU18*Pesos!$B$41+AV18*Pesos!$B$42+AW18*Pesos!$B$43+AX18*Pesos!$B$44+AY18*Pesos!$B$45+AZ18*Pesos!$B$46+BA18*Pesos!$B$47+BB18*Pesos!$B$48+BC18*Pesos!$B$49+BD18*Pesos!$B$50+BE18*Pesos!$B$51+BF18*Pesos!$B$52+BG18*Pesos!$B$53</f>
        <v>228.6</v>
      </c>
      <c r="G18" s="6" t="n">
        <f aca="false">E18*F18</f>
        <v>114.3</v>
      </c>
      <c r="H18" s="3" t="n">
        <v>84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 t="n">
        <v>3</v>
      </c>
      <c r="T18" s="3"/>
      <c r="U18" s="3"/>
      <c r="V18" s="3"/>
      <c r="W18" s="3"/>
      <c r="X18" s="3"/>
      <c r="Y18" s="3"/>
      <c r="Z18" s="3"/>
      <c r="AA18" s="3"/>
      <c r="AB18" s="3" t="n">
        <v>-5.6</v>
      </c>
      <c r="AC18" s="3"/>
      <c r="AD18" s="3"/>
      <c r="AE18" s="3"/>
      <c r="AF18" s="3"/>
      <c r="AG18" s="3"/>
      <c r="AH18" s="3"/>
      <c r="AI18" s="3"/>
      <c r="AJ18" s="3" t="n">
        <v>5</v>
      </c>
      <c r="AK18" s="3"/>
      <c r="AL18" s="3"/>
      <c r="AM18" s="3"/>
      <c r="AN18" s="3"/>
      <c r="AO18" s="3"/>
      <c r="AP18" s="3"/>
      <c r="AQ18" s="3"/>
      <c r="AR18" s="3" t="n">
        <v>0.8</v>
      </c>
      <c r="AS18" s="3"/>
      <c r="AT18" s="3"/>
      <c r="AU18" s="3" t="n">
        <v>2</v>
      </c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 t="s">
        <v>176</v>
      </c>
      <c r="BK18" s="3"/>
      <c r="BL18" s="3"/>
      <c r="BM18" s="3"/>
    </row>
    <row r="19" customFormat="false" ht="15" hidden="false" customHeight="false" outlineLevel="0" collapsed="false">
      <c r="A19" s="3" t="s">
        <v>60</v>
      </c>
      <c r="B19" s="3" t="s">
        <v>79</v>
      </c>
      <c r="C19" s="3" t="s">
        <v>208</v>
      </c>
      <c r="D19" s="3" t="s">
        <v>209</v>
      </c>
      <c r="E19" s="3" t="n">
        <v>0.5</v>
      </c>
      <c r="F19" s="6" t="n">
        <f aca="false">H19*Pesos!$B$2+I19*Pesos!$B$3+J19*Pesos!$B$4+K19*Pesos!$B$5+L19*Pesos!$B$6+M19*Pesos!$B$7+N19*Pesos!$B$8+O19*Pesos!$B$9+P19*Pesos!$B$10+Q19*Pesos!$B$11+R19*Pesos!$B$12+S19*Pesos!$B$13+T19*Pesos!$B$14+U19*Pesos!$B$15+V19*Pesos!$B$16+W19*Pesos!$B$17+X19*Pesos!$B$18+Y19*Pesos!$B$19+Z19*Pesos!$B$20+AA19*Pesos!$B$21+AB19*Pesos!$B$22+AC19*Pesos!$B$23+AD19*Pesos!$B$24+AE19*Pesos!$B$25+AF19*Pesos!$B$26+AG19*Pesos!$B$27+AH19*Pesos!$B$28+AI19*Pesos!$B$29+AJ19*Pesos!$B$30+AK19*Pesos!$B$31+AL19*Pesos!$B$32+AM19*Pesos!$B$33+AN19*Pesos!$B$34+AO19*Pesos!$B$35+AP19*Pesos!$B$36+AQ19*Pesos!$B$37+AR19*Pesos!$B$38+AS19*Pesos!$B$39+AT19*Pesos!$B$40+AU19*Pesos!$B$41+AV19*Pesos!$B$42+AW19*Pesos!$B$43+AX19*Pesos!$B$44+AY19*Pesos!$B$45+AZ19*Pesos!$B$46+BA19*Pesos!$B$47+BB19*Pesos!$B$48+BC19*Pesos!$B$49+BD19*Pesos!$B$50+BE19*Pesos!$B$51+BF19*Pesos!$B$52+BG19*Pesos!$B$53</f>
        <v>180</v>
      </c>
      <c r="G19" s="6" t="n">
        <f aca="false">E19*F19</f>
        <v>90</v>
      </c>
      <c r="H19" s="3" t="n">
        <v>49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 t="n">
        <v>10</v>
      </c>
      <c r="AR19" s="3"/>
      <c r="AS19" s="3"/>
      <c r="AT19" s="3"/>
      <c r="AU19" s="3"/>
      <c r="AV19" s="3" t="n">
        <v>10</v>
      </c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 t="s">
        <v>209</v>
      </c>
      <c r="BI19" s="3"/>
      <c r="BJ19" s="3"/>
      <c r="BK19" s="3"/>
      <c r="BL19" s="3"/>
      <c r="BM19" s="3"/>
    </row>
    <row r="20" customFormat="false" ht="15" hidden="false" customHeight="false" outlineLevel="0" collapsed="false">
      <c r="A20" s="3" t="s">
        <v>60</v>
      </c>
      <c r="B20" s="3" t="s">
        <v>79</v>
      </c>
      <c r="C20" s="3" t="s">
        <v>210</v>
      </c>
      <c r="D20" s="3" t="s">
        <v>211</v>
      </c>
      <c r="E20" s="3" t="n">
        <v>0.5</v>
      </c>
      <c r="F20" s="6" t="n">
        <f aca="false">H20*Pesos!$B$2+I20*Pesos!$B$3+J20*Pesos!$B$4+K20*Pesos!$B$5+L20*Pesos!$B$6+M20*Pesos!$B$7+N20*Pesos!$B$8+O20*Pesos!$B$9+P20*Pesos!$B$10+Q20*Pesos!$B$11+R20*Pesos!$B$12+S20*Pesos!$B$13+T20*Pesos!$B$14+U20*Pesos!$B$15+V20*Pesos!$B$16+W20*Pesos!$B$17+X20*Pesos!$B$18+Y20*Pesos!$B$19+Z20*Pesos!$B$20+AA20*Pesos!$B$21+AB20*Pesos!$B$22+AC20*Pesos!$B$23+AD20*Pesos!$B$24+AE20*Pesos!$B$25+AF20*Pesos!$B$26+AG20*Pesos!$B$27+AH20*Pesos!$B$28+AI20*Pesos!$B$29+AJ20*Pesos!$B$30+AK20*Pesos!$B$31+AL20*Pesos!$B$32+AM20*Pesos!$B$33+AN20*Pesos!$B$34+AO20*Pesos!$B$35+AP20*Pesos!$B$36+AQ20*Pesos!$B$37+AR20*Pesos!$B$38+AS20*Pesos!$B$39+AT20*Pesos!$B$40+AU20*Pesos!$B$41+AV20*Pesos!$B$42+AW20*Pesos!$B$43+AX20*Pesos!$B$44+AY20*Pesos!$B$45+AZ20*Pesos!$B$46+BA20*Pesos!$B$47+BB20*Pesos!$B$48+BC20*Pesos!$B$49+BD20*Pesos!$B$50+BE20*Pesos!$B$51+BF20*Pesos!$B$52+BG20*Pesos!$B$53</f>
        <v>375</v>
      </c>
      <c r="G20" s="6" t="n">
        <f aca="false">E20*F20</f>
        <v>187.5</v>
      </c>
      <c r="H20" s="3" t="n">
        <v>105</v>
      </c>
      <c r="I20" s="3"/>
      <c r="J20" s="3"/>
      <c r="K20" s="3"/>
      <c r="L20" s="3"/>
      <c r="M20" s="3"/>
      <c r="N20" s="3"/>
      <c r="O20" s="3"/>
      <c r="P20" s="3"/>
      <c r="Q20" s="3" t="n">
        <v>2</v>
      </c>
      <c r="R20" s="3"/>
      <c r="S20" s="3"/>
      <c r="T20" s="3"/>
      <c r="U20" s="3"/>
      <c r="V20" s="3"/>
      <c r="W20" s="3"/>
      <c r="X20" s="3"/>
      <c r="Y20" s="3"/>
      <c r="Z20" s="3" t="n">
        <v>1</v>
      </c>
      <c r="AA20" s="3"/>
      <c r="AB20" s="3"/>
      <c r="AC20" s="3" t="n">
        <v>10</v>
      </c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 t="n">
        <v>15</v>
      </c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 t="s">
        <v>211</v>
      </c>
      <c r="BI20" s="3"/>
      <c r="BJ20" s="3"/>
      <c r="BK20" s="3"/>
      <c r="BL20" s="3"/>
      <c r="BM20" s="3"/>
    </row>
    <row r="21" customFormat="false" ht="15" hidden="false" customHeight="false" outlineLevel="0" collapsed="false">
      <c r="A21" s="3" t="s">
        <v>60</v>
      </c>
      <c r="B21" s="3" t="s">
        <v>79</v>
      </c>
      <c r="C21" s="3" t="s">
        <v>212</v>
      </c>
      <c r="D21" s="3" t="s">
        <v>213</v>
      </c>
      <c r="E21" s="3" t="n">
        <v>0.5</v>
      </c>
      <c r="F21" s="6" t="n">
        <f aca="false">H21*Pesos!$B$2+I21*Pesos!$B$3+J21*Pesos!$B$4+K21*Pesos!$B$5+L21*Pesos!$B$6+M21*Pesos!$B$7+N21*Pesos!$B$8+O21*Pesos!$B$9+P21*Pesos!$B$10+Q21*Pesos!$B$11+R21*Pesos!$B$12+S21*Pesos!$B$13+T21*Pesos!$B$14+U21*Pesos!$B$15+V21*Pesos!$B$16+W21*Pesos!$B$17+X21*Pesos!$B$18+Y21*Pesos!$B$19+Z21*Pesos!$B$20+AA21*Pesos!$B$21+AB21*Pesos!$B$22+AC21*Pesos!$B$23+AD21*Pesos!$B$24+AE21*Pesos!$B$25+AF21*Pesos!$B$26+AG21*Pesos!$B$27+AH21*Pesos!$B$28+AI21*Pesos!$B$29+AJ21*Pesos!$B$30+AK21*Pesos!$B$31+AL21*Pesos!$B$32+AM21*Pesos!$B$33+AN21*Pesos!$B$34+AO21*Pesos!$B$35+AP21*Pesos!$B$36+AQ21*Pesos!$B$37+AR21*Pesos!$B$38+AS21*Pesos!$B$39+AT21*Pesos!$B$40+AU21*Pesos!$B$41+AV21*Pesos!$B$42+AW21*Pesos!$B$43+AX21*Pesos!$B$44+AY21*Pesos!$B$45+AZ21*Pesos!$B$46+BA21*Pesos!$B$47+BB21*Pesos!$B$48+BC21*Pesos!$B$49+BD21*Pesos!$B$50+BE21*Pesos!$B$51+BF21*Pesos!$B$52+BG21*Pesos!$B$53</f>
        <v>295</v>
      </c>
      <c r="G21" s="6" t="n">
        <f aca="false">E21*F21</f>
        <v>147.5</v>
      </c>
      <c r="H21" s="3" t="n">
        <v>84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 t="n">
        <v>10</v>
      </c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 t="n">
        <v>5</v>
      </c>
      <c r="AR21" s="3" t="n">
        <v>10</v>
      </c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 t="s">
        <v>213</v>
      </c>
      <c r="BI21" s="3"/>
      <c r="BJ21" s="3"/>
      <c r="BK21" s="3"/>
      <c r="BL21" s="3"/>
      <c r="BM21" s="3"/>
    </row>
    <row r="22" customFormat="false" ht="15" hidden="false" customHeight="false" outlineLevel="0" collapsed="false">
      <c r="A22" s="3" t="s">
        <v>60</v>
      </c>
      <c r="B22" s="3" t="s">
        <v>80</v>
      </c>
      <c r="C22" s="3" t="s">
        <v>214</v>
      </c>
      <c r="D22" s="3" t="s">
        <v>215</v>
      </c>
      <c r="E22" s="3" t="n">
        <v>1</v>
      </c>
      <c r="F22" s="6" t="n">
        <f aca="false">H22*Pesos!$B$2+I22*Pesos!$B$3+J22*Pesos!$B$4+K22*Pesos!$B$5+L22*Pesos!$B$6+M22*Pesos!$B$7+N22*Pesos!$B$8+O22*Pesos!$B$9+P22*Pesos!$B$10+Q22*Pesos!$B$11+R22*Pesos!$B$12+S22*Pesos!$B$13+T22*Pesos!$B$14+U22*Pesos!$B$15+V22*Pesos!$B$16+W22*Pesos!$B$17+X22*Pesos!$B$18+Y22*Pesos!$B$19+Z22*Pesos!$B$20+AA22*Pesos!$B$21+AB22*Pesos!$B$22+AC22*Pesos!$B$23+AD22*Pesos!$B$24+AE22*Pesos!$B$25+AF22*Pesos!$B$26+AG22*Pesos!$B$27+AH22*Pesos!$B$28+AI22*Pesos!$B$29+AJ22*Pesos!$B$30+AK22*Pesos!$B$31+AL22*Pesos!$B$32+AM22*Pesos!$B$33+AN22*Pesos!$B$34+AO22*Pesos!$B$35+AP22*Pesos!$B$36+AQ22*Pesos!$B$37+AR22*Pesos!$B$38+AS22*Pesos!$B$39+AT22*Pesos!$B$40+AU22*Pesos!$B$41+AV22*Pesos!$B$42+AW22*Pesos!$B$43+AX22*Pesos!$B$44+AY22*Pesos!$B$45+AZ22*Pesos!$B$46+BA22*Pesos!$B$47+BB22*Pesos!$B$48+BC22*Pesos!$B$49+BD22*Pesos!$B$50+BE22*Pesos!$B$51+BF22*Pesos!$B$52+BG22*Pesos!$B$53</f>
        <v>170</v>
      </c>
      <c r="G22" s="6" t="n">
        <f aca="false">E22*F22</f>
        <v>170</v>
      </c>
      <c r="H22" s="3" t="n">
        <v>70</v>
      </c>
      <c r="I22" s="3" t="n">
        <v>120</v>
      </c>
      <c r="J22" s="3" t="n">
        <v>5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customFormat="false" ht="15" hidden="false" customHeight="false" outlineLevel="0" collapsed="false">
      <c r="A23" s="3" t="s">
        <v>60</v>
      </c>
      <c r="B23" s="3" t="s">
        <v>80</v>
      </c>
      <c r="C23" s="3" t="s">
        <v>216</v>
      </c>
      <c r="D23" s="3" t="s">
        <v>217</v>
      </c>
      <c r="E23" s="3" t="n">
        <v>1</v>
      </c>
      <c r="F23" s="6" t="n">
        <f aca="false">H23*Pesos!$B$2+I23*Pesos!$B$3+J23*Pesos!$B$4+K23*Pesos!$B$5+L23*Pesos!$B$6+M23*Pesos!$B$7+N23*Pesos!$B$8+O23*Pesos!$B$9+P23*Pesos!$B$10+Q23*Pesos!$B$11+R23*Pesos!$B$12+S23*Pesos!$B$13+T23*Pesos!$B$14+U23*Pesos!$B$15+V23*Pesos!$B$16+W23*Pesos!$B$17+X23*Pesos!$B$18+Y23*Pesos!$B$19+Z23*Pesos!$B$20+AA23*Pesos!$B$21+AB23*Pesos!$B$22+AC23*Pesos!$B$23+AD23*Pesos!$B$24+AE23*Pesos!$B$25+AF23*Pesos!$B$26+AG23*Pesos!$B$27+AH23*Pesos!$B$28+AI23*Pesos!$B$29+AJ23*Pesos!$B$30+AK23*Pesos!$B$31+AL23*Pesos!$B$32+AM23*Pesos!$B$33+AN23*Pesos!$B$34+AO23*Pesos!$B$35+AP23*Pesos!$B$36+AQ23*Pesos!$B$37+AR23*Pesos!$B$38+AS23*Pesos!$B$39+AT23*Pesos!$B$40+AU23*Pesos!$B$41+AV23*Pesos!$B$42+AW23*Pesos!$B$43+AX23*Pesos!$B$44+AY23*Pesos!$B$45+AZ23*Pesos!$B$46+BA23*Pesos!$B$47+BB23*Pesos!$B$48+BC23*Pesos!$B$49+BD23*Pesos!$B$50+BE23*Pesos!$B$51+BF23*Pesos!$B$52+BG23*Pesos!$B$53</f>
        <v>199.5</v>
      </c>
      <c r="G23" s="6" t="n">
        <f aca="false">E23*F23</f>
        <v>199.5</v>
      </c>
      <c r="H23" s="3" t="n">
        <v>70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 t="n">
        <v>0.15</v>
      </c>
      <c r="AB23" s="3" t="n">
        <v>5</v>
      </c>
      <c r="AC23" s="3" t="n">
        <v>5</v>
      </c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 t="s">
        <v>217</v>
      </c>
      <c r="BI23" s="3"/>
      <c r="BJ23" s="3"/>
      <c r="BK23" s="3"/>
      <c r="BL23" s="3"/>
      <c r="BM23" s="3"/>
    </row>
    <row r="24" customFormat="false" ht="15" hidden="false" customHeight="false" outlineLevel="0" collapsed="false">
      <c r="A24" s="3" t="s">
        <v>60</v>
      </c>
      <c r="B24" s="3" t="s">
        <v>80</v>
      </c>
      <c r="C24" s="3" t="s">
        <v>218</v>
      </c>
      <c r="D24" s="3" t="s">
        <v>219</v>
      </c>
      <c r="E24" s="3" t="n">
        <v>1</v>
      </c>
      <c r="F24" s="6" t="n">
        <f aca="false">H24*Pesos!$B$2+I24*Pesos!$B$3+J24*Pesos!$B$4+K24*Pesos!$B$5+L24*Pesos!$B$6+M24*Pesos!$B$7+N24*Pesos!$B$8+O24*Pesos!$B$9+P24*Pesos!$B$10+Q24*Pesos!$B$11+R24*Pesos!$B$12+S24*Pesos!$B$13+T24*Pesos!$B$14+U24*Pesos!$B$15+V24*Pesos!$B$16+W24*Pesos!$B$17+X24*Pesos!$B$18+Y24*Pesos!$B$19+Z24*Pesos!$B$20+AA24*Pesos!$B$21+AB24*Pesos!$B$22+AC24*Pesos!$B$23+AD24*Pesos!$B$24+AE24*Pesos!$B$25+AF24*Pesos!$B$26+AG24*Pesos!$B$27+AH24*Pesos!$B$28+AI24*Pesos!$B$29+AJ24*Pesos!$B$30+AK24*Pesos!$B$31+AL24*Pesos!$B$32+AM24*Pesos!$B$33+AN24*Pesos!$B$34+AO24*Pesos!$B$35+AP24*Pesos!$B$36+AQ24*Pesos!$B$37+AR24*Pesos!$B$38+AS24*Pesos!$B$39+AT24*Pesos!$B$40+AU24*Pesos!$B$41+AV24*Pesos!$B$42+AW24*Pesos!$B$43+AX24*Pesos!$B$44+AY24*Pesos!$B$45+AZ24*Pesos!$B$46+BA24*Pesos!$B$47+BB24*Pesos!$B$48+BC24*Pesos!$B$49+BD24*Pesos!$B$50+BE24*Pesos!$B$51+BF24*Pesos!$B$52+BG24*Pesos!$B$53</f>
        <v>65</v>
      </c>
      <c r="G24" s="6" t="n">
        <f aca="false">E24*F24</f>
        <v>65</v>
      </c>
      <c r="H24" s="3" t="n">
        <v>70</v>
      </c>
      <c r="I24" s="3"/>
      <c r="J24" s="3"/>
      <c r="K24" s="3" t="n">
        <v>5</v>
      </c>
      <c r="L24" s="3"/>
      <c r="M24" s="3" t="n">
        <v>25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customFormat="false" ht="15" hidden="false" customHeight="false" outlineLevel="0" collapsed="false">
      <c r="A25" s="3" t="s">
        <v>60</v>
      </c>
      <c r="B25" s="3" t="s">
        <v>80</v>
      </c>
      <c r="C25" s="3" t="s">
        <v>220</v>
      </c>
      <c r="D25" s="3" t="s">
        <v>221</v>
      </c>
      <c r="E25" s="3" t="n">
        <v>1</v>
      </c>
      <c r="F25" s="6" t="n">
        <f aca="false">H25*Pesos!$B$2+I25*Pesos!$B$3+J25*Pesos!$B$4+K25*Pesos!$B$5+L25*Pesos!$B$6+M25*Pesos!$B$7+N25*Pesos!$B$8+O25*Pesos!$B$9+P25*Pesos!$B$10+Q25*Pesos!$B$11+R25*Pesos!$B$12+S25*Pesos!$B$13+T25*Pesos!$B$14+U25*Pesos!$B$15+V25*Pesos!$B$16+W25*Pesos!$B$17+X25*Pesos!$B$18+Y25*Pesos!$B$19+Z25*Pesos!$B$20+AA25*Pesos!$B$21+AB25*Pesos!$B$22+AC25*Pesos!$B$23+AD25*Pesos!$B$24+AE25*Pesos!$B$25+AF25*Pesos!$B$26+AG25*Pesos!$B$27+AH25*Pesos!$B$28+AI25*Pesos!$B$29+AJ25*Pesos!$B$30+AK25*Pesos!$B$31+AL25*Pesos!$B$32+AM25*Pesos!$B$33+AN25*Pesos!$B$34+AO25*Pesos!$B$35+AP25*Pesos!$B$36+AQ25*Pesos!$B$37+AR25*Pesos!$B$38+AS25*Pesos!$B$39+AT25*Pesos!$B$40+AU25*Pesos!$B$41+AV25*Pesos!$B$42+AW25*Pesos!$B$43+AX25*Pesos!$B$44+AY25*Pesos!$B$45+AZ25*Pesos!$B$46+BA25*Pesos!$B$47+BB25*Pesos!$B$48+BC25*Pesos!$B$49+BD25*Pesos!$B$50+BE25*Pesos!$B$51+BF25*Pesos!$B$52+BG25*Pesos!$B$53</f>
        <v>210</v>
      </c>
      <c r="G25" s="6" t="n">
        <f aca="false">E25*F25</f>
        <v>210</v>
      </c>
      <c r="H25" s="3" t="n">
        <v>105</v>
      </c>
      <c r="I25" s="3" t="n">
        <v>50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n">
        <v>8</v>
      </c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customFormat="false" ht="15" hidden="false" customHeight="false" outlineLevel="0" collapsed="false">
      <c r="A26" s="3" t="s">
        <v>60</v>
      </c>
      <c r="B26" s="3" t="s">
        <v>81</v>
      </c>
      <c r="C26" s="3" t="s">
        <v>222</v>
      </c>
      <c r="D26" s="3" t="s">
        <v>223</v>
      </c>
      <c r="E26" s="3" t="n">
        <v>1</v>
      </c>
      <c r="F26" s="6" t="n">
        <f aca="false">H26*Pesos!$B$2+I26*Pesos!$B$3+J26*Pesos!$B$4+K26*Pesos!$B$5+L26*Pesos!$B$6+M26*Pesos!$B$7+N26*Pesos!$B$8+O26*Pesos!$B$9+P26*Pesos!$B$10+Q26*Pesos!$B$11+R26*Pesos!$B$12+S26*Pesos!$B$13+T26*Pesos!$B$14+U26*Pesos!$B$15+V26*Pesos!$B$16+W26*Pesos!$B$17+X26*Pesos!$B$18+Y26*Pesos!$B$19+Z26*Pesos!$B$20+AA26*Pesos!$B$21+AB26*Pesos!$B$22+AC26*Pesos!$B$23+AD26*Pesos!$B$24+AE26*Pesos!$B$25+AF26*Pesos!$B$26+AG26*Pesos!$B$27+AH26*Pesos!$B$28+AI26*Pesos!$B$29+AJ26*Pesos!$B$30+AK26*Pesos!$B$31+AL26*Pesos!$B$32+AM26*Pesos!$B$33+AN26*Pesos!$B$34+AO26*Pesos!$B$35+AP26*Pesos!$B$36+AQ26*Pesos!$B$37+AR26*Pesos!$B$38+AS26*Pesos!$B$39+AT26*Pesos!$B$40+AU26*Pesos!$B$41+AV26*Pesos!$B$42+AW26*Pesos!$B$43+AX26*Pesos!$B$44+AY26*Pesos!$B$45+AZ26*Pesos!$B$46+BA26*Pesos!$B$47+BB26*Pesos!$B$48+BC26*Pesos!$B$49+BD26*Pesos!$B$50+BE26*Pesos!$B$51+BF26*Pesos!$B$52+BG26*Pesos!$B$53</f>
        <v>400</v>
      </c>
      <c r="G26" s="6" t="n">
        <f aca="false">E26*F26</f>
        <v>400</v>
      </c>
      <c r="H26" s="3" t="n">
        <v>49</v>
      </c>
      <c r="I26" s="3"/>
      <c r="J26" s="3"/>
      <c r="K26" s="3"/>
      <c r="L26" s="3"/>
      <c r="M26" s="3"/>
      <c r="N26" s="3"/>
      <c r="O26" s="3"/>
      <c r="P26" s="3"/>
      <c r="Q26" s="3"/>
      <c r="R26" s="3" t="n">
        <v>2</v>
      </c>
      <c r="S26" s="3"/>
      <c r="T26" s="3"/>
      <c r="U26" s="3"/>
      <c r="V26" s="3"/>
      <c r="W26" s="3"/>
      <c r="X26" s="3"/>
      <c r="Y26" s="3"/>
      <c r="Z26" s="3"/>
      <c r="AA26" s="3"/>
      <c r="AB26" s="3" t="n">
        <v>5</v>
      </c>
      <c r="AC26" s="3"/>
      <c r="AD26" s="3"/>
      <c r="AE26" s="3"/>
      <c r="AF26" s="3"/>
      <c r="AG26" s="3"/>
      <c r="AH26" s="3"/>
      <c r="AI26" s="3"/>
      <c r="AJ26" s="3"/>
      <c r="AK26" s="3"/>
      <c r="AL26" s="3" t="n">
        <v>-5</v>
      </c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 t="s">
        <v>224</v>
      </c>
      <c r="BI26" s="3"/>
      <c r="BJ26" s="3"/>
      <c r="BK26" s="3"/>
      <c r="BL26" s="3"/>
      <c r="BM26" s="3"/>
    </row>
    <row r="27" customFormat="false" ht="15" hidden="false" customHeight="false" outlineLevel="0" collapsed="false">
      <c r="A27" s="3" t="s">
        <v>60</v>
      </c>
      <c r="B27" s="3" t="s">
        <v>81</v>
      </c>
      <c r="C27" s="3" t="s">
        <v>225</v>
      </c>
      <c r="D27" s="3" t="s">
        <v>226</v>
      </c>
      <c r="E27" s="3" t="n">
        <v>0.5</v>
      </c>
      <c r="F27" s="6" t="n">
        <f aca="false">H27*Pesos!$B$2+I27*Pesos!$B$3+J27*Pesos!$B$4+K27*Pesos!$B$5+L27*Pesos!$B$6+M27*Pesos!$B$7+N27*Pesos!$B$8+O27*Pesos!$B$9+P27*Pesos!$B$10+Q27*Pesos!$B$11+R27*Pesos!$B$12+S27*Pesos!$B$13+T27*Pesos!$B$14+U27*Pesos!$B$15+V27*Pesos!$B$16+W27*Pesos!$B$17+X27*Pesos!$B$18+Y27*Pesos!$B$19+Z27*Pesos!$B$20+AA27*Pesos!$B$21+AB27*Pesos!$B$22+AC27*Pesos!$B$23+AD27*Pesos!$B$24+AE27*Pesos!$B$25+AF27*Pesos!$B$26+AG27*Pesos!$B$27+AH27*Pesos!$B$28+AI27*Pesos!$B$29+AJ27*Pesos!$B$30+AK27*Pesos!$B$31+AL27*Pesos!$B$32+AM27*Pesos!$B$33+AN27*Pesos!$B$34+AO27*Pesos!$B$35+AP27*Pesos!$B$36+AQ27*Pesos!$B$37+AR27*Pesos!$B$38+AS27*Pesos!$B$39+AT27*Pesos!$B$40+AU27*Pesos!$B$41+AV27*Pesos!$B$42+AW27*Pesos!$B$43+AX27*Pesos!$B$44+AY27*Pesos!$B$45+AZ27*Pesos!$B$46+BA27*Pesos!$B$47+BB27*Pesos!$B$48+BC27*Pesos!$B$49+BD27*Pesos!$B$50+BE27*Pesos!$B$51+BF27*Pesos!$B$52+BG27*Pesos!$B$53</f>
        <v>331.8</v>
      </c>
      <c r="G27" s="6" t="n">
        <f aca="false">E27*F27</f>
        <v>165.9</v>
      </c>
      <c r="H27" s="3" t="n">
        <v>63</v>
      </c>
      <c r="I27" s="3" t="n">
        <v>150</v>
      </c>
      <c r="J27" s="3"/>
      <c r="K27" s="3"/>
      <c r="L27" s="3"/>
      <c r="M27" s="3"/>
      <c r="N27" s="3"/>
      <c r="O27" s="3"/>
      <c r="P27" s="3"/>
      <c r="Q27" s="3"/>
      <c r="R27" s="3" t="n">
        <v>1</v>
      </c>
      <c r="S27" s="3"/>
      <c r="T27" s="3"/>
      <c r="U27" s="3"/>
      <c r="V27" s="3"/>
      <c r="W27" s="3"/>
      <c r="X27" s="3"/>
      <c r="Y27" s="3"/>
      <c r="Z27" s="3"/>
      <c r="AA27" s="3"/>
      <c r="AB27" s="3" t="n">
        <v>-0.3</v>
      </c>
      <c r="AC27" s="3"/>
      <c r="AD27" s="3"/>
      <c r="AE27" s="3" t="n">
        <v>-25</v>
      </c>
      <c r="AF27" s="3"/>
      <c r="AG27" s="3"/>
      <c r="AH27" s="3"/>
      <c r="AI27" s="3"/>
      <c r="AJ27" s="3"/>
      <c r="AK27" s="3"/>
      <c r="AL27" s="3"/>
      <c r="AM27" s="3" t="n">
        <v>10</v>
      </c>
      <c r="AN27" s="3"/>
      <c r="AO27" s="3"/>
      <c r="AP27" s="3"/>
      <c r="AQ27" s="3"/>
      <c r="AR27" s="3" t="n">
        <v>0.4</v>
      </c>
      <c r="AS27" s="3"/>
      <c r="AT27" s="3"/>
      <c r="AU27" s="3" t="n">
        <v>1</v>
      </c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 t="s">
        <v>227</v>
      </c>
      <c r="BI27" s="3"/>
      <c r="BJ27" s="3" t="s">
        <v>228</v>
      </c>
      <c r="BK27" s="3"/>
      <c r="BL27" s="3"/>
      <c r="BM27" s="3" t="s">
        <v>229</v>
      </c>
    </row>
    <row r="28" customFormat="false" ht="15" hidden="false" customHeight="false" outlineLevel="0" collapsed="false">
      <c r="A28" s="3" t="s">
        <v>60</v>
      </c>
      <c r="B28" s="3" t="s">
        <v>81</v>
      </c>
      <c r="C28" s="3" t="s">
        <v>230</v>
      </c>
      <c r="D28" s="3" t="s">
        <v>231</v>
      </c>
      <c r="E28" s="3" t="n">
        <v>0.5</v>
      </c>
      <c r="F28" s="6" t="n">
        <f aca="false">H28*Pesos!$B$2+I28*Pesos!$B$3+J28*Pesos!$B$4+K28*Pesos!$B$5+L28*Pesos!$B$6+M28*Pesos!$B$7+N28*Pesos!$B$8+O28*Pesos!$B$9+P28*Pesos!$B$10+Q28*Pesos!$B$11+R28*Pesos!$B$12+S28*Pesos!$B$13+T28*Pesos!$B$14+U28*Pesos!$B$15+V28*Pesos!$B$16+W28*Pesos!$B$17+X28*Pesos!$B$18+Y28*Pesos!$B$19+Z28*Pesos!$B$20+AA28*Pesos!$B$21+AB28*Pesos!$B$22+AC28*Pesos!$B$23+AD28*Pesos!$B$24+AE28*Pesos!$B$25+AF28*Pesos!$B$26+AG28*Pesos!$B$27+AH28*Pesos!$B$28+AI28*Pesos!$B$29+AJ28*Pesos!$B$30+AK28*Pesos!$B$31+AL28*Pesos!$B$32+AM28*Pesos!$B$33+AN28*Pesos!$B$34+AO28*Pesos!$B$35+AP28*Pesos!$B$36+AQ28*Pesos!$B$37+AR28*Pesos!$B$38+AS28*Pesos!$B$39+AT28*Pesos!$B$40+AU28*Pesos!$B$41+AV28*Pesos!$B$42+AW28*Pesos!$B$43+AX28*Pesos!$B$44+AY28*Pesos!$B$45+AZ28*Pesos!$B$46+BA28*Pesos!$B$47+BB28*Pesos!$B$48+BC28*Pesos!$B$49+BD28*Pesos!$B$50+BE28*Pesos!$B$51+BF28*Pesos!$B$52+BG28*Pesos!$B$53</f>
        <v>63.6</v>
      </c>
      <c r="G28" s="6" t="n">
        <f aca="false">E28*F28</f>
        <v>31.8</v>
      </c>
      <c r="H28" s="3" t="n">
        <v>49</v>
      </c>
      <c r="I28" s="3"/>
      <c r="J28" s="3"/>
      <c r="K28" s="3"/>
      <c r="L28" s="3"/>
      <c r="M28" s="3"/>
      <c r="N28" s="3"/>
      <c r="O28" s="3"/>
      <c r="P28" s="3"/>
      <c r="Q28" s="3" t="n">
        <v>2</v>
      </c>
      <c r="R28" s="3"/>
      <c r="S28" s="3"/>
      <c r="T28" s="3"/>
      <c r="U28" s="3"/>
      <c r="V28" s="3"/>
      <c r="W28" s="3"/>
      <c r="X28" s="3"/>
      <c r="Y28" s="3"/>
      <c r="Z28" s="3"/>
      <c r="AA28" s="3"/>
      <c r="AB28" s="3" t="n">
        <v>-0.6</v>
      </c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 t="n">
        <v>0.8</v>
      </c>
      <c r="AS28" s="3"/>
      <c r="AT28" s="3"/>
      <c r="AU28" s="3" t="n">
        <v>2</v>
      </c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 t="s">
        <v>176</v>
      </c>
      <c r="BK28" s="3"/>
      <c r="BL28" s="3"/>
      <c r="BM28" s="3"/>
    </row>
    <row r="29" customFormat="false" ht="15" hidden="false" customHeight="false" outlineLevel="0" collapsed="false">
      <c r="A29" s="3" t="s">
        <v>60</v>
      </c>
      <c r="B29" s="3" t="s">
        <v>81</v>
      </c>
      <c r="C29" s="3" t="s">
        <v>232</v>
      </c>
      <c r="D29" s="3" t="s">
        <v>233</v>
      </c>
      <c r="E29" s="3" t="n">
        <v>0.5</v>
      </c>
      <c r="F29" s="6" t="n">
        <f aca="false">H29*Pesos!$B$2+I29*Pesos!$B$3+J29*Pesos!$B$4+K29*Pesos!$B$5+L29*Pesos!$B$6+M29*Pesos!$B$7+N29*Pesos!$B$8+O29*Pesos!$B$9+P29*Pesos!$B$10+Q29*Pesos!$B$11+R29*Pesos!$B$12+S29*Pesos!$B$13+T29*Pesos!$B$14+U29*Pesos!$B$15+V29*Pesos!$B$16+W29*Pesos!$B$17+X29*Pesos!$B$18+Y29*Pesos!$B$19+Z29*Pesos!$B$20+AA29*Pesos!$B$21+AB29*Pesos!$B$22+AC29*Pesos!$B$23+AD29*Pesos!$B$24+AE29*Pesos!$B$25+AF29*Pesos!$B$26+AG29*Pesos!$B$27+AH29*Pesos!$B$28+AI29*Pesos!$B$29+AJ29*Pesos!$B$30+AK29*Pesos!$B$31+AL29*Pesos!$B$32+AM29*Pesos!$B$33+AN29*Pesos!$B$34+AO29*Pesos!$B$35+AP29*Pesos!$B$36+AQ29*Pesos!$B$37+AR29*Pesos!$B$38+AS29*Pesos!$B$39+AT29*Pesos!$B$40+AU29*Pesos!$B$41+AV29*Pesos!$B$42+AW29*Pesos!$B$43+AX29*Pesos!$B$44+AY29*Pesos!$B$45+AZ29*Pesos!$B$46+BA29*Pesos!$B$47+BB29*Pesos!$B$48+BC29*Pesos!$B$49+BD29*Pesos!$B$50+BE29*Pesos!$B$51+BF29*Pesos!$B$52+BG29*Pesos!$B$53</f>
        <v>200</v>
      </c>
      <c r="G29" s="6" t="n">
        <f aca="false">E29*F29</f>
        <v>100</v>
      </c>
      <c r="H29" s="3" t="n">
        <v>49</v>
      </c>
      <c r="I29" s="3"/>
      <c r="J29" s="3"/>
      <c r="K29" s="3"/>
      <c r="L29" s="3"/>
      <c r="M29" s="3"/>
      <c r="N29" s="3"/>
      <c r="O29" s="3"/>
      <c r="P29" s="3"/>
      <c r="Q29" s="3"/>
      <c r="R29" s="3" t="n">
        <v>2</v>
      </c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customFormat="false" ht="15" hidden="false" customHeight="false" outlineLevel="0" collapsed="false">
      <c r="A30" s="3" t="s">
        <v>60</v>
      </c>
      <c r="B30" s="3" t="s">
        <v>81</v>
      </c>
      <c r="C30" s="3" t="s">
        <v>234</v>
      </c>
      <c r="D30" s="3" t="s">
        <v>235</v>
      </c>
      <c r="E30" s="3" t="n">
        <v>0.5</v>
      </c>
      <c r="F30" s="6" t="n">
        <f aca="false">H30*Pesos!$B$2+I30*Pesos!$B$3+J30*Pesos!$B$4+K30*Pesos!$B$5+L30*Pesos!$B$6+M30*Pesos!$B$7+N30*Pesos!$B$8+O30*Pesos!$B$9+P30*Pesos!$B$10+Q30*Pesos!$B$11+R30*Pesos!$B$12+S30*Pesos!$B$13+T30*Pesos!$B$14+U30*Pesos!$B$15+V30*Pesos!$B$16+W30*Pesos!$B$17+X30*Pesos!$B$18+Y30*Pesos!$B$19+Z30*Pesos!$B$20+AA30*Pesos!$B$21+AB30*Pesos!$B$22+AC30*Pesos!$B$23+AD30*Pesos!$B$24+AE30*Pesos!$B$25+AF30*Pesos!$B$26+AG30*Pesos!$B$27+AH30*Pesos!$B$28+AI30*Pesos!$B$29+AJ30*Pesos!$B$30+AK30*Pesos!$B$31+AL30*Pesos!$B$32+AM30*Pesos!$B$33+AN30*Pesos!$B$34+AO30*Pesos!$B$35+AP30*Pesos!$B$36+AQ30*Pesos!$B$37+AR30*Pesos!$B$38+AS30*Pesos!$B$39+AT30*Pesos!$B$40+AU30*Pesos!$B$41+AV30*Pesos!$B$42+AW30*Pesos!$B$43+AX30*Pesos!$B$44+AY30*Pesos!$B$45+AZ30*Pesos!$B$46+BA30*Pesos!$B$47+BB30*Pesos!$B$48+BC30*Pesos!$B$49+BD30*Pesos!$B$50+BE30*Pesos!$B$51+BF30*Pesos!$B$52+BG30*Pesos!$B$53</f>
        <v>113.6</v>
      </c>
      <c r="G30" s="6" t="n">
        <f aca="false">E30*F30</f>
        <v>56.8</v>
      </c>
      <c r="H30" s="3" t="n">
        <v>63</v>
      </c>
      <c r="I30" s="3" t="n">
        <v>100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 t="n">
        <v>-0.6</v>
      </c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 t="n">
        <v>0.8</v>
      </c>
      <c r="AS30" s="3"/>
      <c r="AT30" s="3"/>
      <c r="AU30" s="3" t="n">
        <v>2</v>
      </c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 t="s">
        <v>176</v>
      </c>
      <c r="BK30" s="3"/>
      <c r="BL30" s="3"/>
      <c r="BM30" s="3"/>
    </row>
    <row r="31" customFormat="false" ht="15" hidden="false" customHeight="false" outlineLevel="0" collapsed="false">
      <c r="A31" s="3" t="s">
        <v>60</v>
      </c>
      <c r="B31" s="3" t="s">
        <v>81</v>
      </c>
      <c r="C31" s="3" t="s">
        <v>236</v>
      </c>
      <c r="D31" s="3" t="s">
        <v>237</v>
      </c>
      <c r="E31" s="3" t="n">
        <v>0.5</v>
      </c>
      <c r="F31" s="6" t="n">
        <f aca="false">H31*Pesos!$B$2+I31*Pesos!$B$3+J31*Pesos!$B$4+K31*Pesos!$B$5+L31*Pesos!$B$6+M31*Pesos!$B$7+N31*Pesos!$B$8+O31*Pesos!$B$9+P31*Pesos!$B$10+Q31*Pesos!$B$11+R31*Pesos!$B$12+S31*Pesos!$B$13+T31*Pesos!$B$14+U31*Pesos!$B$15+V31*Pesos!$B$16+W31*Pesos!$B$17+X31*Pesos!$B$18+Y31*Pesos!$B$19+Z31*Pesos!$B$20+AA31*Pesos!$B$21+AB31*Pesos!$B$22+AC31*Pesos!$B$23+AD31*Pesos!$B$24+AE31*Pesos!$B$25+AF31*Pesos!$B$26+AG31*Pesos!$B$27+AH31*Pesos!$B$28+AI31*Pesos!$B$29+AJ31*Pesos!$B$30+AK31*Pesos!$B$31+AL31*Pesos!$B$32+AM31*Pesos!$B$33+AN31*Pesos!$B$34+AO31*Pesos!$B$35+AP31*Pesos!$B$36+AQ31*Pesos!$B$37+AR31*Pesos!$B$38+AS31*Pesos!$B$39+AT31*Pesos!$B$40+AU31*Pesos!$B$41+AV31*Pesos!$B$42+AW31*Pesos!$B$43+AX31*Pesos!$B$44+AY31*Pesos!$B$45+AZ31*Pesos!$B$46+BA31*Pesos!$B$47+BB31*Pesos!$B$48+BC31*Pesos!$B$49+BD31*Pesos!$B$50+BE31*Pesos!$B$51+BF31*Pesos!$B$52+BG31*Pesos!$B$53</f>
        <v>500</v>
      </c>
      <c r="G31" s="6" t="n">
        <f aca="false">E31*F31</f>
        <v>250</v>
      </c>
      <c r="H31" s="3" t="n">
        <v>84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 t="n">
        <v>15</v>
      </c>
      <c r="AH31" s="3"/>
      <c r="AI31" s="3"/>
      <c r="AJ31" s="3"/>
      <c r="AK31" s="3"/>
      <c r="AL31" s="3"/>
      <c r="AM31" s="3" t="n">
        <v>5</v>
      </c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 t="s">
        <v>238</v>
      </c>
      <c r="BI31" s="3"/>
      <c r="BJ31" s="3"/>
      <c r="BK31" s="3"/>
      <c r="BL31" s="3"/>
      <c r="BM31" s="3"/>
    </row>
    <row r="32" customFormat="false" ht="15" hidden="false" customHeight="false" outlineLevel="0" collapsed="false">
      <c r="A32" s="3" t="s">
        <v>60</v>
      </c>
      <c r="B32" s="3" t="s">
        <v>81</v>
      </c>
      <c r="C32" s="3" t="s">
        <v>239</v>
      </c>
      <c r="D32" s="3" t="s">
        <v>240</v>
      </c>
      <c r="E32" s="3" t="n">
        <v>0.5</v>
      </c>
      <c r="F32" s="6" t="n">
        <f aca="false">H32*Pesos!$B$2+I32*Pesos!$B$3+J32*Pesos!$B$4+K32*Pesos!$B$5+L32*Pesos!$B$6+M32*Pesos!$B$7+N32*Pesos!$B$8+O32*Pesos!$B$9+P32*Pesos!$B$10+Q32*Pesos!$B$11+R32*Pesos!$B$12+S32*Pesos!$B$13+T32*Pesos!$B$14+U32*Pesos!$B$15+V32*Pesos!$B$16+W32*Pesos!$B$17+X32*Pesos!$B$18+Y32*Pesos!$B$19+Z32*Pesos!$B$20+AA32*Pesos!$B$21+AB32*Pesos!$B$22+AC32*Pesos!$B$23+AD32*Pesos!$B$24+AE32*Pesos!$B$25+AF32*Pesos!$B$26+AG32*Pesos!$B$27+AH32*Pesos!$B$28+AI32*Pesos!$B$29+AJ32*Pesos!$B$30+AK32*Pesos!$B$31+AL32*Pesos!$B$32+AM32*Pesos!$B$33+AN32*Pesos!$B$34+AO32*Pesos!$B$35+AP32*Pesos!$B$36+AQ32*Pesos!$B$37+AR32*Pesos!$B$38+AS32*Pesos!$B$39+AT32*Pesos!$B$40+AU32*Pesos!$B$41+AV32*Pesos!$B$42+AW32*Pesos!$B$43+AX32*Pesos!$B$44+AY32*Pesos!$B$45+AZ32*Pesos!$B$46+BA32*Pesos!$B$47+BB32*Pesos!$B$48+BC32*Pesos!$B$49+BD32*Pesos!$B$50+BE32*Pesos!$B$51+BF32*Pesos!$B$52+BG32*Pesos!$B$53</f>
        <v>123.6</v>
      </c>
      <c r="G32" s="6" t="n">
        <f aca="false">E32*F32</f>
        <v>61.8</v>
      </c>
      <c r="H32" s="3" t="n">
        <v>77</v>
      </c>
      <c r="I32" s="3"/>
      <c r="J32" s="3" t="n">
        <v>-5</v>
      </c>
      <c r="K32" s="3"/>
      <c r="L32" s="3"/>
      <c r="M32" s="3"/>
      <c r="N32" s="3"/>
      <c r="O32" s="3"/>
      <c r="P32" s="3"/>
      <c r="Q32" s="3"/>
      <c r="R32" s="3"/>
      <c r="S32" s="3" t="n">
        <v>2</v>
      </c>
      <c r="T32" s="3"/>
      <c r="U32" s="3"/>
      <c r="V32" s="3"/>
      <c r="W32" s="3"/>
      <c r="X32" s="3"/>
      <c r="Y32" s="3"/>
      <c r="Z32" s="3"/>
      <c r="AA32" s="3"/>
      <c r="AB32" s="3" t="n">
        <v>-0.6</v>
      </c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 t="n">
        <v>0.8</v>
      </c>
      <c r="AS32" s="3"/>
      <c r="AT32" s="3"/>
      <c r="AU32" s="3" t="n">
        <v>2</v>
      </c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 t="s">
        <v>176</v>
      </c>
      <c r="BK32" s="3"/>
      <c r="BL32" s="3"/>
      <c r="BM32" s="3"/>
    </row>
    <row r="33" customFormat="false" ht="15" hidden="false" customHeight="false" outlineLevel="0" collapsed="false">
      <c r="A33" s="3" t="s">
        <v>60</v>
      </c>
      <c r="B33" s="3" t="s">
        <v>81</v>
      </c>
      <c r="C33" s="3" t="s">
        <v>241</v>
      </c>
      <c r="D33" s="3" t="s">
        <v>242</v>
      </c>
      <c r="E33" s="3" t="n">
        <v>0.5</v>
      </c>
      <c r="F33" s="6" t="n">
        <f aca="false">H33*Pesos!$B$2+I33*Pesos!$B$3+J33*Pesos!$B$4+K33*Pesos!$B$5+L33*Pesos!$B$6+M33*Pesos!$B$7+N33*Pesos!$B$8+O33*Pesos!$B$9+P33*Pesos!$B$10+Q33*Pesos!$B$11+R33*Pesos!$B$12+S33*Pesos!$B$13+T33*Pesos!$B$14+U33*Pesos!$B$15+V33*Pesos!$B$16+W33*Pesos!$B$17+X33*Pesos!$B$18+Y33*Pesos!$B$19+Z33*Pesos!$B$20+AA33*Pesos!$B$21+AB33*Pesos!$B$22+AC33*Pesos!$B$23+AD33*Pesos!$B$24+AE33*Pesos!$B$25+AF33*Pesos!$B$26+AG33*Pesos!$B$27+AH33*Pesos!$B$28+AI33*Pesos!$B$29+AJ33*Pesos!$B$30+AK33*Pesos!$B$31+AL33*Pesos!$B$32+AM33*Pesos!$B$33+AN33*Pesos!$B$34+AO33*Pesos!$B$35+AP33*Pesos!$B$36+AQ33*Pesos!$B$37+AR33*Pesos!$B$38+AS33*Pesos!$B$39+AT33*Pesos!$B$40+AU33*Pesos!$B$41+AV33*Pesos!$B$42+AW33*Pesos!$B$43+AX33*Pesos!$B$44+AY33*Pesos!$B$45+AZ33*Pesos!$B$46+BA33*Pesos!$B$47+BB33*Pesos!$B$48+BC33*Pesos!$B$49+BD33*Pesos!$B$50+BE33*Pesos!$B$51+BF33*Pesos!$B$52+BG33*Pesos!$B$53</f>
        <v>100</v>
      </c>
      <c r="G33" s="6" t="n">
        <f aca="false">E33*F33</f>
        <v>50</v>
      </c>
      <c r="H33" s="3" t="n">
        <v>98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 t="n">
        <v>-25</v>
      </c>
      <c r="AF33" s="3"/>
      <c r="AG33" s="3"/>
      <c r="AH33" s="3"/>
      <c r="AI33" s="3" t="n">
        <v>10</v>
      </c>
      <c r="AJ33" s="3"/>
      <c r="AK33" s="3"/>
      <c r="AL33" s="3"/>
      <c r="AM33" s="3" t="n">
        <v>5</v>
      </c>
      <c r="AN33" s="3" t="n">
        <v>-5</v>
      </c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 t="s">
        <v>243</v>
      </c>
      <c r="BI33" s="3"/>
      <c r="BJ33" s="3"/>
      <c r="BK33" s="3"/>
      <c r="BL33" s="3"/>
      <c r="BM33" s="3"/>
    </row>
    <row r="34" customFormat="false" ht="15" hidden="false" customHeight="false" outlineLevel="0" collapsed="false">
      <c r="A34" s="3" t="s">
        <v>60</v>
      </c>
      <c r="B34" s="3" t="s">
        <v>82</v>
      </c>
      <c r="C34" s="3" t="s">
        <v>229</v>
      </c>
      <c r="D34" s="3" t="s">
        <v>244</v>
      </c>
      <c r="E34" s="3" t="n">
        <v>0.5</v>
      </c>
      <c r="F34" s="6" t="n">
        <f aca="false">H34*Pesos!$B$2+I34*Pesos!$B$3+J34*Pesos!$B$4+K34*Pesos!$B$5+L34*Pesos!$B$6+M34*Pesos!$B$7+N34*Pesos!$B$8+O34*Pesos!$B$9+P34*Pesos!$B$10+Q34*Pesos!$B$11+R34*Pesos!$B$12+S34*Pesos!$B$13+T34*Pesos!$B$14+U34*Pesos!$B$15+V34*Pesos!$B$16+W34*Pesos!$B$17+X34*Pesos!$B$18+Y34*Pesos!$B$19+Z34*Pesos!$B$20+AA34*Pesos!$B$21+AB34*Pesos!$B$22+AC34*Pesos!$B$23+AD34*Pesos!$B$24+AE34*Pesos!$B$25+AF34*Pesos!$B$26+AG34*Pesos!$B$27+AH34*Pesos!$B$28+AI34*Pesos!$B$29+AJ34*Pesos!$B$30+AK34*Pesos!$B$31+AL34*Pesos!$B$32+AM34*Pesos!$B$33+AN34*Pesos!$B$34+AO34*Pesos!$B$35+AP34*Pesos!$B$36+AQ34*Pesos!$B$37+AR34*Pesos!$B$38+AS34*Pesos!$B$39+AT34*Pesos!$B$40+AU34*Pesos!$B$41+AV34*Pesos!$B$42+AW34*Pesos!$B$43+AX34*Pesos!$B$44+AY34*Pesos!$B$45+AZ34*Pesos!$B$46+BA34*Pesos!$B$47+BB34*Pesos!$B$48+BC34*Pesos!$B$49+BD34*Pesos!$B$50+BE34*Pesos!$B$51+BF34*Pesos!$B$52+BG34*Pesos!$B$53</f>
        <v>21.5</v>
      </c>
      <c r="G34" s="6" t="n">
        <f aca="false">E34*F34</f>
        <v>10.75</v>
      </c>
      <c r="H34" s="3" t="n">
        <v>63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 t="n">
        <v>0.05</v>
      </c>
      <c r="AB34" s="3"/>
      <c r="AC34" s="3" t="n">
        <v>-5</v>
      </c>
      <c r="AD34" s="3"/>
      <c r="AE34" s="3" t="n">
        <v>25</v>
      </c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 t="s">
        <v>245</v>
      </c>
      <c r="BI34" s="3"/>
      <c r="BJ34" s="3"/>
      <c r="BK34" s="3"/>
      <c r="BL34" s="3"/>
      <c r="BM34" s="3" t="s">
        <v>225</v>
      </c>
    </row>
    <row r="35" customFormat="false" ht="15" hidden="false" customHeight="false" outlineLevel="0" collapsed="false">
      <c r="A35" s="3" t="s">
        <v>60</v>
      </c>
      <c r="B35" s="3" t="s">
        <v>82</v>
      </c>
      <c r="C35" s="3" t="s">
        <v>246</v>
      </c>
      <c r="D35" s="3" t="s">
        <v>247</v>
      </c>
      <c r="E35" s="3" t="n">
        <v>0.5</v>
      </c>
      <c r="F35" s="6" t="n">
        <f aca="false">H35*Pesos!$B$2+I35*Pesos!$B$3+J35*Pesos!$B$4+K35*Pesos!$B$5+L35*Pesos!$B$6+M35*Pesos!$B$7+N35*Pesos!$B$8+O35*Pesos!$B$9+P35*Pesos!$B$10+Q35*Pesos!$B$11+R35*Pesos!$B$12+S35*Pesos!$B$13+T35*Pesos!$B$14+U35*Pesos!$B$15+V35*Pesos!$B$16+W35*Pesos!$B$17+X35*Pesos!$B$18+Y35*Pesos!$B$19+Z35*Pesos!$B$20+AA35*Pesos!$B$21+AB35*Pesos!$B$22+AC35*Pesos!$B$23+AD35*Pesos!$B$24+AE35*Pesos!$B$25+AF35*Pesos!$B$26+AG35*Pesos!$B$27+AH35*Pesos!$B$28+AI35*Pesos!$B$29+AJ35*Pesos!$B$30+AK35*Pesos!$B$31+AL35*Pesos!$B$32+AM35*Pesos!$B$33+AN35*Pesos!$B$34+AO35*Pesos!$B$35+AP35*Pesos!$B$36+AQ35*Pesos!$B$37+AR35*Pesos!$B$38+AS35*Pesos!$B$39+AT35*Pesos!$B$40+AU35*Pesos!$B$41+AV35*Pesos!$B$42+AW35*Pesos!$B$43+AX35*Pesos!$B$44+AY35*Pesos!$B$45+AZ35*Pesos!$B$46+BA35*Pesos!$B$47+BB35*Pesos!$B$48+BC35*Pesos!$B$49+BD35*Pesos!$B$50+BE35*Pesos!$B$51+BF35*Pesos!$B$52+BG35*Pesos!$B$53</f>
        <v>100</v>
      </c>
      <c r="G35" s="6" t="n">
        <f aca="false">E35*F35</f>
        <v>50</v>
      </c>
      <c r="H35" s="3" t="n">
        <v>49</v>
      </c>
      <c r="I35" s="3" t="n">
        <v>100</v>
      </c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customFormat="false" ht="15" hidden="false" customHeight="false" outlineLevel="0" collapsed="false">
      <c r="A36" s="3" t="s">
        <v>60</v>
      </c>
      <c r="B36" s="3" t="s">
        <v>82</v>
      </c>
      <c r="C36" s="3" t="s">
        <v>248</v>
      </c>
      <c r="D36" s="3" t="s">
        <v>249</v>
      </c>
      <c r="E36" s="3" t="n">
        <v>0.5</v>
      </c>
      <c r="F36" s="6" t="n">
        <f aca="false">H36*Pesos!$B$2+I36*Pesos!$B$3+J36*Pesos!$B$4+K36*Pesos!$B$5+L36*Pesos!$B$6+M36*Pesos!$B$7+N36*Pesos!$B$8+O36*Pesos!$B$9+P36*Pesos!$B$10+Q36*Pesos!$B$11+R36*Pesos!$B$12+S36*Pesos!$B$13+T36*Pesos!$B$14+U36*Pesos!$B$15+V36*Pesos!$B$16+W36*Pesos!$B$17+X36*Pesos!$B$18+Y36*Pesos!$B$19+Z36*Pesos!$B$20+AA36*Pesos!$B$21+AB36*Pesos!$B$22+AC36*Pesos!$B$23+AD36*Pesos!$B$24+AE36*Pesos!$B$25+AF36*Pesos!$B$26+AG36*Pesos!$B$27+AH36*Pesos!$B$28+AI36*Pesos!$B$29+AJ36*Pesos!$B$30+AK36*Pesos!$B$31+AL36*Pesos!$B$32+AM36*Pesos!$B$33+AN36*Pesos!$B$34+AO36*Pesos!$B$35+AP36*Pesos!$B$36+AQ36*Pesos!$B$37+AR36*Pesos!$B$38+AS36*Pesos!$B$39+AT36*Pesos!$B$40+AU36*Pesos!$B$41+AV36*Pesos!$B$42+AW36*Pesos!$B$43+AX36*Pesos!$B$44+AY36*Pesos!$B$45+AZ36*Pesos!$B$46+BA36*Pesos!$B$47+BB36*Pesos!$B$48+BC36*Pesos!$B$49+BD36*Pesos!$B$50+BE36*Pesos!$B$51+BF36*Pesos!$B$52+BG36*Pesos!$B$53</f>
        <v>200</v>
      </c>
      <c r="G36" s="6" t="n">
        <f aca="false">E36*F36</f>
        <v>100</v>
      </c>
      <c r="H36" s="3" t="n">
        <v>49</v>
      </c>
      <c r="I36" s="3"/>
      <c r="J36" s="3"/>
      <c r="K36" s="3"/>
      <c r="L36" s="3"/>
      <c r="M36" s="3"/>
      <c r="N36" s="3"/>
      <c r="O36" s="3"/>
      <c r="P36" s="3"/>
      <c r="Q36" s="3"/>
      <c r="R36" s="3" t="n">
        <v>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customFormat="false" ht="15" hidden="false" customHeight="false" outlineLevel="0" collapsed="false">
      <c r="A37" s="3" t="s">
        <v>60</v>
      </c>
      <c r="B37" s="3" t="s">
        <v>82</v>
      </c>
      <c r="C37" s="3" t="s">
        <v>250</v>
      </c>
      <c r="D37" s="3" t="s">
        <v>251</v>
      </c>
      <c r="E37" s="3" t="n">
        <v>0.5</v>
      </c>
      <c r="F37" s="6" t="n">
        <f aca="false">H37*Pesos!$B$2+I37*Pesos!$B$3+J37*Pesos!$B$4+K37*Pesos!$B$5+L37*Pesos!$B$6+M37*Pesos!$B$7+N37*Pesos!$B$8+O37*Pesos!$B$9+P37*Pesos!$B$10+Q37*Pesos!$B$11+R37*Pesos!$B$12+S37*Pesos!$B$13+T37*Pesos!$B$14+U37*Pesos!$B$15+V37*Pesos!$B$16+W37*Pesos!$B$17+X37*Pesos!$B$18+Y37*Pesos!$B$19+Z37*Pesos!$B$20+AA37*Pesos!$B$21+AB37*Pesos!$B$22+AC37*Pesos!$B$23+AD37*Pesos!$B$24+AE37*Pesos!$B$25+AF37*Pesos!$B$26+AG37*Pesos!$B$27+AH37*Pesos!$B$28+AI37*Pesos!$B$29+AJ37*Pesos!$B$30+AK37*Pesos!$B$31+AL37*Pesos!$B$32+AM37*Pesos!$B$33+AN37*Pesos!$B$34+AO37*Pesos!$B$35+AP37*Pesos!$B$36+AQ37*Pesos!$B$37+AR37*Pesos!$B$38+AS37*Pesos!$B$39+AT37*Pesos!$B$40+AU37*Pesos!$B$41+AV37*Pesos!$B$42+AW37*Pesos!$B$43+AX37*Pesos!$B$44+AY37*Pesos!$B$45+AZ37*Pesos!$B$46+BA37*Pesos!$B$47+BB37*Pesos!$B$48+BC37*Pesos!$B$49+BD37*Pesos!$B$50+BE37*Pesos!$B$51+BF37*Pesos!$B$52+BG37*Pesos!$B$53</f>
        <v>250</v>
      </c>
      <c r="G37" s="6" t="n">
        <f aca="false">E37*F37</f>
        <v>125</v>
      </c>
      <c r="H37" s="3" t="n">
        <v>63</v>
      </c>
      <c r="I37" s="3" t="n">
        <v>50</v>
      </c>
      <c r="J37" s="3"/>
      <c r="K37" s="3"/>
      <c r="L37" s="3"/>
      <c r="M37" s="3"/>
      <c r="N37" s="3"/>
      <c r="O37" s="3"/>
      <c r="P37" s="3"/>
      <c r="Q37" s="3"/>
      <c r="R37" s="3" t="n">
        <v>2</v>
      </c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customFormat="false" ht="15" hidden="false" customHeight="false" outlineLevel="0" collapsed="false">
      <c r="A38" s="3" t="s">
        <v>60</v>
      </c>
      <c r="B38" s="3" t="s">
        <v>82</v>
      </c>
      <c r="C38" s="3" t="s">
        <v>252</v>
      </c>
      <c r="D38" s="3" t="s">
        <v>253</v>
      </c>
      <c r="E38" s="3" t="n">
        <v>0.5</v>
      </c>
      <c r="F38" s="6" t="n">
        <f aca="false">H38*Pesos!$B$2+I38*Pesos!$B$3+J38*Pesos!$B$4+K38*Pesos!$B$5+L38*Pesos!$B$6+M38*Pesos!$B$7+N38*Pesos!$B$8+O38*Pesos!$B$9+P38*Pesos!$B$10+Q38*Pesos!$B$11+R38*Pesos!$B$12+S38*Pesos!$B$13+T38*Pesos!$B$14+U38*Pesos!$B$15+V38*Pesos!$B$16+W38*Pesos!$B$17+X38*Pesos!$B$18+Y38*Pesos!$B$19+Z38*Pesos!$B$20+AA38*Pesos!$B$21+AB38*Pesos!$B$22+AC38*Pesos!$B$23+AD38*Pesos!$B$24+AE38*Pesos!$B$25+AF38*Pesos!$B$26+AG38*Pesos!$B$27+AH38*Pesos!$B$28+AI38*Pesos!$B$29+AJ38*Pesos!$B$30+AK38*Pesos!$B$31+AL38*Pesos!$B$32+AM38*Pesos!$B$33+AN38*Pesos!$B$34+AO38*Pesos!$B$35+AP38*Pesos!$B$36+AQ38*Pesos!$B$37+AR38*Pesos!$B$38+AS38*Pesos!$B$39+AT38*Pesos!$B$40+AU38*Pesos!$B$41+AV38*Pesos!$B$42+AW38*Pesos!$B$43+AX38*Pesos!$B$44+AY38*Pesos!$B$45+AZ38*Pesos!$B$46+BA38*Pesos!$B$47+BB38*Pesos!$B$48+BC38*Pesos!$B$49+BD38*Pesos!$B$50+BE38*Pesos!$B$51+BF38*Pesos!$B$52+BG38*Pesos!$B$53</f>
        <v>231.5</v>
      </c>
      <c r="G38" s="6" t="n">
        <f aca="false">E38*F38</f>
        <v>115.75</v>
      </c>
      <c r="H38" s="3" t="n">
        <v>84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 t="n">
        <v>0.05</v>
      </c>
      <c r="AB38" s="3"/>
      <c r="AC38" s="3" t="n">
        <v>5</v>
      </c>
      <c r="AD38" s="3"/>
      <c r="AE38" s="3" t="n">
        <v>5</v>
      </c>
      <c r="AF38" s="3"/>
      <c r="AG38" s="3" t="n">
        <v>5</v>
      </c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 t="s">
        <v>254</v>
      </c>
      <c r="BI38" s="3"/>
      <c r="BJ38" s="3"/>
      <c r="BK38" s="3"/>
      <c r="BL38" s="3"/>
      <c r="BM38" s="3"/>
    </row>
    <row r="39" customFormat="false" ht="15" hidden="false" customHeight="false" outlineLevel="0" collapsed="false">
      <c r="A39" s="3" t="s">
        <v>60</v>
      </c>
      <c r="B39" s="3" t="s">
        <v>82</v>
      </c>
      <c r="C39" s="3" t="s">
        <v>255</v>
      </c>
      <c r="D39" s="3" t="s">
        <v>256</v>
      </c>
      <c r="E39" s="3" t="n">
        <v>0.5</v>
      </c>
      <c r="F39" s="6" t="n">
        <f aca="false">H39*Pesos!$B$2+I39*Pesos!$B$3+J39*Pesos!$B$4+K39*Pesos!$B$5+L39*Pesos!$B$6+M39*Pesos!$B$7+N39*Pesos!$B$8+O39*Pesos!$B$9+P39*Pesos!$B$10+Q39*Pesos!$B$11+R39*Pesos!$B$12+S39*Pesos!$B$13+T39*Pesos!$B$14+U39*Pesos!$B$15+V39*Pesos!$B$16+W39*Pesos!$B$17+X39*Pesos!$B$18+Y39*Pesos!$B$19+Z39*Pesos!$B$20+AA39*Pesos!$B$21+AB39*Pesos!$B$22+AC39*Pesos!$B$23+AD39*Pesos!$B$24+AE39*Pesos!$B$25+AF39*Pesos!$B$26+AG39*Pesos!$B$27+AH39*Pesos!$B$28+AI39*Pesos!$B$29+AJ39*Pesos!$B$30+AK39*Pesos!$B$31+AL39*Pesos!$B$32+AM39*Pesos!$B$33+AN39*Pesos!$B$34+AO39*Pesos!$B$35+AP39*Pesos!$B$36+AQ39*Pesos!$B$37+AR39*Pesos!$B$38+AS39*Pesos!$B$39+AT39*Pesos!$B$40+AU39*Pesos!$B$41+AV39*Pesos!$B$42+AW39*Pesos!$B$43+AX39*Pesos!$B$44+AY39*Pesos!$B$45+AZ39*Pesos!$B$46+BA39*Pesos!$B$47+BB39*Pesos!$B$48+BC39*Pesos!$B$49+BD39*Pesos!$B$50+BE39*Pesos!$B$51+BF39*Pesos!$B$52+BG39*Pesos!$B$53</f>
        <v>250</v>
      </c>
      <c r="G39" s="6" t="n">
        <f aca="false">E39*F39</f>
        <v>125</v>
      </c>
      <c r="H39" s="3" t="n">
        <v>77</v>
      </c>
      <c r="I39" s="3" t="n">
        <v>50</v>
      </c>
      <c r="J39" s="3"/>
      <c r="K39" s="3"/>
      <c r="L39" s="3"/>
      <c r="M39" s="3"/>
      <c r="N39" s="3"/>
      <c r="O39" s="3"/>
      <c r="P39" s="3"/>
      <c r="Q39" s="3"/>
      <c r="R39" s="3" t="n">
        <v>2</v>
      </c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customFormat="false" ht="15" hidden="false" customHeight="false" outlineLevel="0" collapsed="false">
      <c r="A40" s="3" t="s">
        <v>60</v>
      </c>
      <c r="B40" s="3" t="s">
        <v>82</v>
      </c>
      <c r="C40" s="3" t="s">
        <v>257</v>
      </c>
      <c r="D40" s="3" t="s">
        <v>258</v>
      </c>
      <c r="E40" s="3" t="n">
        <v>0.5</v>
      </c>
      <c r="F40" s="6" t="n">
        <f aca="false">H40*Pesos!$B$2+I40*Pesos!$B$3+J40*Pesos!$B$4+K40*Pesos!$B$5+L40*Pesos!$B$6+M40*Pesos!$B$7+N40*Pesos!$B$8+O40*Pesos!$B$9+P40*Pesos!$B$10+Q40*Pesos!$B$11+R40*Pesos!$B$12+S40*Pesos!$B$13+T40*Pesos!$B$14+U40*Pesos!$B$15+V40*Pesos!$B$16+W40*Pesos!$B$17+X40*Pesos!$B$18+Y40*Pesos!$B$19+Z40*Pesos!$B$20+AA40*Pesos!$B$21+AB40*Pesos!$B$22+AC40*Pesos!$B$23+AD40*Pesos!$B$24+AE40*Pesos!$B$25+AF40*Pesos!$B$26+AG40*Pesos!$B$27+AH40*Pesos!$B$28+AI40*Pesos!$B$29+AJ40*Pesos!$B$30+AK40*Pesos!$B$31+AL40*Pesos!$B$32+AM40*Pesos!$B$33+AN40*Pesos!$B$34+AO40*Pesos!$B$35+AP40*Pesos!$B$36+AQ40*Pesos!$B$37+AR40*Pesos!$B$38+AS40*Pesos!$B$39+AT40*Pesos!$B$40+AU40*Pesos!$B$41+AV40*Pesos!$B$42+AW40*Pesos!$B$43+AX40*Pesos!$B$44+AY40*Pesos!$B$45+AZ40*Pesos!$B$46+BA40*Pesos!$B$47+BB40*Pesos!$B$48+BC40*Pesos!$B$49+BD40*Pesos!$B$50+BE40*Pesos!$B$51+BF40*Pesos!$B$52+BG40*Pesos!$B$53</f>
        <v>21.95</v>
      </c>
      <c r="G40" s="6" t="n">
        <f aca="false">E40*F40</f>
        <v>10.975</v>
      </c>
      <c r="H40" s="3" t="n">
        <v>98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 t="n">
        <v>0.05</v>
      </c>
      <c r="AB40" s="3" t="n">
        <v>11</v>
      </c>
      <c r="AC40" s="3" t="n">
        <v>-10</v>
      </c>
      <c r="AD40" s="3"/>
      <c r="AE40" s="3" t="n">
        <v>5</v>
      </c>
      <c r="AF40" s="3"/>
      <c r="AG40" s="3" t="n">
        <v>-5</v>
      </c>
      <c r="AH40" s="3"/>
      <c r="AI40" s="3"/>
      <c r="AJ40" s="3"/>
      <c r="AK40" s="3"/>
      <c r="AL40" s="3" t="n">
        <v>-5</v>
      </c>
      <c r="AM40" s="3" t="n">
        <v>-5</v>
      </c>
      <c r="AN40" s="3"/>
      <c r="AO40" s="3" t="n">
        <v>0.15</v>
      </c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 t="s">
        <v>259</v>
      </c>
      <c r="BI40" s="3"/>
      <c r="BJ40" s="3" t="s">
        <v>260</v>
      </c>
      <c r="BK40" s="3"/>
      <c r="BL40" s="3"/>
      <c r="BM40" s="3"/>
    </row>
    <row r="41" customFormat="false" ht="15" hidden="false" customHeight="false" outlineLevel="0" collapsed="false">
      <c r="A41" s="3" t="s">
        <v>60</v>
      </c>
      <c r="B41" s="3" t="s">
        <v>83</v>
      </c>
      <c r="C41" s="3" t="s">
        <v>261</v>
      </c>
      <c r="D41" s="3" t="s">
        <v>262</v>
      </c>
      <c r="E41" s="3" t="n">
        <v>1</v>
      </c>
      <c r="F41" s="6" t="n">
        <f aca="false">H41*Pesos!$B$2+I41*Pesos!$B$3+J41*Pesos!$B$4+K41*Pesos!$B$5+L41*Pesos!$B$6+M41*Pesos!$B$7+N41*Pesos!$B$8+O41*Pesos!$B$9+P41*Pesos!$B$10+Q41*Pesos!$B$11+R41*Pesos!$B$12+S41*Pesos!$B$13+T41*Pesos!$B$14+U41*Pesos!$B$15+V41*Pesos!$B$16+W41*Pesos!$B$17+X41*Pesos!$B$18+Y41*Pesos!$B$19+Z41*Pesos!$B$20+AA41*Pesos!$B$21+AB41*Pesos!$B$22+AC41*Pesos!$B$23+AD41*Pesos!$B$24+AE41*Pesos!$B$25+AF41*Pesos!$B$26+AG41*Pesos!$B$27+AH41*Pesos!$B$28+AI41*Pesos!$B$29+AJ41*Pesos!$B$30+AK41*Pesos!$B$31+AL41*Pesos!$B$32+AM41*Pesos!$B$33+AN41*Pesos!$B$34+AO41*Pesos!$B$35+AP41*Pesos!$B$36+AQ41*Pesos!$B$37+AR41*Pesos!$B$38+AS41*Pesos!$B$39+AT41*Pesos!$B$40+AU41*Pesos!$B$41+AV41*Pesos!$B$42+AW41*Pesos!$B$43+AX41*Pesos!$B$44+AY41*Pesos!$B$45+AZ41*Pesos!$B$46+BA41*Pesos!$B$47+BB41*Pesos!$B$48+BC41*Pesos!$B$49+BD41*Pesos!$B$50+BE41*Pesos!$B$51+BF41*Pesos!$B$52+BG41*Pesos!$B$53</f>
        <v>213.6</v>
      </c>
      <c r="G41" s="6" t="n">
        <f aca="false">E41*F41</f>
        <v>213.6</v>
      </c>
      <c r="H41" s="3" t="n">
        <v>49</v>
      </c>
      <c r="I41" s="3"/>
      <c r="J41" s="3"/>
      <c r="K41" s="3"/>
      <c r="L41" s="3"/>
      <c r="M41" s="3"/>
      <c r="N41" s="3"/>
      <c r="O41" s="3"/>
      <c r="P41" s="3"/>
      <c r="Q41" s="3"/>
      <c r="R41" s="3" t="n">
        <v>2</v>
      </c>
      <c r="S41" s="3"/>
      <c r="T41" s="3"/>
      <c r="U41" s="3"/>
      <c r="V41" s="3"/>
      <c r="W41" s="3"/>
      <c r="X41" s="3"/>
      <c r="Y41" s="3"/>
      <c r="Z41" s="3"/>
      <c r="AA41" s="3"/>
      <c r="AB41" s="3" t="n">
        <v>-0.6</v>
      </c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 t="n">
        <v>0.8</v>
      </c>
      <c r="AS41" s="3"/>
      <c r="AT41" s="3"/>
      <c r="AU41" s="3" t="n">
        <v>2</v>
      </c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 t="s">
        <v>176</v>
      </c>
      <c r="BK41" s="3"/>
      <c r="BL41" s="3"/>
      <c r="BM41" s="3"/>
    </row>
    <row r="42" customFormat="false" ht="15" hidden="false" customHeight="false" outlineLevel="0" collapsed="false">
      <c r="A42" s="3" t="s">
        <v>60</v>
      </c>
      <c r="B42" s="3" t="s">
        <v>83</v>
      </c>
      <c r="C42" s="3" t="s">
        <v>263</v>
      </c>
      <c r="D42" s="3" t="s">
        <v>264</v>
      </c>
      <c r="E42" s="3" t="n">
        <v>1</v>
      </c>
      <c r="F42" s="6" t="n">
        <f aca="false">H42*Pesos!$B$2+I42*Pesos!$B$3+J42*Pesos!$B$4+K42*Pesos!$B$5+L42*Pesos!$B$6+M42*Pesos!$B$7+N42*Pesos!$B$8+O42*Pesos!$B$9+P42*Pesos!$B$10+Q42*Pesos!$B$11+R42*Pesos!$B$12+S42*Pesos!$B$13+T42*Pesos!$B$14+U42*Pesos!$B$15+V42*Pesos!$B$16+W42*Pesos!$B$17+X42*Pesos!$B$18+Y42*Pesos!$B$19+Z42*Pesos!$B$20+AA42*Pesos!$B$21+AB42*Pesos!$B$22+AC42*Pesos!$B$23+AD42*Pesos!$B$24+AE42*Pesos!$B$25+AF42*Pesos!$B$26+AG42*Pesos!$B$27+AH42*Pesos!$B$28+AI42*Pesos!$B$29+AJ42*Pesos!$B$30+AK42*Pesos!$B$31+AL42*Pesos!$B$32+AM42*Pesos!$B$33+AN42*Pesos!$B$34+AO42*Pesos!$B$35+AP42*Pesos!$B$36+AQ42*Pesos!$B$37+AR42*Pesos!$B$38+AS42*Pesos!$B$39+AT42*Pesos!$B$40+AU42*Pesos!$B$41+AV42*Pesos!$B$42+AW42*Pesos!$B$43+AX42*Pesos!$B$44+AY42*Pesos!$B$45+AZ42*Pesos!$B$46+BA42*Pesos!$B$47+BB42*Pesos!$B$48+BC42*Pesos!$B$49+BD42*Pesos!$B$50+BE42*Pesos!$B$51+BF42*Pesos!$B$52+BG42*Pesos!$B$53</f>
        <v>200</v>
      </c>
      <c r="G42" s="6" t="n">
        <f aca="false">E42*F42</f>
        <v>200</v>
      </c>
      <c r="H42" s="3" t="n">
        <v>49</v>
      </c>
      <c r="I42" s="3"/>
      <c r="J42" s="3"/>
      <c r="K42" s="3"/>
      <c r="L42" s="3"/>
      <c r="M42" s="3"/>
      <c r="N42" s="3"/>
      <c r="O42" s="3"/>
      <c r="P42" s="3"/>
      <c r="Q42" s="3"/>
      <c r="R42" s="3" t="n">
        <v>2</v>
      </c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customFormat="false" ht="15" hidden="false" customHeight="false" outlineLevel="0" collapsed="false">
      <c r="A43" s="3" t="s">
        <v>60</v>
      </c>
      <c r="B43" s="3" t="s">
        <v>83</v>
      </c>
      <c r="C43" s="3" t="s">
        <v>265</v>
      </c>
      <c r="D43" s="3" t="s">
        <v>266</v>
      </c>
      <c r="E43" s="3" t="n">
        <v>1</v>
      </c>
      <c r="F43" s="6" t="n">
        <f aca="false">H43*Pesos!$B$2+I43*Pesos!$B$3+J43*Pesos!$B$4+K43*Pesos!$B$5+L43*Pesos!$B$6+M43*Pesos!$B$7+N43*Pesos!$B$8+O43*Pesos!$B$9+P43*Pesos!$B$10+Q43*Pesos!$B$11+R43*Pesos!$B$12+S43*Pesos!$B$13+T43*Pesos!$B$14+U43*Pesos!$B$15+V43*Pesos!$B$16+W43*Pesos!$B$17+X43*Pesos!$B$18+Y43*Pesos!$B$19+Z43*Pesos!$B$20+AA43*Pesos!$B$21+AB43*Pesos!$B$22+AC43*Pesos!$B$23+AD43*Pesos!$B$24+AE43*Pesos!$B$25+AF43*Pesos!$B$26+AG43*Pesos!$B$27+AH43*Pesos!$B$28+AI43*Pesos!$B$29+AJ43*Pesos!$B$30+AK43*Pesos!$B$31+AL43*Pesos!$B$32+AM43*Pesos!$B$33+AN43*Pesos!$B$34+AO43*Pesos!$B$35+AP43*Pesos!$B$36+AQ43*Pesos!$B$37+AR43*Pesos!$B$38+AS43*Pesos!$B$39+AT43*Pesos!$B$40+AU43*Pesos!$B$41+AV43*Pesos!$B$42+AW43*Pesos!$B$43+AX43*Pesos!$B$44+AY43*Pesos!$B$45+AZ43*Pesos!$B$46+BA43*Pesos!$B$47+BB43*Pesos!$B$48+BC43*Pesos!$B$49+BD43*Pesos!$B$50+BE43*Pesos!$B$51+BF43*Pesos!$B$52+BG43*Pesos!$B$53</f>
        <v>185</v>
      </c>
      <c r="G43" s="6" t="n">
        <f aca="false">E43*F43</f>
        <v>185</v>
      </c>
      <c r="H43" s="3" t="n">
        <v>63</v>
      </c>
      <c r="I43" s="3"/>
      <c r="J43" s="3"/>
      <c r="K43" s="3"/>
      <c r="L43" s="3"/>
      <c r="M43" s="3"/>
      <c r="N43" s="3"/>
      <c r="O43" s="3"/>
      <c r="P43" s="3"/>
      <c r="Q43" s="3" t="n">
        <v>1</v>
      </c>
      <c r="R43" s="3"/>
      <c r="S43" s="3" t="n">
        <v>2</v>
      </c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customFormat="false" ht="15" hidden="false" customHeight="false" outlineLevel="0" collapsed="false">
      <c r="A44" s="3" t="s">
        <v>60</v>
      </c>
      <c r="B44" s="3" t="s">
        <v>83</v>
      </c>
      <c r="C44" s="3" t="s">
        <v>267</v>
      </c>
      <c r="D44" s="3" t="s">
        <v>268</v>
      </c>
      <c r="E44" s="3" t="n">
        <v>1</v>
      </c>
      <c r="F44" s="6" t="n">
        <f aca="false">H44*Pesos!$B$2+I44*Pesos!$B$3+J44*Pesos!$B$4+K44*Pesos!$B$5+L44*Pesos!$B$6+M44*Pesos!$B$7+N44*Pesos!$B$8+O44*Pesos!$B$9+P44*Pesos!$B$10+Q44*Pesos!$B$11+R44*Pesos!$B$12+S44*Pesos!$B$13+T44*Pesos!$B$14+U44*Pesos!$B$15+V44*Pesos!$B$16+W44*Pesos!$B$17+X44*Pesos!$B$18+Y44*Pesos!$B$19+Z44*Pesos!$B$20+AA44*Pesos!$B$21+AB44*Pesos!$B$22+AC44*Pesos!$B$23+AD44*Pesos!$B$24+AE44*Pesos!$B$25+AF44*Pesos!$B$26+AG44*Pesos!$B$27+AH44*Pesos!$B$28+AI44*Pesos!$B$29+AJ44*Pesos!$B$30+AK44*Pesos!$B$31+AL44*Pesos!$B$32+AM44*Pesos!$B$33+AN44*Pesos!$B$34+AO44*Pesos!$B$35+AP44*Pesos!$B$36+AQ44*Pesos!$B$37+AR44*Pesos!$B$38+AS44*Pesos!$B$39+AT44*Pesos!$B$40+AU44*Pesos!$B$41+AV44*Pesos!$B$42+AW44*Pesos!$B$43+AX44*Pesos!$B$44+AY44*Pesos!$B$45+AZ44*Pesos!$B$46+BA44*Pesos!$B$47+BB44*Pesos!$B$48+BC44*Pesos!$B$49+BD44*Pesos!$B$50+BE44*Pesos!$B$51+BF44*Pesos!$B$52+BG44*Pesos!$B$53</f>
        <v>300</v>
      </c>
      <c r="G44" s="6" t="n">
        <f aca="false">E44*F44</f>
        <v>300</v>
      </c>
      <c r="H44" s="3" t="n">
        <v>49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 t="n">
        <v>5</v>
      </c>
      <c r="AH44" s="3"/>
      <c r="AI44" s="3" t="n">
        <v>10</v>
      </c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 t="s">
        <v>269</v>
      </c>
      <c r="BI44" s="3"/>
      <c r="BJ44" s="3"/>
      <c r="BK44" s="3"/>
      <c r="BL44" s="3"/>
      <c r="BM44" s="3"/>
    </row>
    <row r="45" customFormat="false" ht="15" hidden="false" customHeight="false" outlineLevel="0" collapsed="false">
      <c r="A45" s="3" t="s">
        <v>60</v>
      </c>
      <c r="B45" s="3" t="s">
        <v>83</v>
      </c>
      <c r="C45" s="3" t="s">
        <v>270</v>
      </c>
      <c r="D45" s="3" t="s">
        <v>271</v>
      </c>
      <c r="E45" s="3" t="n">
        <v>1</v>
      </c>
      <c r="F45" s="6" t="n">
        <f aca="false">H45*Pesos!$B$2+I45*Pesos!$B$3+J45*Pesos!$B$4+K45*Pesos!$B$5+L45*Pesos!$B$6+M45*Pesos!$B$7+N45*Pesos!$B$8+O45*Pesos!$B$9+P45*Pesos!$B$10+Q45*Pesos!$B$11+R45*Pesos!$B$12+S45*Pesos!$B$13+T45*Pesos!$B$14+U45*Pesos!$B$15+V45*Pesos!$B$16+W45*Pesos!$B$17+X45*Pesos!$B$18+Y45*Pesos!$B$19+Z45*Pesos!$B$20+AA45*Pesos!$B$21+AB45*Pesos!$B$22+AC45*Pesos!$B$23+AD45*Pesos!$B$24+AE45*Pesos!$B$25+AF45*Pesos!$B$26+AG45*Pesos!$B$27+AH45*Pesos!$B$28+AI45*Pesos!$B$29+AJ45*Pesos!$B$30+AK45*Pesos!$B$31+AL45*Pesos!$B$32+AM45*Pesos!$B$33+AN45*Pesos!$B$34+AO45*Pesos!$B$35+AP45*Pesos!$B$36+AQ45*Pesos!$B$37+AR45*Pesos!$B$38+AS45*Pesos!$B$39+AT45*Pesos!$B$40+AU45*Pesos!$B$41+AV45*Pesos!$B$42+AW45*Pesos!$B$43+AX45*Pesos!$B$44+AY45*Pesos!$B$45+AZ45*Pesos!$B$46+BA45*Pesos!$B$47+BB45*Pesos!$B$48+BC45*Pesos!$B$49+BD45*Pesos!$B$50+BE45*Pesos!$B$51+BF45*Pesos!$B$52+BG45*Pesos!$B$53</f>
        <v>120</v>
      </c>
      <c r="G45" s="6" t="n">
        <f aca="false">E45*F45</f>
        <v>120</v>
      </c>
      <c r="H45" s="3" t="n">
        <v>49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 t="n">
        <v>2</v>
      </c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customFormat="false" ht="15" hidden="false" customHeight="false" outlineLevel="0" collapsed="false">
      <c r="A46" s="3" t="s">
        <v>60</v>
      </c>
      <c r="B46" s="3" t="s">
        <v>83</v>
      </c>
      <c r="C46" s="3" t="s">
        <v>272</v>
      </c>
      <c r="D46" s="3" t="s">
        <v>273</v>
      </c>
      <c r="E46" s="3" t="n">
        <v>1</v>
      </c>
      <c r="F46" s="6" t="n">
        <f aca="false">H46*Pesos!$B$2+I46*Pesos!$B$3+J46*Pesos!$B$4+K46*Pesos!$B$5+L46*Pesos!$B$6+M46*Pesos!$B$7+N46*Pesos!$B$8+O46*Pesos!$B$9+P46*Pesos!$B$10+Q46*Pesos!$B$11+R46*Pesos!$B$12+S46*Pesos!$B$13+T46*Pesos!$B$14+U46*Pesos!$B$15+V46*Pesos!$B$16+W46*Pesos!$B$17+X46*Pesos!$B$18+Y46*Pesos!$B$19+Z46*Pesos!$B$20+AA46*Pesos!$B$21+AB46*Pesos!$B$22+AC46*Pesos!$B$23+AD46*Pesos!$B$24+AE46*Pesos!$B$25+AF46*Pesos!$B$26+AG46*Pesos!$B$27+AH46*Pesos!$B$28+AI46*Pesos!$B$29+AJ46*Pesos!$B$30+AK46*Pesos!$B$31+AL46*Pesos!$B$32+AM46*Pesos!$B$33+AN46*Pesos!$B$34+AO46*Pesos!$B$35+AP46*Pesos!$B$36+AQ46*Pesos!$B$37+AR46*Pesos!$B$38+AS46*Pesos!$B$39+AT46*Pesos!$B$40+AU46*Pesos!$B$41+AV46*Pesos!$B$42+AW46*Pesos!$B$43+AX46*Pesos!$B$44+AY46*Pesos!$B$45+AZ46*Pesos!$B$46+BA46*Pesos!$B$47+BB46*Pesos!$B$48+BC46*Pesos!$B$49+BD46*Pesos!$B$50+BE46*Pesos!$B$51+BF46*Pesos!$B$52+BG46*Pesos!$B$53</f>
        <v>300</v>
      </c>
      <c r="G46" s="6" t="n">
        <f aca="false">E46*F46</f>
        <v>300</v>
      </c>
      <c r="H46" s="3" t="n">
        <v>105</v>
      </c>
      <c r="I46" s="3"/>
      <c r="J46" s="3"/>
      <c r="K46" s="3"/>
      <c r="L46" s="3"/>
      <c r="M46" s="3"/>
      <c r="N46" s="3"/>
      <c r="O46" s="3"/>
      <c r="P46" s="3" t="n">
        <v>1</v>
      </c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customFormat="false" ht="15" hidden="false" customHeight="false" outlineLevel="0" collapsed="false">
      <c r="A47" s="3" t="s">
        <v>60</v>
      </c>
      <c r="B47" s="3" t="s">
        <v>84</v>
      </c>
      <c r="C47" s="3" t="s">
        <v>274</v>
      </c>
      <c r="D47" s="3" t="s">
        <v>275</v>
      </c>
      <c r="E47" s="3" t="n">
        <v>1</v>
      </c>
      <c r="F47" s="6" t="n">
        <f aca="false">H47*Pesos!$B$2+I47*Pesos!$B$3+J47*Pesos!$B$4+K47*Pesos!$B$5+L47*Pesos!$B$6+M47*Pesos!$B$7+N47*Pesos!$B$8+O47*Pesos!$B$9+P47*Pesos!$B$10+Q47*Pesos!$B$11+R47*Pesos!$B$12+S47*Pesos!$B$13+T47*Pesos!$B$14+U47*Pesos!$B$15+V47*Pesos!$B$16+W47*Pesos!$B$17+X47*Pesos!$B$18+Y47*Pesos!$B$19+Z47*Pesos!$B$20+AA47*Pesos!$B$21+AB47*Pesos!$B$22+AC47*Pesos!$B$23+AD47*Pesos!$B$24+AE47*Pesos!$B$25+AF47*Pesos!$B$26+AG47*Pesos!$B$27+AH47*Pesos!$B$28+AI47*Pesos!$B$29+AJ47*Pesos!$B$30+AK47*Pesos!$B$31+AL47*Pesos!$B$32+AM47*Pesos!$B$33+AN47*Pesos!$B$34+AO47*Pesos!$B$35+AP47*Pesos!$B$36+AQ47*Pesos!$B$37+AR47*Pesos!$B$38+AS47*Pesos!$B$39+AT47*Pesos!$B$40+AU47*Pesos!$B$41+AV47*Pesos!$B$42+AW47*Pesos!$B$43+AX47*Pesos!$B$44+AY47*Pesos!$B$45+AZ47*Pesos!$B$46+BA47*Pesos!$B$47+BB47*Pesos!$B$48+BC47*Pesos!$B$49+BD47*Pesos!$B$50+BE47*Pesos!$B$51+BF47*Pesos!$B$52+BG47*Pesos!$B$53</f>
        <v>295</v>
      </c>
      <c r="G47" s="6" t="n">
        <f aca="false">E47*F47</f>
        <v>295</v>
      </c>
      <c r="H47" s="3" t="n">
        <v>49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 t="n">
        <v>5</v>
      </c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 t="n">
        <v>5</v>
      </c>
      <c r="AR47" s="3"/>
      <c r="AS47" s="3" t="n">
        <v>18</v>
      </c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 t="s">
        <v>276</v>
      </c>
      <c r="BI47" s="3"/>
      <c r="BJ47" s="3"/>
      <c r="BK47" s="3"/>
      <c r="BL47" s="3"/>
      <c r="BM47" s="3"/>
    </row>
    <row r="48" customFormat="false" ht="15" hidden="false" customHeight="false" outlineLevel="0" collapsed="false">
      <c r="A48" s="3" t="s">
        <v>60</v>
      </c>
      <c r="B48" s="3" t="s">
        <v>84</v>
      </c>
      <c r="C48" s="3" t="s">
        <v>277</v>
      </c>
      <c r="D48" s="3" t="s">
        <v>278</v>
      </c>
      <c r="E48" s="3" t="n">
        <v>1</v>
      </c>
      <c r="F48" s="6" t="n">
        <f aca="false">H48*Pesos!$B$2+I48*Pesos!$B$3+J48*Pesos!$B$4+K48*Pesos!$B$5+L48*Pesos!$B$6+M48*Pesos!$B$7+N48*Pesos!$B$8+O48*Pesos!$B$9+P48*Pesos!$B$10+Q48*Pesos!$B$11+R48*Pesos!$B$12+S48*Pesos!$B$13+T48*Pesos!$B$14+U48*Pesos!$B$15+V48*Pesos!$B$16+W48*Pesos!$B$17+X48*Pesos!$B$18+Y48*Pesos!$B$19+Z48*Pesos!$B$20+AA48*Pesos!$B$21+AB48*Pesos!$B$22+AC48*Pesos!$B$23+AD48*Pesos!$B$24+AE48*Pesos!$B$25+AF48*Pesos!$B$26+AG48*Pesos!$B$27+AH48*Pesos!$B$28+AI48*Pesos!$B$29+AJ48*Pesos!$B$30+AK48*Pesos!$B$31+AL48*Pesos!$B$32+AM48*Pesos!$B$33+AN48*Pesos!$B$34+AO48*Pesos!$B$35+AP48*Pesos!$B$36+AQ48*Pesos!$B$37+AR48*Pesos!$B$38+AS48*Pesos!$B$39+AT48*Pesos!$B$40+AU48*Pesos!$B$41+AV48*Pesos!$B$42+AW48*Pesos!$B$43+AX48*Pesos!$B$44+AY48*Pesos!$B$45+AZ48*Pesos!$B$46+BA48*Pesos!$B$47+BB48*Pesos!$B$48+BC48*Pesos!$B$49+BD48*Pesos!$B$50+BE48*Pesos!$B$51+BF48*Pesos!$B$52+BG48*Pesos!$B$53</f>
        <v>25</v>
      </c>
      <c r="G48" s="6" t="n">
        <f aca="false">E48*F48</f>
        <v>25</v>
      </c>
      <c r="H48" s="3" t="n">
        <v>49</v>
      </c>
      <c r="I48" s="3"/>
      <c r="J48" s="3"/>
      <c r="K48" s="3"/>
      <c r="L48" s="3"/>
      <c r="M48" s="3"/>
      <c r="N48" s="3"/>
      <c r="O48" s="3"/>
      <c r="P48" s="3"/>
      <c r="Q48" s="3" t="n">
        <v>1</v>
      </c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customFormat="false" ht="15" hidden="false" customHeight="false" outlineLevel="0" collapsed="false">
      <c r="A49" s="3" t="s">
        <v>60</v>
      </c>
      <c r="B49" s="3" t="s">
        <v>84</v>
      </c>
      <c r="C49" s="3" t="s">
        <v>279</v>
      </c>
      <c r="D49" s="3" t="s">
        <v>280</v>
      </c>
      <c r="E49" s="3" t="n">
        <v>1</v>
      </c>
      <c r="F49" s="6" t="n">
        <f aca="false">H49*Pesos!$B$2+I49*Pesos!$B$3+J49*Pesos!$B$4+K49*Pesos!$B$5+L49*Pesos!$B$6+M49*Pesos!$B$7+N49*Pesos!$B$8+O49*Pesos!$B$9+P49*Pesos!$B$10+Q49*Pesos!$B$11+R49*Pesos!$B$12+S49*Pesos!$B$13+T49*Pesos!$B$14+U49*Pesos!$B$15+V49*Pesos!$B$16+W49*Pesos!$B$17+X49*Pesos!$B$18+Y49*Pesos!$B$19+Z49*Pesos!$B$20+AA49*Pesos!$B$21+AB49*Pesos!$B$22+AC49*Pesos!$B$23+AD49*Pesos!$B$24+AE49*Pesos!$B$25+AF49*Pesos!$B$26+AG49*Pesos!$B$27+AH49*Pesos!$B$28+AI49*Pesos!$B$29+AJ49*Pesos!$B$30+AK49*Pesos!$B$31+AL49*Pesos!$B$32+AM49*Pesos!$B$33+AN49*Pesos!$B$34+AO49*Pesos!$B$35+AP49*Pesos!$B$36+AQ49*Pesos!$B$37+AR49*Pesos!$B$38+AS49*Pesos!$B$39+AT49*Pesos!$B$40+AU49*Pesos!$B$41+AV49*Pesos!$B$42+AW49*Pesos!$B$43+AX49*Pesos!$B$44+AY49*Pesos!$B$45+AZ49*Pesos!$B$46+BA49*Pesos!$B$47+BB49*Pesos!$B$48+BC49*Pesos!$B$49+BD49*Pesos!$B$50+BE49*Pesos!$B$51+BF49*Pesos!$B$52+BG49*Pesos!$B$53</f>
        <v>125</v>
      </c>
      <c r="G49" s="6" t="n">
        <f aca="false">E49*F49</f>
        <v>125</v>
      </c>
      <c r="H49" s="3" t="n">
        <v>63</v>
      </c>
      <c r="I49" s="3"/>
      <c r="J49" s="3"/>
      <c r="K49" s="3"/>
      <c r="L49" s="3" t="n">
        <v>50000</v>
      </c>
      <c r="M49" s="3"/>
      <c r="N49" s="3"/>
      <c r="O49" s="3"/>
      <c r="P49" s="3"/>
      <c r="Q49" s="3" t="n">
        <v>1</v>
      </c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customFormat="false" ht="15" hidden="false" customHeight="false" outlineLevel="0" collapsed="false">
      <c r="A50" s="3" t="s">
        <v>60</v>
      </c>
      <c r="B50" s="3" t="s">
        <v>84</v>
      </c>
      <c r="C50" s="3" t="s">
        <v>281</v>
      </c>
      <c r="D50" s="3" t="s">
        <v>282</v>
      </c>
      <c r="E50" s="3" t="n">
        <v>1</v>
      </c>
      <c r="F50" s="6" t="n">
        <f aca="false">H50*Pesos!$B$2+I50*Pesos!$B$3+J50*Pesos!$B$4+K50*Pesos!$B$5+L50*Pesos!$B$6+M50*Pesos!$B$7+N50*Pesos!$B$8+O50*Pesos!$B$9+P50*Pesos!$B$10+Q50*Pesos!$B$11+R50*Pesos!$B$12+S50*Pesos!$B$13+T50*Pesos!$B$14+U50*Pesos!$B$15+V50*Pesos!$B$16+W50*Pesos!$B$17+X50*Pesos!$B$18+Y50*Pesos!$B$19+Z50*Pesos!$B$20+AA50*Pesos!$B$21+AB50*Pesos!$B$22+AC50*Pesos!$B$23+AD50*Pesos!$B$24+AE50*Pesos!$B$25+AF50*Pesos!$B$26+AG50*Pesos!$B$27+AH50*Pesos!$B$28+AI50*Pesos!$B$29+AJ50*Pesos!$B$30+AK50*Pesos!$B$31+AL50*Pesos!$B$32+AM50*Pesos!$B$33+AN50*Pesos!$B$34+AO50*Pesos!$B$35+AP50*Pesos!$B$36+AQ50*Pesos!$B$37+AR50*Pesos!$B$38+AS50*Pesos!$B$39+AT50*Pesos!$B$40+AU50*Pesos!$B$41+AV50*Pesos!$B$42+AW50*Pesos!$B$43+AX50*Pesos!$B$44+AY50*Pesos!$B$45+AZ50*Pesos!$B$46+BA50*Pesos!$B$47+BB50*Pesos!$B$48+BC50*Pesos!$B$49+BD50*Pesos!$B$50+BE50*Pesos!$B$51+BF50*Pesos!$B$52+BG50*Pesos!$B$53</f>
        <v>170</v>
      </c>
      <c r="G50" s="6" t="n">
        <f aca="false">E50*F50</f>
        <v>170</v>
      </c>
      <c r="H50" s="3" t="n">
        <v>49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 t="n">
        <v>10</v>
      </c>
      <c r="AS50" s="3" t="n">
        <v>5</v>
      </c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 t="s">
        <v>282</v>
      </c>
      <c r="BI50" s="3"/>
      <c r="BJ50" s="3"/>
      <c r="BK50" s="3"/>
      <c r="BL50" s="3"/>
      <c r="BM50" s="3"/>
    </row>
    <row r="51" customFormat="false" ht="15" hidden="false" customHeight="false" outlineLevel="0" collapsed="false">
      <c r="A51" s="3" t="s">
        <v>60</v>
      </c>
      <c r="B51" s="3" t="s">
        <v>84</v>
      </c>
      <c r="C51" s="3" t="s">
        <v>283</v>
      </c>
      <c r="D51" s="3" t="s">
        <v>284</v>
      </c>
      <c r="E51" s="3" t="n">
        <v>1</v>
      </c>
      <c r="F51" s="6" t="n">
        <f aca="false">H51*Pesos!$B$2+I51*Pesos!$B$3+J51*Pesos!$B$4+K51*Pesos!$B$5+L51*Pesos!$B$6+M51*Pesos!$B$7+N51*Pesos!$B$8+O51*Pesos!$B$9+P51*Pesos!$B$10+Q51*Pesos!$B$11+R51*Pesos!$B$12+S51*Pesos!$B$13+T51*Pesos!$B$14+U51*Pesos!$B$15+V51*Pesos!$B$16+W51*Pesos!$B$17+X51*Pesos!$B$18+Y51*Pesos!$B$19+Z51*Pesos!$B$20+AA51*Pesos!$B$21+AB51*Pesos!$B$22+AC51*Pesos!$B$23+AD51*Pesos!$B$24+AE51*Pesos!$B$25+AF51*Pesos!$B$26+AG51*Pesos!$B$27+AH51*Pesos!$B$28+AI51*Pesos!$B$29+AJ51*Pesos!$B$30+AK51*Pesos!$B$31+AL51*Pesos!$B$32+AM51*Pesos!$B$33+AN51*Pesos!$B$34+AO51*Pesos!$B$35+AP51*Pesos!$B$36+AQ51*Pesos!$B$37+AR51*Pesos!$B$38+AS51*Pesos!$B$39+AT51*Pesos!$B$40+AU51*Pesos!$B$41+AV51*Pesos!$B$42+AW51*Pesos!$B$43+AX51*Pesos!$B$44+AY51*Pesos!$B$45+AZ51*Pesos!$B$46+BA51*Pesos!$B$47+BB51*Pesos!$B$48+BC51*Pesos!$B$49+BD51*Pesos!$B$50+BE51*Pesos!$B$51+BF51*Pesos!$B$52+BG51*Pesos!$B$53</f>
        <v>75</v>
      </c>
      <c r="G51" s="6" t="n">
        <f aca="false">E51*F51</f>
        <v>75</v>
      </c>
      <c r="H51" s="3" t="n">
        <v>49</v>
      </c>
      <c r="I51" s="3"/>
      <c r="J51" s="3"/>
      <c r="K51" s="3"/>
      <c r="L51" s="3"/>
      <c r="M51" s="3" t="n">
        <v>75</v>
      </c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customFormat="false" ht="15" hidden="false" customHeight="false" outlineLevel="0" collapsed="false">
      <c r="A52" s="3" t="s">
        <v>60</v>
      </c>
      <c r="B52" s="3" t="s">
        <v>84</v>
      </c>
      <c r="C52" s="3" t="s">
        <v>285</v>
      </c>
      <c r="D52" s="3" t="s">
        <v>286</v>
      </c>
      <c r="E52" s="3" t="n">
        <v>1</v>
      </c>
      <c r="F52" s="6" t="n">
        <f aca="false">H52*Pesos!$B$2+I52*Pesos!$B$3+J52*Pesos!$B$4+K52*Pesos!$B$5+L52*Pesos!$B$6+M52*Pesos!$B$7+N52*Pesos!$B$8+O52*Pesos!$B$9+P52*Pesos!$B$10+Q52*Pesos!$B$11+R52*Pesos!$B$12+S52*Pesos!$B$13+T52*Pesos!$B$14+U52*Pesos!$B$15+V52*Pesos!$B$16+W52*Pesos!$B$17+X52*Pesos!$B$18+Y52*Pesos!$B$19+Z52*Pesos!$B$20+AA52*Pesos!$B$21+AB52*Pesos!$B$22+AC52*Pesos!$B$23+AD52*Pesos!$B$24+AE52*Pesos!$B$25+AF52*Pesos!$B$26+AG52*Pesos!$B$27+AH52*Pesos!$B$28+AI52*Pesos!$B$29+AJ52*Pesos!$B$30+AK52*Pesos!$B$31+AL52*Pesos!$B$32+AM52*Pesos!$B$33+AN52*Pesos!$B$34+AO52*Pesos!$B$35+AP52*Pesos!$B$36+AQ52*Pesos!$B$37+AR52*Pesos!$B$38+AS52*Pesos!$B$39+AT52*Pesos!$B$40+AU52*Pesos!$B$41+AV52*Pesos!$B$42+AW52*Pesos!$B$43+AX52*Pesos!$B$44+AY52*Pesos!$B$45+AZ52*Pesos!$B$46+BA52*Pesos!$B$47+BB52*Pesos!$B$48+BC52*Pesos!$B$49+BD52*Pesos!$B$50+BE52*Pesos!$B$51+BF52*Pesos!$B$52+BG52*Pesos!$B$53</f>
        <v>120.6</v>
      </c>
      <c r="G52" s="6" t="n">
        <f aca="false">E52*F52</f>
        <v>120.6</v>
      </c>
      <c r="H52" s="3" t="n">
        <v>84</v>
      </c>
      <c r="I52" s="3"/>
      <c r="J52" s="3"/>
      <c r="K52" s="3"/>
      <c r="L52" s="3"/>
      <c r="M52" s="3"/>
      <c r="N52" s="3"/>
      <c r="O52" s="3"/>
      <c r="P52" s="3"/>
      <c r="Q52" s="3" t="n">
        <v>2</v>
      </c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 t="n">
        <v>-1.2</v>
      </c>
      <c r="AS52" s="3"/>
      <c r="AT52" s="3" t="n">
        <v>10</v>
      </c>
      <c r="AU52" s="3" t="n">
        <v>7</v>
      </c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 t="s">
        <v>286</v>
      </c>
      <c r="BI52" s="3"/>
      <c r="BJ52" s="3" t="s">
        <v>287</v>
      </c>
      <c r="BK52" s="3"/>
      <c r="BL52" s="3"/>
      <c r="BM52" s="3"/>
    </row>
    <row r="53" customFormat="false" ht="15" hidden="false" customHeight="false" outlineLevel="0" collapsed="false">
      <c r="A53" s="3" t="s">
        <v>60</v>
      </c>
      <c r="B53" s="3" t="s">
        <v>85</v>
      </c>
      <c r="C53" s="3" t="s">
        <v>288</v>
      </c>
      <c r="D53" s="3" t="s">
        <v>289</v>
      </c>
      <c r="E53" s="3" t="n">
        <v>1</v>
      </c>
      <c r="F53" s="6" t="n">
        <f aca="false">H53*Pesos!$B$2+I53*Pesos!$B$3+J53*Pesos!$B$4+K53*Pesos!$B$5+L53*Pesos!$B$6+M53*Pesos!$B$7+N53*Pesos!$B$8+O53*Pesos!$B$9+P53*Pesos!$B$10+Q53*Pesos!$B$11+R53*Pesos!$B$12+S53*Pesos!$B$13+T53*Pesos!$B$14+U53*Pesos!$B$15+V53*Pesos!$B$16+W53*Pesos!$B$17+X53*Pesos!$B$18+Y53*Pesos!$B$19+Z53*Pesos!$B$20+AA53*Pesos!$B$21+AB53*Pesos!$B$22+AC53*Pesos!$B$23+AD53*Pesos!$B$24+AE53*Pesos!$B$25+AF53*Pesos!$B$26+AG53*Pesos!$B$27+AH53*Pesos!$B$28+AI53*Pesos!$B$29+AJ53*Pesos!$B$30+AK53*Pesos!$B$31+AL53*Pesos!$B$32+AM53*Pesos!$B$33+AN53*Pesos!$B$34+AO53*Pesos!$B$35+AP53*Pesos!$B$36+AQ53*Pesos!$B$37+AR53*Pesos!$B$38+AS53*Pesos!$B$39+AT53*Pesos!$B$40+AU53*Pesos!$B$41+AV53*Pesos!$B$42+AW53*Pesos!$B$43+AX53*Pesos!$B$44+AY53*Pesos!$B$45+AZ53*Pesos!$B$46+BA53*Pesos!$B$47+BB53*Pesos!$B$48+BC53*Pesos!$B$49+BD53*Pesos!$B$50+BE53*Pesos!$B$51+BF53*Pesos!$B$52+BG53*Pesos!$B$53</f>
        <v>50</v>
      </c>
      <c r="G53" s="6" t="n">
        <f aca="false">E53*F53</f>
        <v>50</v>
      </c>
      <c r="H53" s="3" t="n">
        <v>49</v>
      </c>
      <c r="I53" s="3"/>
      <c r="J53" s="3"/>
      <c r="K53" s="3"/>
      <c r="L53" s="3"/>
      <c r="M53" s="3"/>
      <c r="N53" s="3"/>
      <c r="O53" s="3"/>
      <c r="P53" s="3"/>
      <c r="Q53" s="3" t="n">
        <v>1</v>
      </c>
      <c r="R53" s="3"/>
      <c r="S53" s="3"/>
      <c r="T53" s="3"/>
      <c r="U53" s="3"/>
      <c r="V53" s="3"/>
      <c r="W53" s="3"/>
      <c r="X53" s="3"/>
      <c r="Y53" s="3" t="n">
        <v>50</v>
      </c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customFormat="false" ht="15" hidden="false" customHeight="false" outlineLevel="0" collapsed="false">
      <c r="A54" s="3" t="s">
        <v>60</v>
      </c>
      <c r="B54" s="3" t="s">
        <v>85</v>
      </c>
      <c r="C54" s="3" t="s">
        <v>290</v>
      </c>
      <c r="D54" s="3" t="s">
        <v>291</v>
      </c>
      <c r="E54" s="3" t="n">
        <v>1</v>
      </c>
      <c r="F54" s="6" t="n">
        <f aca="false">H54*Pesos!$B$2+I54*Pesos!$B$3+J54*Pesos!$B$4+K54*Pesos!$B$5+L54*Pesos!$B$6+M54*Pesos!$B$7+N54*Pesos!$B$8+O54*Pesos!$B$9+P54*Pesos!$B$10+Q54*Pesos!$B$11+R54*Pesos!$B$12+S54*Pesos!$B$13+T54*Pesos!$B$14+U54*Pesos!$B$15+V54*Pesos!$B$16+W54*Pesos!$B$17+X54*Pesos!$B$18+Y54*Pesos!$B$19+Z54*Pesos!$B$20+AA54*Pesos!$B$21+AB54*Pesos!$B$22+AC54*Pesos!$B$23+AD54*Pesos!$B$24+AE54*Pesos!$B$25+AF54*Pesos!$B$26+AG54*Pesos!$B$27+AH54*Pesos!$B$28+AI54*Pesos!$B$29+AJ54*Pesos!$B$30+AK54*Pesos!$B$31+AL54*Pesos!$B$32+AM54*Pesos!$B$33+AN54*Pesos!$B$34+AO54*Pesos!$B$35+AP54*Pesos!$B$36+AQ54*Pesos!$B$37+AR54*Pesos!$B$38+AS54*Pesos!$B$39+AT54*Pesos!$B$40+AU54*Pesos!$B$41+AV54*Pesos!$B$42+AW54*Pesos!$B$43+AX54*Pesos!$B$44+AY54*Pesos!$B$45+AZ54*Pesos!$B$46+BA54*Pesos!$B$47+BB54*Pesos!$B$48+BC54*Pesos!$B$49+BD54*Pesos!$B$50+BE54*Pesos!$B$51+BF54*Pesos!$B$52+BG54*Pesos!$B$53</f>
        <v>45</v>
      </c>
      <c r="G54" s="6" t="n">
        <f aca="false">E54*F54</f>
        <v>45</v>
      </c>
      <c r="H54" s="3" t="n">
        <v>49</v>
      </c>
      <c r="I54" s="3"/>
      <c r="J54" s="3"/>
      <c r="K54" s="3"/>
      <c r="L54" s="3"/>
      <c r="M54" s="3"/>
      <c r="N54" s="3"/>
      <c r="O54" s="3" t="n">
        <v>25</v>
      </c>
      <c r="P54" s="3"/>
      <c r="Q54" s="3"/>
      <c r="R54" s="3"/>
      <c r="S54" s="3"/>
      <c r="T54" s="3"/>
      <c r="U54" s="3"/>
      <c r="V54" s="3" t="n">
        <v>2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customFormat="false" ht="15" hidden="false" customHeight="false" outlineLevel="0" collapsed="false">
      <c r="A55" s="3" t="s">
        <v>60</v>
      </c>
      <c r="B55" s="3" t="s">
        <v>85</v>
      </c>
      <c r="C55" s="3" t="s">
        <v>292</v>
      </c>
      <c r="D55" s="3" t="s">
        <v>293</v>
      </c>
      <c r="E55" s="3" t="n">
        <v>1</v>
      </c>
      <c r="F55" s="6" t="n">
        <f aca="false">H55*Pesos!$B$2+I55*Pesos!$B$3+J55*Pesos!$B$4+K55*Pesos!$B$5+L55*Pesos!$B$6+M55*Pesos!$B$7+N55*Pesos!$B$8+O55*Pesos!$B$9+P55*Pesos!$B$10+Q55*Pesos!$B$11+R55*Pesos!$B$12+S55*Pesos!$B$13+T55*Pesos!$B$14+U55*Pesos!$B$15+V55*Pesos!$B$16+W55*Pesos!$B$17+X55*Pesos!$B$18+Y55*Pesos!$B$19+Z55*Pesos!$B$20+AA55*Pesos!$B$21+AB55*Pesos!$B$22+AC55*Pesos!$B$23+AD55*Pesos!$B$24+AE55*Pesos!$B$25+AF55*Pesos!$B$26+AG55*Pesos!$B$27+AH55*Pesos!$B$28+AI55*Pesos!$B$29+AJ55*Pesos!$B$30+AK55*Pesos!$B$31+AL55*Pesos!$B$32+AM55*Pesos!$B$33+AN55*Pesos!$B$34+AO55*Pesos!$B$35+AP55*Pesos!$B$36+AQ55*Pesos!$B$37+AR55*Pesos!$B$38+AS55*Pesos!$B$39+AT55*Pesos!$B$40+AU55*Pesos!$B$41+AV55*Pesos!$B$42+AW55*Pesos!$B$43+AX55*Pesos!$B$44+AY55*Pesos!$B$45+AZ55*Pesos!$B$46+BA55*Pesos!$B$47+BB55*Pesos!$B$48+BC55*Pesos!$B$49+BD55*Pesos!$B$50+BE55*Pesos!$B$51+BF55*Pesos!$B$52+BG55*Pesos!$B$53</f>
        <v>90.2</v>
      </c>
      <c r="G55" s="6" t="n">
        <f aca="false">E55*F55</f>
        <v>90.2</v>
      </c>
      <c r="H55" s="3" t="n">
        <v>63</v>
      </c>
      <c r="I55" s="3"/>
      <c r="J55" s="3"/>
      <c r="K55" s="3"/>
      <c r="L55" s="3"/>
      <c r="M55" s="3"/>
      <c r="N55" s="3"/>
      <c r="O55" s="3"/>
      <c r="P55" s="3"/>
      <c r="Q55" s="3" t="n">
        <v>2</v>
      </c>
      <c r="R55" s="3"/>
      <c r="S55" s="3"/>
      <c r="T55" s="3"/>
      <c r="U55" s="3"/>
      <c r="V55" s="3"/>
      <c r="W55" s="3"/>
      <c r="X55" s="3"/>
      <c r="Y55" s="3" t="n">
        <v>100</v>
      </c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 t="n">
        <v>-0.4</v>
      </c>
      <c r="AS55" s="3"/>
      <c r="AT55" s="3"/>
      <c r="AU55" s="3" t="n">
        <v>-1</v>
      </c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 t="s">
        <v>294</v>
      </c>
      <c r="BK55" s="3"/>
      <c r="BL55" s="3"/>
      <c r="BM55" s="3"/>
    </row>
    <row r="56" customFormat="false" ht="15" hidden="false" customHeight="false" outlineLevel="0" collapsed="false">
      <c r="A56" s="3" t="s">
        <v>60</v>
      </c>
      <c r="B56" s="3" t="s">
        <v>85</v>
      </c>
      <c r="C56" s="3" t="s">
        <v>295</v>
      </c>
      <c r="D56" s="3" t="s">
        <v>296</v>
      </c>
      <c r="E56" s="3" t="n">
        <v>1</v>
      </c>
      <c r="F56" s="6" t="n">
        <f aca="false">H56*Pesos!$B$2+I56*Pesos!$B$3+J56*Pesos!$B$4+K56*Pesos!$B$5+L56*Pesos!$B$6+M56*Pesos!$B$7+N56*Pesos!$B$8+O56*Pesos!$B$9+P56*Pesos!$B$10+Q56*Pesos!$B$11+R56*Pesos!$B$12+S56*Pesos!$B$13+T56*Pesos!$B$14+U56*Pesos!$B$15+V56*Pesos!$B$16+W56*Pesos!$B$17+X56*Pesos!$B$18+Y56*Pesos!$B$19+Z56*Pesos!$B$20+AA56*Pesos!$B$21+AB56*Pesos!$B$22+AC56*Pesos!$B$23+AD56*Pesos!$B$24+AE56*Pesos!$B$25+AF56*Pesos!$B$26+AG56*Pesos!$B$27+AH56*Pesos!$B$28+AI56*Pesos!$B$29+AJ56*Pesos!$B$30+AK56*Pesos!$B$31+AL56*Pesos!$B$32+AM56*Pesos!$B$33+AN56*Pesos!$B$34+AO56*Pesos!$B$35+AP56*Pesos!$B$36+AQ56*Pesos!$B$37+AR56*Pesos!$B$38+AS56*Pesos!$B$39+AT56*Pesos!$B$40+AU56*Pesos!$B$41+AV56*Pesos!$B$42+AW56*Pesos!$B$43+AX56*Pesos!$B$44+AY56*Pesos!$B$45+AZ56*Pesos!$B$46+BA56*Pesos!$B$47+BB56*Pesos!$B$48+BC56*Pesos!$B$49+BD56*Pesos!$B$50+BE56*Pesos!$B$51+BF56*Pesos!$B$52+BG56*Pesos!$B$53</f>
        <v>25</v>
      </c>
      <c r="G56" s="6" t="n">
        <f aca="false">E56*F56</f>
        <v>25</v>
      </c>
      <c r="H56" s="3" t="n">
        <v>49</v>
      </c>
      <c r="I56" s="3"/>
      <c r="J56" s="3"/>
      <c r="K56" s="3"/>
      <c r="L56" s="3"/>
      <c r="M56" s="3"/>
      <c r="N56" s="3"/>
      <c r="O56" s="3"/>
      <c r="P56" s="3"/>
      <c r="Q56" s="3" t="n">
        <v>1</v>
      </c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customFormat="false" ht="15" hidden="false" customHeight="false" outlineLevel="0" collapsed="false">
      <c r="A57" s="3" t="s">
        <v>60</v>
      </c>
      <c r="B57" s="3" t="s">
        <v>85</v>
      </c>
      <c r="C57" s="3" t="s">
        <v>297</v>
      </c>
      <c r="D57" s="3" t="s">
        <v>298</v>
      </c>
      <c r="E57" s="3" t="n">
        <v>1</v>
      </c>
      <c r="F57" s="6" t="n">
        <f aca="false">H57*Pesos!$B$2+I57*Pesos!$B$3+J57*Pesos!$B$4+K57*Pesos!$B$5+L57*Pesos!$B$6+M57*Pesos!$B$7+N57*Pesos!$B$8+O57*Pesos!$B$9+P57*Pesos!$B$10+Q57*Pesos!$B$11+R57*Pesos!$B$12+S57*Pesos!$B$13+T57*Pesos!$B$14+U57*Pesos!$B$15+V57*Pesos!$B$16+W57*Pesos!$B$17+X57*Pesos!$B$18+Y57*Pesos!$B$19+Z57*Pesos!$B$20+AA57*Pesos!$B$21+AB57*Pesos!$B$22+AC57*Pesos!$B$23+AD57*Pesos!$B$24+AE57*Pesos!$B$25+AF57*Pesos!$B$26+AG57*Pesos!$B$27+AH57*Pesos!$B$28+AI57*Pesos!$B$29+AJ57*Pesos!$B$30+AK57*Pesos!$B$31+AL57*Pesos!$B$32+AM57*Pesos!$B$33+AN57*Pesos!$B$34+AO57*Pesos!$B$35+AP57*Pesos!$B$36+AQ57*Pesos!$B$37+AR57*Pesos!$B$38+AS57*Pesos!$B$39+AT57*Pesos!$B$40+AU57*Pesos!$B$41+AV57*Pesos!$B$42+AW57*Pesos!$B$43+AX57*Pesos!$B$44+AY57*Pesos!$B$45+AZ57*Pesos!$B$46+BA57*Pesos!$B$47+BB57*Pesos!$B$48+BC57*Pesos!$B$49+BD57*Pesos!$B$50+BE57*Pesos!$B$51+BF57*Pesos!$B$52+BG57*Pesos!$B$53</f>
        <v>90</v>
      </c>
      <c r="G57" s="6" t="n">
        <f aca="false">E57*F57</f>
        <v>90</v>
      </c>
      <c r="H57" s="3" t="n">
        <v>49</v>
      </c>
      <c r="I57" s="3"/>
      <c r="J57" s="3"/>
      <c r="K57" s="3" t="n">
        <v>5</v>
      </c>
      <c r="L57" s="3"/>
      <c r="M57" s="3"/>
      <c r="N57" s="3"/>
      <c r="O57" s="3" t="n">
        <v>50</v>
      </c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customFormat="false" ht="15" hidden="false" customHeight="false" outlineLevel="0" collapsed="false">
      <c r="A58" s="3" t="s">
        <v>60</v>
      </c>
      <c r="B58" s="3" t="s">
        <v>85</v>
      </c>
      <c r="C58" s="3" t="s">
        <v>299</v>
      </c>
      <c r="D58" s="3" t="s">
        <v>300</v>
      </c>
      <c r="E58" s="3" t="n">
        <v>1</v>
      </c>
      <c r="F58" s="6" t="n">
        <f aca="false">H58*Pesos!$B$2+I58*Pesos!$B$3+J58*Pesos!$B$4+K58*Pesos!$B$5+L58*Pesos!$B$6+M58*Pesos!$B$7+N58*Pesos!$B$8+O58*Pesos!$B$9+P58*Pesos!$B$10+Q58*Pesos!$B$11+R58*Pesos!$B$12+S58*Pesos!$B$13+T58*Pesos!$B$14+U58*Pesos!$B$15+V58*Pesos!$B$16+W58*Pesos!$B$17+X58*Pesos!$B$18+Y58*Pesos!$B$19+Z58*Pesos!$B$20+AA58*Pesos!$B$21+AB58*Pesos!$B$22+AC58*Pesos!$B$23+AD58*Pesos!$B$24+AE58*Pesos!$B$25+AF58*Pesos!$B$26+AG58*Pesos!$B$27+AH58*Pesos!$B$28+AI58*Pesos!$B$29+AJ58*Pesos!$B$30+AK58*Pesos!$B$31+AL58*Pesos!$B$32+AM58*Pesos!$B$33+AN58*Pesos!$B$34+AO58*Pesos!$B$35+AP58*Pesos!$B$36+AQ58*Pesos!$B$37+AR58*Pesos!$B$38+AS58*Pesos!$B$39+AT58*Pesos!$B$40+AU58*Pesos!$B$41+AV58*Pesos!$B$42+AW58*Pesos!$B$43+AX58*Pesos!$B$44+AY58*Pesos!$B$45+AZ58*Pesos!$B$46+BA58*Pesos!$B$47+BB58*Pesos!$B$48+BC58*Pesos!$B$49+BD58*Pesos!$B$50+BE58*Pesos!$B$51+BF58*Pesos!$B$52+BG58*Pesos!$B$53</f>
        <v>145</v>
      </c>
      <c r="G58" s="6" t="n">
        <f aca="false">E58*F58</f>
        <v>145</v>
      </c>
      <c r="H58" s="3" t="n">
        <v>84</v>
      </c>
      <c r="I58" s="3"/>
      <c r="J58" s="3"/>
      <c r="K58" s="3"/>
      <c r="L58" s="3"/>
      <c r="M58" s="3"/>
      <c r="N58" s="3"/>
      <c r="O58" s="3"/>
      <c r="P58" s="3"/>
      <c r="Q58" s="3" t="n">
        <v>1</v>
      </c>
      <c r="R58" s="3"/>
      <c r="S58" s="3"/>
      <c r="T58" s="3" t="n">
        <v>2</v>
      </c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customFormat="false" ht="15" hidden="false" customHeight="false" outlineLevel="0" collapsed="false">
      <c r="A59" s="3" t="s">
        <v>60</v>
      </c>
      <c r="B59" s="3" t="s">
        <v>86</v>
      </c>
      <c r="C59" s="3" t="s">
        <v>301</v>
      </c>
      <c r="D59" s="3" t="s">
        <v>302</v>
      </c>
      <c r="E59" s="3" t="n">
        <v>1</v>
      </c>
      <c r="F59" s="6" t="n">
        <f aca="false">H59*Pesos!$B$2+I59*Pesos!$B$3+J59*Pesos!$B$4+K59*Pesos!$B$5+L59*Pesos!$B$6+M59*Pesos!$B$7+N59*Pesos!$B$8+O59*Pesos!$B$9+P59*Pesos!$B$10+Q59*Pesos!$B$11+R59*Pesos!$B$12+S59*Pesos!$B$13+T59*Pesos!$B$14+U59*Pesos!$B$15+V59*Pesos!$B$16+W59*Pesos!$B$17+X59*Pesos!$B$18+Y59*Pesos!$B$19+Z59*Pesos!$B$20+AA59*Pesos!$B$21+AB59*Pesos!$B$22+AC59*Pesos!$B$23+AD59*Pesos!$B$24+AE59*Pesos!$B$25+AF59*Pesos!$B$26+AG59*Pesos!$B$27+AH59*Pesos!$B$28+AI59*Pesos!$B$29+AJ59*Pesos!$B$30+AK59*Pesos!$B$31+AL59*Pesos!$B$32+AM59*Pesos!$B$33+AN59*Pesos!$B$34+AO59*Pesos!$B$35+AP59*Pesos!$B$36+AQ59*Pesos!$B$37+AR59*Pesos!$B$38+AS59*Pesos!$B$39+AT59*Pesos!$B$40+AU59*Pesos!$B$41+AV59*Pesos!$B$42+AW59*Pesos!$B$43+AX59*Pesos!$B$44+AY59*Pesos!$B$45+AZ59*Pesos!$B$46+BA59*Pesos!$B$47+BB59*Pesos!$B$48+BC59*Pesos!$B$49+BD59*Pesos!$B$50+BE59*Pesos!$B$51+BF59*Pesos!$B$52+BG59*Pesos!$B$53</f>
        <v>6.8</v>
      </c>
      <c r="G59" s="6" t="n">
        <f aca="false">E59*F59</f>
        <v>6.8</v>
      </c>
      <c r="H59" s="3" t="n">
        <v>35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 t="n">
        <v>-0.3</v>
      </c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 t="n">
        <v>0.4</v>
      </c>
      <c r="AS59" s="3"/>
      <c r="AT59" s="3"/>
      <c r="AU59" s="3" t="n">
        <v>1</v>
      </c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 t="s">
        <v>228</v>
      </c>
      <c r="BK59" s="3"/>
      <c r="BL59" s="3"/>
      <c r="BM59" s="3"/>
    </row>
    <row r="60" customFormat="false" ht="15" hidden="false" customHeight="false" outlineLevel="0" collapsed="false">
      <c r="A60" s="3" t="s">
        <v>60</v>
      </c>
      <c r="B60" s="3" t="s">
        <v>86</v>
      </c>
      <c r="C60" s="3" t="s">
        <v>303</v>
      </c>
      <c r="D60" s="3" t="s">
        <v>304</v>
      </c>
      <c r="E60" s="3" t="n">
        <v>1</v>
      </c>
      <c r="F60" s="6" t="n">
        <f aca="false">H60*Pesos!$B$2+I60*Pesos!$B$3+J60*Pesos!$B$4+K60*Pesos!$B$5+L60*Pesos!$B$6+M60*Pesos!$B$7+N60*Pesos!$B$8+O60*Pesos!$B$9+P60*Pesos!$B$10+Q60*Pesos!$B$11+R60*Pesos!$B$12+S60*Pesos!$B$13+T60*Pesos!$B$14+U60*Pesos!$B$15+V60*Pesos!$B$16+W60*Pesos!$B$17+X60*Pesos!$B$18+Y60*Pesos!$B$19+Z60*Pesos!$B$20+AA60*Pesos!$B$21+AB60*Pesos!$B$22+AC60*Pesos!$B$23+AD60*Pesos!$B$24+AE60*Pesos!$B$25+AF60*Pesos!$B$26+AG60*Pesos!$B$27+AH60*Pesos!$B$28+AI60*Pesos!$B$29+AJ60*Pesos!$B$30+AK60*Pesos!$B$31+AL60*Pesos!$B$32+AM60*Pesos!$B$33+AN60*Pesos!$B$34+AO60*Pesos!$B$35+AP60*Pesos!$B$36+AQ60*Pesos!$B$37+AR60*Pesos!$B$38+AS60*Pesos!$B$39+AT60*Pesos!$B$40+AU60*Pesos!$B$41+AV60*Pesos!$B$42+AW60*Pesos!$B$43+AX60*Pesos!$B$44+AY60*Pesos!$B$45+AZ60*Pesos!$B$46+BA60*Pesos!$B$47+BB60*Pesos!$B$48+BC60*Pesos!$B$49+BD60*Pesos!$B$50+BE60*Pesos!$B$51+BF60*Pesos!$B$52+BG60*Pesos!$B$53</f>
        <v>25</v>
      </c>
      <c r="G60" s="6" t="n">
        <f aca="false">E60*F60</f>
        <v>25</v>
      </c>
      <c r="H60" s="3" t="n">
        <v>63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 t="n">
        <v>5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 t="s">
        <v>305</v>
      </c>
      <c r="BI60" s="3"/>
      <c r="BJ60" s="3"/>
      <c r="BK60" s="3"/>
      <c r="BL60" s="3"/>
      <c r="BM60" s="3"/>
    </row>
    <row r="61" customFormat="false" ht="15" hidden="false" customHeight="false" outlineLevel="0" collapsed="false">
      <c r="A61" s="3" t="s">
        <v>60</v>
      </c>
      <c r="B61" s="3" t="s">
        <v>86</v>
      </c>
      <c r="C61" s="3" t="s">
        <v>306</v>
      </c>
      <c r="D61" s="3" t="s">
        <v>307</v>
      </c>
      <c r="E61" s="3" t="n">
        <v>1</v>
      </c>
      <c r="F61" s="6" t="n">
        <f aca="false">H61*Pesos!$B$2+I61*Pesos!$B$3+J61*Pesos!$B$4+K61*Pesos!$B$5+L61*Pesos!$B$6+M61*Pesos!$B$7+N61*Pesos!$B$8+O61*Pesos!$B$9+P61*Pesos!$B$10+Q61*Pesos!$B$11+R61*Pesos!$B$12+S61*Pesos!$B$13+T61*Pesos!$B$14+U61*Pesos!$B$15+V61*Pesos!$B$16+W61*Pesos!$B$17+X61*Pesos!$B$18+Y61*Pesos!$B$19+Z61*Pesos!$B$20+AA61*Pesos!$B$21+AB61*Pesos!$B$22+AC61*Pesos!$B$23+AD61*Pesos!$B$24+AE61*Pesos!$B$25+AF61*Pesos!$B$26+AG61*Pesos!$B$27+AH61*Pesos!$B$28+AI61*Pesos!$B$29+AJ61*Pesos!$B$30+AK61*Pesos!$B$31+AL61*Pesos!$B$32+AM61*Pesos!$B$33+AN61*Pesos!$B$34+AO61*Pesos!$B$35+AP61*Pesos!$B$36+AQ61*Pesos!$B$37+AR61*Pesos!$B$38+AS61*Pesos!$B$39+AT61*Pesos!$B$40+AU61*Pesos!$B$41+AV61*Pesos!$B$42+AW61*Pesos!$B$43+AX61*Pesos!$B$44+AY61*Pesos!$B$45+AZ61*Pesos!$B$46+BA61*Pesos!$B$47+BB61*Pesos!$B$48+BC61*Pesos!$B$49+BD61*Pesos!$B$50+BE61*Pesos!$B$51+BF61*Pesos!$B$52+BG61*Pesos!$B$53</f>
        <v>63.6</v>
      </c>
      <c r="G61" s="6" t="n">
        <f aca="false">E61*F61</f>
        <v>63.6</v>
      </c>
      <c r="H61" s="3" t="n">
        <v>49</v>
      </c>
      <c r="I61" s="3" t="n">
        <v>50</v>
      </c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 t="n">
        <v>-0.6</v>
      </c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 t="n">
        <v>0.8</v>
      </c>
      <c r="AS61" s="3"/>
      <c r="AT61" s="3"/>
      <c r="AU61" s="3" t="n">
        <v>2</v>
      </c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 t="s">
        <v>176</v>
      </c>
      <c r="BK61" s="3"/>
      <c r="BL61" s="3"/>
      <c r="BM61" s="3"/>
    </row>
    <row r="62" customFormat="false" ht="15" hidden="false" customHeight="false" outlineLevel="0" collapsed="false">
      <c r="A62" s="3" t="s">
        <v>60</v>
      </c>
      <c r="B62" s="3" t="s">
        <v>86</v>
      </c>
      <c r="C62" s="3" t="s">
        <v>308</v>
      </c>
      <c r="D62" s="3" t="s">
        <v>309</v>
      </c>
      <c r="E62" s="3" t="n">
        <v>1</v>
      </c>
      <c r="F62" s="6" t="n">
        <f aca="false">H62*Pesos!$B$2+I62*Pesos!$B$3+J62*Pesos!$B$4+K62*Pesos!$B$5+L62*Pesos!$B$6+M62*Pesos!$B$7+N62*Pesos!$B$8+O62*Pesos!$B$9+P62*Pesos!$B$10+Q62*Pesos!$B$11+R62*Pesos!$B$12+S62*Pesos!$B$13+T62*Pesos!$B$14+U62*Pesos!$B$15+V62*Pesos!$B$16+W62*Pesos!$B$17+X62*Pesos!$B$18+Y62*Pesos!$B$19+Z62*Pesos!$B$20+AA62*Pesos!$B$21+AB62*Pesos!$B$22+AC62*Pesos!$B$23+AD62*Pesos!$B$24+AE62*Pesos!$B$25+AF62*Pesos!$B$26+AG62*Pesos!$B$27+AH62*Pesos!$B$28+AI62*Pesos!$B$29+AJ62*Pesos!$B$30+AK62*Pesos!$B$31+AL62*Pesos!$B$32+AM62*Pesos!$B$33+AN62*Pesos!$B$34+AO62*Pesos!$B$35+AP62*Pesos!$B$36+AQ62*Pesos!$B$37+AR62*Pesos!$B$38+AS62*Pesos!$B$39+AT62*Pesos!$B$40+AU62*Pesos!$B$41+AV62*Pesos!$B$42+AW62*Pesos!$B$43+AX62*Pesos!$B$44+AY62*Pesos!$B$45+AZ62*Pesos!$B$46+BA62*Pesos!$B$47+BB62*Pesos!$B$48+BC62*Pesos!$B$49+BD62*Pesos!$B$50+BE62*Pesos!$B$51+BF62*Pesos!$B$52+BG62*Pesos!$B$53</f>
        <v>50</v>
      </c>
      <c r="G62" s="6" t="n">
        <f aca="false">E62*F62</f>
        <v>50</v>
      </c>
      <c r="H62" s="3" t="n">
        <v>63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 t="n">
        <v>5</v>
      </c>
      <c r="AK62" s="3"/>
      <c r="AL62" s="3"/>
      <c r="AM62" s="3"/>
      <c r="AN62" s="3"/>
      <c r="AO62" s="3"/>
      <c r="AP62" s="3"/>
      <c r="AQ62" s="3"/>
      <c r="AR62" s="3"/>
      <c r="AS62" s="3"/>
      <c r="AT62" s="3" t="n">
        <v>5</v>
      </c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 t="s">
        <v>310</v>
      </c>
      <c r="BI62" s="3"/>
      <c r="BJ62" s="3"/>
      <c r="BK62" s="3"/>
      <c r="BL62" s="3"/>
      <c r="BM62" s="3"/>
    </row>
    <row r="63" customFormat="false" ht="15" hidden="false" customHeight="false" outlineLevel="0" collapsed="false">
      <c r="A63" s="3" t="s">
        <v>60</v>
      </c>
      <c r="B63" s="3" t="s">
        <v>86</v>
      </c>
      <c r="C63" s="3" t="s">
        <v>311</v>
      </c>
      <c r="D63" s="3" t="s">
        <v>312</v>
      </c>
      <c r="E63" s="3" t="n">
        <v>1</v>
      </c>
      <c r="F63" s="6" t="n">
        <f aca="false">H63*Pesos!$B$2+I63*Pesos!$B$3+J63*Pesos!$B$4+K63*Pesos!$B$5+L63*Pesos!$B$6+M63*Pesos!$B$7+N63*Pesos!$B$8+O63*Pesos!$B$9+P63*Pesos!$B$10+Q63*Pesos!$B$11+R63*Pesos!$B$12+S63*Pesos!$B$13+T63*Pesos!$B$14+U63*Pesos!$B$15+V63*Pesos!$B$16+W63*Pesos!$B$17+X63*Pesos!$B$18+Y63*Pesos!$B$19+Z63*Pesos!$B$20+AA63*Pesos!$B$21+AB63*Pesos!$B$22+AC63*Pesos!$B$23+AD63*Pesos!$B$24+AE63*Pesos!$B$25+AF63*Pesos!$B$26+AG63*Pesos!$B$27+AH63*Pesos!$B$28+AI63*Pesos!$B$29+AJ63*Pesos!$B$30+AK63*Pesos!$B$31+AL63*Pesos!$B$32+AM63*Pesos!$B$33+AN63*Pesos!$B$34+AO63*Pesos!$B$35+AP63*Pesos!$B$36+AQ63*Pesos!$B$37+AR63*Pesos!$B$38+AS63*Pesos!$B$39+AT63*Pesos!$B$40+AU63*Pesos!$B$41+AV63*Pesos!$B$42+AW63*Pesos!$B$43+AX63*Pesos!$B$44+AY63*Pesos!$B$45+AZ63*Pesos!$B$46+BA63*Pesos!$B$47+BB63*Pesos!$B$48+BC63*Pesos!$B$49+BD63*Pesos!$B$50+BE63*Pesos!$B$51+BF63*Pesos!$B$52+BG63*Pesos!$B$53</f>
        <v>100</v>
      </c>
      <c r="G63" s="6" t="n">
        <f aca="false">E63*F63</f>
        <v>100</v>
      </c>
      <c r="H63" s="3" t="n">
        <v>49</v>
      </c>
      <c r="I63" s="3" t="n">
        <v>100</v>
      </c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customFormat="false" ht="15" hidden="false" customHeight="false" outlineLevel="0" collapsed="false">
      <c r="A64" s="3" t="s">
        <v>60</v>
      </c>
      <c r="B64" s="3" t="s">
        <v>86</v>
      </c>
      <c r="C64" s="3" t="s">
        <v>313</v>
      </c>
      <c r="D64" s="3" t="s">
        <v>314</v>
      </c>
      <c r="E64" s="3" t="n">
        <v>1</v>
      </c>
      <c r="F64" s="6" t="n">
        <f aca="false">H64*Pesos!$B$2+I64*Pesos!$B$3+J64*Pesos!$B$4+K64*Pesos!$B$5+L64*Pesos!$B$6+M64*Pesos!$B$7+N64*Pesos!$B$8+O64*Pesos!$B$9+P64*Pesos!$B$10+Q64*Pesos!$B$11+R64*Pesos!$B$12+S64*Pesos!$B$13+T64*Pesos!$B$14+U64*Pesos!$B$15+V64*Pesos!$B$16+W64*Pesos!$B$17+X64*Pesos!$B$18+Y64*Pesos!$B$19+Z64*Pesos!$B$20+AA64*Pesos!$B$21+AB64*Pesos!$B$22+AC64*Pesos!$B$23+AD64*Pesos!$B$24+AE64*Pesos!$B$25+AF64*Pesos!$B$26+AG64*Pesos!$B$27+AH64*Pesos!$B$28+AI64*Pesos!$B$29+AJ64*Pesos!$B$30+AK64*Pesos!$B$31+AL64*Pesos!$B$32+AM64*Pesos!$B$33+AN64*Pesos!$B$34+AO64*Pesos!$B$35+AP64*Pesos!$B$36+AQ64*Pesos!$B$37+AR64*Pesos!$B$38+AS64*Pesos!$B$39+AT64*Pesos!$B$40+AU64*Pesos!$B$41+AV64*Pesos!$B$42+AW64*Pesos!$B$43+AX64*Pesos!$B$44+AY64*Pesos!$B$45+AZ64*Pesos!$B$46+BA64*Pesos!$B$47+BB64*Pesos!$B$48+BC64*Pesos!$B$49+BD64*Pesos!$B$50+BE64*Pesos!$B$51+BF64*Pesos!$B$52+BG64*Pesos!$B$53</f>
        <v>100</v>
      </c>
      <c r="G64" s="6" t="n">
        <f aca="false">E64*F64</f>
        <v>100</v>
      </c>
      <c r="H64" s="3" t="n">
        <v>84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 t="n">
        <v>5</v>
      </c>
      <c r="AK64" s="3"/>
      <c r="AL64" s="3"/>
      <c r="AM64" s="3"/>
      <c r="AN64" s="3"/>
      <c r="AO64" s="3"/>
      <c r="AP64" s="3"/>
      <c r="AQ64" s="3"/>
      <c r="AR64" s="3"/>
      <c r="AS64" s="3"/>
      <c r="AT64" s="3" t="n">
        <v>5</v>
      </c>
      <c r="AU64" s="3" t="n">
        <v>10</v>
      </c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 t="s">
        <v>315</v>
      </c>
      <c r="BI64" s="3"/>
      <c r="BJ64" s="3"/>
      <c r="BK64" s="3"/>
      <c r="BL64" s="3"/>
      <c r="BM64" s="3"/>
    </row>
    <row r="65" customFormat="false" ht="15" hidden="false" customHeight="false" outlineLevel="0" collapsed="false">
      <c r="A65" s="3" t="s">
        <v>60</v>
      </c>
      <c r="B65" s="3" t="s">
        <v>86</v>
      </c>
      <c r="C65" s="3" t="s">
        <v>316</v>
      </c>
      <c r="D65" s="3" t="s">
        <v>317</v>
      </c>
      <c r="E65" s="3" t="n">
        <v>1</v>
      </c>
      <c r="F65" s="6" t="n">
        <f aca="false">H65*Pesos!$B$2+I65*Pesos!$B$3+J65*Pesos!$B$4+K65*Pesos!$B$5+L65*Pesos!$B$6+M65*Pesos!$B$7+N65*Pesos!$B$8+O65*Pesos!$B$9+P65*Pesos!$B$10+Q65*Pesos!$B$11+R65*Pesos!$B$12+S65*Pesos!$B$13+T65*Pesos!$B$14+U65*Pesos!$B$15+V65*Pesos!$B$16+W65*Pesos!$B$17+X65*Pesos!$B$18+Y65*Pesos!$B$19+Z65*Pesos!$B$20+AA65*Pesos!$B$21+AB65*Pesos!$B$22+AC65*Pesos!$B$23+AD65*Pesos!$B$24+AE65*Pesos!$B$25+AF65*Pesos!$B$26+AG65*Pesos!$B$27+AH65*Pesos!$B$28+AI65*Pesos!$B$29+AJ65*Pesos!$B$30+AK65*Pesos!$B$31+AL65*Pesos!$B$32+AM65*Pesos!$B$33+AN65*Pesos!$B$34+AO65*Pesos!$B$35+AP65*Pesos!$B$36+AQ65*Pesos!$B$37+AR65*Pesos!$B$38+AS65*Pesos!$B$39+AT65*Pesos!$B$40+AU65*Pesos!$B$41+AV65*Pesos!$B$42+AW65*Pesos!$B$43+AX65*Pesos!$B$44+AY65*Pesos!$B$45+AZ65*Pesos!$B$46+BA65*Pesos!$B$47+BB65*Pesos!$B$48+BC65*Pesos!$B$49+BD65*Pesos!$B$50+BE65*Pesos!$B$51+BF65*Pesos!$B$52+BG65*Pesos!$B$53</f>
        <v>-41</v>
      </c>
      <c r="G65" s="6" t="n">
        <f aca="false">E65*F65</f>
        <v>-41</v>
      </c>
      <c r="H65" s="3" t="n">
        <v>105</v>
      </c>
      <c r="I65" s="3"/>
      <c r="J65" s="3"/>
      <c r="K65" s="3"/>
      <c r="L65" s="3"/>
      <c r="M65" s="3"/>
      <c r="N65" s="3"/>
      <c r="O65" s="3"/>
      <c r="P65" s="3" t="n">
        <v>1</v>
      </c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 t="n">
        <v>-6.5</v>
      </c>
      <c r="AC65" s="3"/>
      <c r="AD65" s="3"/>
      <c r="AE65" s="3"/>
      <c r="AF65" s="3"/>
      <c r="AG65" s="3" t="n">
        <v>-10</v>
      </c>
      <c r="AH65" s="3"/>
      <c r="AI65" s="3"/>
      <c r="AJ65" s="3" t="n">
        <v>-5</v>
      </c>
      <c r="AK65" s="3"/>
      <c r="AL65" s="3"/>
      <c r="AM65" s="3"/>
      <c r="AN65" s="3"/>
      <c r="AO65" s="3"/>
      <c r="AP65" s="3"/>
      <c r="AQ65" s="3"/>
      <c r="AR65" s="3" t="n">
        <v>2</v>
      </c>
      <c r="AS65" s="3"/>
      <c r="AT65" s="3"/>
      <c r="AU65" s="3" t="n">
        <v>5</v>
      </c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 t="s">
        <v>318</v>
      </c>
      <c r="BK65" s="3"/>
      <c r="BL65" s="3"/>
      <c r="BM65" s="3"/>
    </row>
    <row r="66" customFormat="false" ht="15" hidden="false" customHeight="false" outlineLevel="0" collapsed="false">
      <c r="A66" s="3" t="s">
        <v>60</v>
      </c>
      <c r="B66" s="3" t="s">
        <v>87</v>
      </c>
      <c r="C66" s="3" t="s">
        <v>319</v>
      </c>
      <c r="D66" s="3" t="s">
        <v>320</v>
      </c>
      <c r="E66" s="3" t="n">
        <v>1</v>
      </c>
      <c r="F66" s="6" t="n">
        <f aca="false">H66*Pesos!$B$2+I66*Pesos!$B$3+J66*Pesos!$B$4+K66*Pesos!$B$5+L66*Pesos!$B$6+M66*Pesos!$B$7+N66*Pesos!$B$8+O66*Pesos!$B$9+P66*Pesos!$B$10+Q66*Pesos!$B$11+R66*Pesos!$B$12+S66*Pesos!$B$13+T66*Pesos!$B$14+U66*Pesos!$B$15+V66*Pesos!$B$16+W66*Pesos!$B$17+X66*Pesos!$B$18+Y66*Pesos!$B$19+Z66*Pesos!$B$20+AA66*Pesos!$B$21+AB66*Pesos!$B$22+AC66*Pesos!$B$23+AD66*Pesos!$B$24+AE66*Pesos!$B$25+AF66*Pesos!$B$26+AG66*Pesos!$B$27+AH66*Pesos!$B$28+AI66*Pesos!$B$29+AJ66*Pesos!$B$30+AK66*Pesos!$B$31+AL66*Pesos!$B$32+AM66*Pesos!$B$33+AN66*Pesos!$B$34+AO66*Pesos!$B$35+AP66*Pesos!$B$36+AQ66*Pesos!$B$37+AR66*Pesos!$B$38+AS66*Pesos!$B$39+AT66*Pesos!$B$40+AU66*Pesos!$B$41+AV66*Pesos!$B$42+AW66*Pesos!$B$43+AX66*Pesos!$B$44+AY66*Pesos!$B$45+AZ66*Pesos!$B$46+BA66*Pesos!$B$47+BB66*Pesos!$B$48+BC66*Pesos!$B$49+BD66*Pesos!$B$50+BE66*Pesos!$B$51+BF66*Pesos!$B$52+BG66*Pesos!$B$53</f>
        <v>515</v>
      </c>
      <c r="G66" s="6" t="n">
        <f aca="false">E66*F66</f>
        <v>515</v>
      </c>
      <c r="H66" s="3" t="n">
        <v>49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 t="n">
        <v>11.5</v>
      </c>
      <c r="AC66" s="3"/>
      <c r="AD66" s="3"/>
      <c r="AE66" s="3"/>
      <c r="AF66" s="3"/>
      <c r="AG66" s="3" t="n">
        <v>10</v>
      </c>
      <c r="AH66" s="3"/>
      <c r="AI66" s="3" t="n">
        <v>5</v>
      </c>
      <c r="AJ66" s="3" t="n">
        <v>5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 t="s">
        <v>321</v>
      </c>
      <c r="BI66" s="3"/>
      <c r="BJ66" s="3" t="s">
        <v>322</v>
      </c>
      <c r="BK66" s="3"/>
      <c r="BL66" s="3"/>
      <c r="BM66" s="3"/>
    </row>
    <row r="67" customFormat="false" ht="15" hidden="false" customHeight="false" outlineLevel="0" collapsed="false">
      <c r="A67" s="3" t="s">
        <v>60</v>
      </c>
      <c r="B67" s="3" t="s">
        <v>87</v>
      </c>
      <c r="C67" s="3" t="s">
        <v>323</v>
      </c>
      <c r="D67" s="3" t="s">
        <v>324</v>
      </c>
      <c r="E67" s="3" t="n">
        <v>1</v>
      </c>
      <c r="F67" s="6" t="n">
        <f aca="false">H67*Pesos!$B$2+I67*Pesos!$B$3+J67*Pesos!$B$4+K67*Pesos!$B$5+L67*Pesos!$B$6+M67*Pesos!$B$7+N67*Pesos!$B$8+O67*Pesos!$B$9+P67*Pesos!$B$10+Q67*Pesos!$B$11+R67*Pesos!$B$12+S67*Pesos!$B$13+T67*Pesos!$B$14+U67*Pesos!$B$15+V67*Pesos!$B$16+W67*Pesos!$B$17+X67*Pesos!$B$18+Y67*Pesos!$B$19+Z67*Pesos!$B$20+AA67*Pesos!$B$21+AB67*Pesos!$B$22+AC67*Pesos!$B$23+AD67*Pesos!$B$24+AE67*Pesos!$B$25+AF67*Pesos!$B$26+AG67*Pesos!$B$27+AH67*Pesos!$B$28+AI67*Pesos!$B$29+AJ67*Pesos!$B$30+AK67*Pesos!$B$31+AL67*Pesos!$B$32+AM67*Pesos!$B$33+AN67*Pesos!$B$34+AO67*Pesos!$B$35+AP67*Pesos!$B$36+AQ67*Pesos!$B$37+AR67*Pesos!$B$38+AS67*Pesos!$B$39+AT67*Pesos!$B$40+AU67*Pesos!$B$41+AV67*Pesos!$B$42+AW67*Pesos!$B$43+AX67*Pesos!$B$44+AY67*Pesos!$B$45+AZ67*Pesos!$B$46+BA67*Pesos!$B$47+BB67*Pesos!$B$48+BC67*Pesos!$B$49+BD67*Pesos!$B$50+BE67*Pesos!$B$51+BF67*Pesos!$B$52+BG67*Pesos!$B$53</f>
        <v>35</v>
      </c>
      <c r="G67" s="6" t="n">
        <f aca="false">E67*F67</f>
        <v>35</v>
      </c>
      <c r="H67" s="3" t="n">
        <v>49</v>
      </c>
      <c r="I67" s="3"/>
      <c r="J67" s="3"/>
      <c r="K67" s="3"/>
      <c r="L67" s="3"/>
      <c r="M67" s="3"/>
      <c r="N67" s="3"/>
      <c r="O67" s="3"/>
      <c r="P67" s="3"/>
      <c r="Q67" s="3" t="n">
        <v>1</v>
      </c>
      <c r="R67" s="3"/>
      <c r="S67" s="3"/>
      <c r="T67" s="3"/>
      <c r="U67" s="3"/>
      <c r="V67" s="3"/>
      <c r="W67" s="3"/>
      <c r="X67" s="3"/>
      <c r="Y67" s="3"/>
      <c r="Z67" s="3"/>
      <c r="AA67" s="3"/>
      <c r="AB67" s="3" t="n">
        <v>1</v>
      </c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 t="s">
        <v>260</v>
      </c>
      <c r="BK67" s="3"/>
      <c r="BL67" s="3"/>
      <c r="BM67" s="3"/>
    </row>
    <row r="68" customFormat="false" ht="15" hidden="false" customHeight="false" outlineLevel="0" collapsed="false">
      <c r="A68" s="3" t="s">
        <v>60</v>
      </c>
      <c r="B68" s="3" t="s">
        <v>87</v>
      </c>
      <c r="C68" s="3" t="s">
        <v>325</v>
      </c>
      <c r="D68" s="3" t="s">
        <v>326</v>
      </c>
      <c r="E68" s="3" t="n">
        <v>1</v>
      </c>
      <c r="F68" s="6" t="n">
        <f aca="false">H68*Pesos!$B$2+I68*Pesos!$B$3+J68*Pesos!$B$4+K68*Pesos!$B$5+L68*Pesos!$B$6+M68*Pesos!$B$7+N68*Pesos!$B$8+O68*Pesos!$B$9+P68*Pesos!$B$10+Q68*Pesos!$B$11+R68*Pesos!$B$12+S68*Pesos!$B$13+T68*Pesos!$B$14+U68*Pesos!$B$15+V68*Pesos!$B$16+W68*Pesos!$B$17+X68*Pesos!$B$18+Y68*Pesos!$B$19+Z68*Pesos!$B$20+AA68*Pesos!$B$21+AB68*Pesos!$B$22+AC68*Pesos!$B$23+AD68*Pesos!$B$24+AE68*Pesos!$B$25+AF68*Pesos!$B$26+AG68*Pesos!$B$27+AH68*Pesos!$B$28+AI68*Pesos!$B$29+AJ68*Pesos!$B$30+AK68*Pesos!$B$31+AL68*Pesos!$B$32+AM68*Pesos!$B$33+AN68*Pesos!$B$34+AO68*Pesos!$B$35+AP68*Pesos!$B$36+AQ68*Pesos!$B$37+AR68*Pesos!$B$38+AS68*Pesos!$B$39+AT68*Pesos!$B$40+AU68*Pesos!$B$41+AV68*Pesos!$B$42+AW68*Pesos!$B$43+AX68*Pesos!$B$44+AY68*Pesos!$B$45+AZ68*Pesos!$B$46+BA68*Pesos!$B$47+BB68*Pesos!$B$48+BC68*Pesos!$B$49+BD68*Pesos!$B$50+BE68*Pesos!$B$51+BF68*Pesos!$B$52+BG68*Pesos!$B$53</f>
        <v>210</v>
      </c>
      <c r="G68" s="6" t="n">
        <f aca="false">E68*F68</f>
        <v>210</v>
      </c>
      <c r="H68" s="3" t="n">
        <v>63</v>
      </c>
      <c r="I68" s="3"/>
      <c r="J68" s="3"/>
      <c r="K68" s="3"/>
      <c r="L68" s="3"/>
      <c r="M68" s="3"/>
      <c r="N68" s="3"/>
      <c r="O68" s="3"/>
      <c r="P68" s="3"/>
      <c r="Q68" s="3"/>
      <c r="R68" s="3" t="n">
        <v>2</v>
      </c>
      <c r="S68" s="3"/>
      <c r="T68" s="3"/>
      <c r="U68" s="3"/>
      <c r="V68" s="3"/>
      <c r="W68" s="3"/>
      <c r="X68" s="3"/>
      <c r="Y68" s="3"/>
      <c r="Z68" s="3"/>
      <c r="AA68" s="3"/>
      <c r="AB68" s="3" t="n">
        <v>1</v>
      </c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 t="s">
        <v>260</v>
      </c>
      <c r="BK68" s="3"/>
      <c r="BL68" s="3"/>
      <c r="BM68" s="3"/>
    </row>
    <row r="69" customFormat="false" ht="15" hidden="false" customHeight="false" outlineLevel="0" collapsed="false">
      <c r="A69" s="3" t="s">
        <v>60</v>
      </c>
      <c r="B69" s="3" t="s">
        <v>87</v>
      </c>
      <c r="C69" s="3" t="s">
        <v>327</v>
      </c>
      <c r="D69" s="3" t="s">
        <v>328</v>
      </c>
      <c r="E69" s="3" t="n">
        <v>1</v>
      </c>
      <c r="F69" s="6" t="n">
        <f aca="false">H69*Pesos!$B$2+I69*Pesos!$B$3+J69*Pesos!$B$4+K69*Pesos!$B$5+L69*Pesos!$B$6+M69*Pesos!$B$7+N69*Pesos!$B$8+O69*Pesos!$B$9+P69*Pesos!$B$10+Q69*Pesos!$B$11+R69*Pesos!$B$12+S69*Pesos!$B$13+T69*Pesos!$B$14+U69*Pesos!$B$15+V69*Pesos!$B$16+W69*Pesos!$B$17+X69*Pesos!$B$18+Y69*Pesos!$B$19+Z69*Pesos!$B$20+AA69*Pesos!$B$21+AB69*Pesos!$B$22+AC69*Pesos!$B$23+AD69*Pesos!$B$24+AE69*Pesos!$B$25+AF69*Pesos!$B$26+AG69*Pesos!$B$27+AH69*Pesos!$B$28+AI69*Pesos!$B$29+AJ69*Pesos!$B$30+AK69*Pesos!$B$31+AL69*Pesos!$B$32+AM69*Pesos!$B$33+AN69*Pesos!$B$34+AO69*Pesos!$B$35+AP69*Pesos!$B$36+AQ69*Pesos!$B$37+AR69*Pesos!$B$38+AS69*Pesos!$B$39+AT69*Pesos!$B$40+AU69*Pesos!$B$41+AV69*Pesos!$B$42+AW69*Pesos!$B$43+AX69*Pesos!$B$44+AY69*Pesos!$B$45+AZ69*Pesos!$B$46+BA69*Pesos!$B$47+BB69*Pesos!$B$48+BC69*Pesos!$B$49+BD69*Pesos!$B$50+BE69*Pesos!$B$51+BF69*Pesos!$B$52+BG69*Pesos!$B$53</f>
        <v>75</v>
      </c>
      <c r="G69" s="6" t="n">
        <f aca="false">E69*F69</f>
        <v>75</v>
      </c>
      <c r="H69" s="3" t="n">
        <v>84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 t="n">
        <v>10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 t="n">
        <v>5</v>
      </c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 t="s">
        <v>328</v>
      </c>
      <c r="BI69" s="3"/>
      <c r="BJ69" s="3"/>
      <c r="BK69" s="3"/>
      <c r="BL69" s="3"/>
      <c r="BM69" s="3"/>
    </row>
    <row r="70" customFormat="false" ht="15" hidden="false" customHeight="false" outlineLevel="0" collapsed="false">
      <c r="A70" s="3" t="s">
        <v>60</v>
      </c>
      <c r="B70" s="3" t="s">
        <v>87</v>
      </c>
      <c r="C70" s="3" t="s">
        <v>329</v>
      </c>
      <c r="D70" s="3" t="s">
        <v>330</v>
      </c>
      <c r="E70" s="3" t="n">
        <v>1</v>
      </c>
      <c r="F70" s="6" t="n">
        <f aca="false">H70*Pesos!$B$2+I70*Pesos!$B$3+J70*Pesos!$B$4+K70*Pesos!$B$5+L70*Pesos!$B$6+M70*Pesos!$B$7+N70*Pesos!$B$8+O70*Pesos!$B$9+P70*Pesos!$B$10+Q70*Pesos!$B$11+R70*Pesos!$B$12+S70*Pesos!$B$13+T70*Pesos!$B$14+U70*Pesos!$B$15+V70*Pesos!$B$16+W70*Pesos!$B$17+X70*Pesos!$B$18+Y70*Pesos!$B$19+Z70*Pesos!$B$20+AA70*Pesos!$B$21+AB70*Pesos!$B$22+AC70*Pesos!$B$23+AD70*Pesos!$B$24+AE70*Pesos!$B$25+AF70*Pesos!$B$26+AG70*Pesos!$B$27+AH70*Pesos!$B$28+AI70*Pesos!$B$29+AJ70*Pesos!$B$30+AK70*Pesos!$B$31+AL70*Pesos!$B$32+AM70*Pesos!$B$33+AN70*Pesos!$B$34+AO70*Pesos!$B$35+AP70*Pesos!$B$36+AQ70*Pesos!$B$37+AR70*Pesos!$B$38+AS70*Pesos!$B$39+AT70*Pesos!$B$40+AU70*Pesos!$B$41+AV70*Pesos!$B$42+AW70*Pesos!$B$43+AX70*Pesos!$B$44+AY70*Pesos!$B$45+AZ70*Pesos!$B$46+BA70*Pesos!$B$47+BB70*Pesos!$B$48+BC70*Pesos!$B$49+BD70*Pesos!$B$50+BE70*Pesos!$B$51+BF70*Pesos!$B$52+BG70*Pesos!$B$53</f>
        <v>100</v>
      </c>
      <c r="G70" s="6" t="n">
        <f aca="false">E70*F70</f>
        <v>100</v>
      </c>
      <c r="H70" s="3" t="n">
        <v>63</v>
      </c>
      <c r="I70" s="3" t="n">
        <v>100</v>
      </c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 t="s">
        <v>331</v>
      </c>
      <c r="BL70" s="3"/>
      <c r="BM70" s="3"/>
    </row>
    <row r="71" customFormat="false" ht="15" hidden="false" customHeight="false" outlineLevel="0" collapsed="false">
      <c r="A71" s="3" t="s">
        <v>60</v>
      </c>
      <c r="B71" s="3" t="s">
        <v>87</v>
      </c>
      <c r="C71" s="3" t="s">
        <v>332</v>
      </c>
      <c r="D71" s="3" t="s">
        <v>333</v>
      </c>
      <c r="E71" s="3" t="n">
        <v>1</v>
      </c>
      <c r="F71" s="6" t="n">
        <f aca="false">H71*Pesos!$B$2+I71*Pesos!$B$3+J71*Pesos!$B$4+K71*Pesos!$B$5+L71*Pesos!$B$6+M71*Pesos!$B$7+N71*Pesos!$B$8+O71*Pesos!$B$9+P71*Pesos!$B$10+Q71*Pesos!$B$11+R71*Pesos!$B$12+S71*Pesos!$B$13+T71*Pesos!$B$14+U71*Pesos!$B$15+V71*Pesos!$B$16+W71*Pesos!$B$17+X71*Pesos!$B$18+Y71*Pesos!$B$19+Z71*Pesos!$B$20+AA71*Pesos!$B$21+AB71*Pesos!$B$22+AC71*Pesos!$B$23+AD71*Pesos!$B$24+AE71*Pesos!$B$25+AF71*Pesos!$B$26+AG71*Pesos!$B$27+AH71*Pesos!$B$28+AI71*Pesos!$B$29+AJ71*Pesos!$B$30+AK71*Pesos!$B$31+AL71*Pesos!$B$32+AM71*Pesos!$B$33+AN71*Pesos!$B$34+AO71*Pesos!$B$35+AP71*Pesos!$B$36+AQ71*Pesos!$B$37+AR71*Pesos!$B$38+AS71*Pesos!$B$39+AT71*Pesos!$B$40+AU71*Pesos!$B$41+AV71*Pesos!$B$42+AW71*Pesos!$B$43+AX71*Pesos!$B$44+AY71*Pesos!$B$45+AZ71*Pesos!$B$46+BA71*Pesos!$B$47+BB71*Pesos!$B$48+BC71*Pesos!$B$49+BD71*Pesos!$B$50+BE71*Pesos!$B$51+BF71*Pesos!$B$52+BG71*Pesos!$B$53</f>
        <v>150</v>
      </c>
      <c r="G71" s="6" t="n">
        <f aca="false">E71*F71</f>
        <v>150</v>
      </c>
      <c r="H71" s="3" t="n">
        <v>105</v>
      </c>
      <c r="I71" s="3"/>
      <c r="J71" s="3"/>
      <c r="K71" s="3"/>
      <c r="L71" s="3"/>
      <c r="M71" s="3"/>
      <c r="N71" s="3"/>
      <c r="O71" s="3"/>
      <c r="P71" s="3"/>
      <c r="Q71" s="3" t="n">
        <v>1</v>
      </c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 t="n">
        <v>5</v>
      </c>
      <c r="AK71" s="3"/>
      <c r="AL71" s="3"/>
      <c r="AM71" s="3"/>
      <c r="AN71" s="3"/>
      <c r="AO71" s="3"/>
      <c r="AP71" s="3"/>
      <c r="AQ71" s="3"/>
      <c r="AR71" s="3"/>
      <c r="AS71" s="3"/>
      <c r="AT71" s="3" t="n">
        <v>10</v>
      </c>
      <c r="AU71" s="3" t="n">
        <v>10</v>
      </c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 t="s">
        <v>333</v>
      </c>
      <c r="BI71" s="3"/>
      <c r="BJ71" s="3"/>
      <c r="BK71" s="3"/>
      <c r="BL71" s="3"/>
      <c r="BM71" s="3"/>
    </row>
    <row r="72" customFormat="false" ht="15" hidden="false" customHeight="false" outlineLevel="0" collapsed="false">
      <c r="A72" s="3" t="s">
        <v>61</v>
      </c>
      <c r="B72" s="3" t="s">
        <v>88</v>
      </c>
      <c r="C72" s="3" t="s">
        <v>334</v>
      </c>
      <c r="D72" s="3" t="s">
        <v>335</v>
      </c>
      <c r="E72" s="3" t="n">
        <v>1</v>
      </c>
      <c r="F72" s="6" t="n">
        <f aca="false">H72*Pesos!$B$2+I72*Pesos!$B$3+J72*Pesos!$B$4+K72*Pesos!$B$5+L72*Pesos!$B$6+M72*Pesos!$B$7+N72*Pesos!$B$8+O72*Pesos!$B$9+P72*Pesos!$B$10+Q72*Pesos!$B$11+R72*Pesos!$B$12+S72*Pesos!$B$13+T72*Pesos!$B$14+U72*Pesos!$B$15+V72*Pesos!$B$16+W72*Pesos!$B$17+X72*Pesos!$B$18+Y72*Pesos!$B$19+Z72*Pesos!$B$20+AA72*Pesos!$B$21+AB72*Pesos!$B$22+AC72*Pesos!$B$23+AD72*Pesos!$B$24+AE72*Pesos!$B$25+AF72*Pesos!$B$26+AG72*Pesos!$B$27+AH72*Pesos!$B$28+AI72*Pesos!$B$29+AJ72*Pesos!$B$30+AK72*Pesos!$B$31+AL72*Pesos!$B$32+AM72*Pesos!$B$33+AN72*Pesos!$B$34+AO72*Pesos!$B$35+AP72*Pesos!$B$36+AQ72*Pesos!$B$37+AR72*Pesos!$B$38+AS72*Pesos!$B$39+AT72*Pesos!$B$40+AU72*Pesos!$B$41+AV72*Pesos!$B$42+AW72*Pesos!$B$43+AX72*Pesos!$B$44+AY72*Pesos!$B$45+AZ72*Pesos!$B$46+BA72*Pesos!$B$47+BB72*Pesos!$B$48+BC72*Pesos!$B$49+BD72*Pesos!$B$50+BE72*Pesos!$B$51+BF72*Pesos!$B$52+BG72*Pesos!$B$53</f>
        <v>130</v>
      </c>
      <c r="G72" s="6" t="n">
        <f aca="false">E72*F72</f>
        <v>130</v>
      </c>
      <c r="H72" s="3" t="n">
        <v>49</v>
      </c>
      <c r="I72" s="3" t="n">
        <v>100</v>
      </c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 t="n">
        <v>0.75</v>
      </c>
      <c r="AH72" s="3"/>
      <c r="AI72" s="3" t="n">
        <v>0.5</v>
      </c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 t="s">
        <v>336</v>
      </c>
      <c r="BK72" s="3"/>
      <c r="BL72" s="3"/>
      <c r="BM72" s="3"/>
    </row>
    <row r="73" customFormat="false" ht="15" hidden="false" customHeight="false" outlineLevel="0" collapsed="false">
      <c r="A73" s="3" t="s">
        <v>61</v>
      </c>
      <c r="B73" s="3" t="s">
        <v>88</v>
      </c>
      <c r="C73" s="3" t="s">
        <v>337</v>
      </c>
      <c r="D73" s="3" t="s">
        <v>338</v>
      </c>
      <c r="E73" s="3" t="n">
        <v>1</v>
      </c>
      <c r="F73" s="6" t="n">
        <f aca="false">H73*Pesos!$B$2+I73*Pesos!$B$3+J73*Pesos!$B$4+K73*Pesos!$B$5+L73*Pesos!$B$6+M73*Pesos!$B$7+N73*Pesos!$B$8+O73*Pesos!$B$9+P73*Pesos!$B$10+Q73*Pesos!$B$11+R73*Pesos!$B$12+S73*Pesos!$B$13+T73*Pesos!$B$14+U73*Pesos!$B$15+V73*Pesos!$B$16+W73*Pesos!$B$17+X73*Pesos!$B$18+Y73*Pesos!$B$19+Z73*Pesos!$B$20+AA73*Pesos!$B$21+AB73*Pesos!$B$22+AC73*Pesos!$B$23+AD73*Pesos!$B$24+AE73*Pesos!$B$25+AF73*Pesos!$B$26+AG73*Pesos!$B$27+AH73*Pesos!$B$28+AI73*Pesos!$B$29+AJ73*Pesos!$B$30+AK73*Pesos!$B$31+AL73*Pesos!$B$32+AM73*Pesos!$B$33+AN73*Pesos!$B$34+AO73*Pesos!$B$35+AP73*Pesos!$B$36+AQ73*Pesos!$B$37+AR73*Pesos!$B$38+AS73*Pesos!$B$39+AT73*Pesos!$B$40+AU73*Pesos!$B$41+AV73*Pesos!$B$42+AW73*Pesos!$B$43+AX73*Pesos!$B$44+AY73*Pesos!$B$45+AZ73*Pesos!$B$46+BA73*Pesos!$B$47+BB73*Pesos!$B$48+BC73*Pesos!$B$49+BD73*Pesos!$B$50+BE73*Pesos!$B$51+BF73*Pesos!$B$52+BG73*Pesos!$B$53</f>
        <v>100</v>
      </c>
      <c r="G73" s="6" t="n">
        <f aca="false">E73*F73</f>
        <v>100</v>
      </c>
      <c r="H73" s="3" t="n">
        <v>49</v>
      </c>
      <c r="I73" s="3" t="n">
        <v>100</v>
      </c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customFormat="false" ht="15" hidden="false" customHeight="false" outlineLevel="0" collapsed="false">
      <c r="A74" s="3" t="s">
        <v>61</v>
      </c>
      <c r="B74" s="3" t="s">
        <v>88</v>
      </c>
      <c r="C74" s="3" t="s">
        <v>339</v>
      </c>
      <c r="D74" s="3" t="s">
        <v>340</v>
      </c>
      <c r="E74" s="3" t="n">
        <v>0.5</v>
      </c>
      <c r="F74" s="6" t="n">
        <f aca="false">H74*Pesos!$B$2+I74*Pesos!$B$3+J74*Pesos!$B$4+K74*Pesos!$B$5+L74*Pesos!$B$6+M74*Pesos!$B$7+N74*Pesos!$B$8+O74*Pesos!$B$9+P74*Pesos!$B$10+Q74*Pesos!$B$11+R74*Pesos!$B$12+S74*Pesos!$B$13+T74*Pesos!$B$14+U74*Pesos!$B$15+V74*Pesos!$B$16+W74*Pesos!$B$17+X74*Pesos!$B$18+Y74*Pesos!$B$19+Z74*Pesos!$B$20+AA74*Pesos!$B$21+AB74*Pesos!$B$22+AC74*Pesos!$B$23+AD74*Pesos!$B$24+AE74*Pesos!$B$25+AF74*Pesos!$B$26+AG74*Pesos!$B$27+AH74*Pesos!$B$28+AI74*Pesos!$B$29+AJ74*Pesos!$B$30+AK74*Pesos!$B$31+AL74*Pesos!$B$32+AM74*Pesos!$B$33+AN74*Pesos!$B$34+AO74*Pesos!$B$35+AP74*Pesos!$B$36+AQ74*Pesos!$B$37+AR74*Pesos!$B$38+AS74*Pesos!$B$39+AT74*Pesos!$B$40+AU74*Pesos!$B$41+AV74*Pesos!$B$42+AW74*Pesos!$B$43+AX74*Pesos!$B$44+AY74*Pesos!$B$45+AZ74*Pesos!$B$46+BA74*Pesos!$B$47+BB74*Pesos!$B$48+BC74*Pesos!$B$49+BD74*Pesos!$B$50+BE74*Pesos!$B$51+BF74*Pesos!$B$52+BG74*Pesos!$B$53</f>
        <v>100</v>
      </c>
      <c r="G74" s="6" t="n">
        <f aca="false">E74*F74</f>
        <v>50</v>
      </c>
      <c r="H74" s="3" t="n">
        <v>49</v>
      </c>
      <c r="I74" s="3" t="n">
        <v>100</v>
      </c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 t="s">
        <v>341</v>
      </c>
      <c r="BL74" s="3"/>
      <c r="BM74" s="3" t="s">
        <v>342</v>
      </c>
    </row>
    <row r="75" customFormat="false" ht="15" hidden="false" customHeight="false" outlineLevel="0" collapsed="false">
      <c r="A75" s="3" t="s">
        <v>61</v>
      </c>
      <c r="B75" s="3" t="s">
        <v>88</v>
      </c>
      <c r="C75" s="3" t="s">
        <v>343</v>
      </c>
      <c r="D75" s="3" t="s">
        <v>344</v>
      </c>
      <c r="E75" s="3" t="n">
        <v>0.5</v>
      </c>
      <c r="F75" s="6" t="n">
        <f aca="false">H75*Pesos!$B$2+I75*Pesos!$B$3+J75*Pesos!$B$4+K75*Pesos!$B$5+L75*Pesos!$B$6+M75*Pesos!$B$7+N75*Pesos!$B$8+O75*Pesos!$B$9+P75*Pesos!$B$10+Q75*Pesos!$B$11+R75*Pesos!$B$12+S75*Pesos!$B$13+T75*Pesos!$B$14+U75*Pesos!$B$15+V75*Pesos!$B$16+W75*Pesos!$B$17+X75*Pesos!$B$18+Y75*Pesos!$B$19+Z75*Pesos!$B$20+AA75*Pesos!$B$21+AB75*Pesos!$B$22+AC75*Pesos!$B$23+AD75*Pesos!$B$24+AE75*Pesos!$B$25+AF75*Pesos!$B$26+AG75*Pesos!$B$27+AH75*Pesos!$B$28+AI75*Pesos!$B$29+AJ75*Pesos!$B$30+AK75*Pesos!$B$31+AL75*Pesos!$B$32+AM75*Pesos!$B$33+AN75*Pesos!$B$34+AO75*Pesos!$B$35+AP75*Pesos!$B$36+AQ75*Pesos!$B$37+AR75*Pesos!$B$38+AS75*Pesos!$B$39+AT75*Pesos!$B$40+AU75*Pesos!$B$41+AV75*Pesos!$B$42+AW75*Pesos!$B$43+AX75*Pesos!$B$44+AY75*Pesos!$B$45+AZ75*Pesos!$B$46+BA75*Pesos!$B$47+BB75*Pesos!$B$48+BC75*Pesos!$B$49+BD75*Pesos!$B$50+BE75*Pesos!$B$51+BF75*Pesos!$B$52+BG75*Pesos!$B$53</f>
        <v>123</v>
      </c>
      <c r="G75" s="6" t="n">
        <f aca="false">E75*F75</f>
        <v>61.5</v>
      </c>
      <c r="H75" s="3" t="n">
        <v>49</v>
      </c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 t="n">
        <v>0.1</v>
      </c>
      <c r="AB75" s="3" t="n">
        <v>5</v>
      </c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 t="s">
        <v>344</v>
      </c>
      <c r="BI75" s="3"/>
      <c r="BJ75" s="3"/>
      <c r="BK75" s="3"/>
      <c r="BL75" s="3"/>
      <c r="BM75" s="3"/>
    </row>
    <row r="76" customFormat="false" ht="15" hidden="false" customHeight="false" outlineLevel="0" collapsed="false">
      <c r="A76" s="3" t="s">
        <v>61</v>
      </c>
      <c r="B76" s="3" t="s">
        <v>88</v>
      </c>
      <c r="C76" s="3" t="s">
        <v>345</v>
      </c>
      <c r="D76" s="3" t="s">
        <v>346</v>
      </c>
      <c r="E76" s="3" t="n">
        <v>0.5</v>
      </c>
      <c r="F76" s="6" t="n">
        <f aca="false">H76*Pesos!$B$2+I76*Pesos!$B$3+J76*Pesos!$B$4+K76*Pesos!$B$5+L76*Pesos!$B$6+M76*Pesos!$B$7+N76*Pesos!$B$8+O76*Pesos!$B$9+P76*Pesos!$B$10+Q76*Pesos!$B$11+R76*Pesos!$B$12+S76*Pesos!$B$13+T76*Pesos!$B$14+U76*Pesos!$B$15+V76*Pesos!$B$16+W76*Pesos!$B$17+X76*Pesos!$B$18+Y76*Pesos!$B$19+Z76*Pesos!$B$20+AA76*Pesos!$B$21+AB76*Pesos!$B$22+AC76*Pesos!$B$23+AD76*Pesos!$B$24+AE76*Pesos!$B$25+AF76*Pesos!$B$26+AG76*Pesos!$B$27+AH76*Pesos!$B$28+AI76*Pesos!$B$29+AJ76*Pesos!$B$30+AK76*Pesos!$B$31+AL76*Pesos!$B$32+AM76*Pesos!$B$33+AN76*Pesos!$B$34+AO76*Pesos!$B$35+AP76*Pesos!$B$36+AQ76*Pesos!$B$37+AR76*Pesos!$B$38+AS76*Pesos!$B$39+AT76*Pesos!$B$40+AU76*Pesos!$B$41+AV76*Pesos!$B$42+AW76*Pesos!$B$43+AX76*Pesos!$B$44+AY76*Pesos!$B$45+AZ76*Pesos!$B$46+BA76*Pesos!$B$47+BB76*Pesos!$B$48+BC76*Pesos!$B$49+BD76*Pesos!$B$50+BE76*Pesos!$B$51+BF76*Pesos!$B$52+BG76*Pesos!$B$53</f>
        <v>100</v>
      </c>
      <c r="G76" s="6" t="n">
        <f aca="false">E76*F76</f>
        <v>50</v>
      </c>
      <c r="H76" s="3" t="n">
        <v>63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 t="n">
        <v>10</v>
      </c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 t="s">
        <v>346</v>
      </c>
      <c r="BI76" s="3"/>
      <c r="BJ76" s="3"/>
      <c r="BK76" s="3"/>
      <c r="BL76" s="3"/>
      <c r="BM76" s="3"/>
    </row>
    <row r="77" customFormat="false" ht="15" hidden="false" customHeight="false" outlineLevel="0" collapsed="false">
      <c r="A77" s="3" t="s">
        <v>61</v>
      </c>
      <c r="B77" s="3" t="s">
        <v>88</v>
      </c>
      <c r="C77" s="3" t="s">
        <v>347</v>
      </c>
      <c r="D77" s="3" t="s">
        <v>348</v>
      </c>
      <c r="E77" s="3" t="n">
        <v>0.5</v>
      </c>
      <c r="F77" s="6" t="n">
        <f aca="false">H77*Pesos!$B$2+I77*Pesos!$B$3+J77*Pesos!$B$4+K77*Pesos!$B$5+L77*Pesos!$B$6+M77*Pesos!$B$7+N77*Pesos!$B$8+O77*Pesos!$B$9+P77*Pesos!$B$10+Q77*Pesos!$B$11+R77*Pesos!$B$12+S77*Pesos!$B$13+T77*Pesos!$B$14+U77*Pesos!$B$15+V77*Pesos!$B$16+W77*Pesos!$B$17+X77*Pesos!$B$18+Y77*Pesos!$B$19+Z77*Pesos!$B$20+AA77*Pesos!$B$21+AB77*Pesos!$B$22+AC77*Pesos!$B$23+AD77*Pesos!$B$24+AE77*Pesos!$B$25+AF77*Pesos!$B$26+AG77*Pesos!$B$27+AH77*Pesos!$B$28+AI77*Pesos!$B$29+AJ77*Pesos!$B$30+AK77*Pesos!$B$31+AL77*Pesos!$B$32+AM77*Pesos!$B$33+AN77*Pesos!$B$34+AO77*Pesos!$B$35+AP77*Pesos!$B$36+AQ77*Pesos!$B$37+AR77*Pesos!$B$38+AS77*Pesos!$B$39+AT77*Pesos!$B$40+AU77*Pesos!$B$41+AV77*Pesos!$B$42+AW77*Pesos!$B$43+AX77*Pesos!$B$44+AY77*Pesos!$B$45+AZ77*Pesos!$B$46+BA77*Pesos!$B$47+BB77*Pesos!$B$48+BC77*Pesos!$B$49+BD77*Pesos!$B$50+BE77*Pesos!$B$51+BF77*Pesos!$B$52+BG77*Pesos!$B$53</f>
        <v>123</v>
      </c>
      <c r="G77" s="6" t="n">
        <f aca="false">E77*F77</f>
        <v>61.5</v>
      </c>
      <c r="H77" s="3" t="n">
        <v>63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 t="n">
        <v>0.1</v>
      </c>
      <c r="AB77" s="3" t="n">
        <v>5</v>
      </c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 t="s">
        <v>349</v>
      </c>
      <c r="BI77" s="3"/>
      <c r="BJ77" s="3"/>
      <c r="BK77" s="3"/>
      <c r="BL77" s="3"/>
      <c r="BM77" s="3"/>
    </row>
    <row r="78" customFormat="false" ht="15" hidden="false" customHeight="false" outlineLevel="0" collapsed="false">
      <c r="A78" s="3" t="s">
        <v>61</v>
      </c>
      <c r="B78" s="3" t="s">
        <v>88</v>
      </c>
      <c r="C78" s="3" t="s">
        <v>350</v>
      </c>
      <c r="D78" s="3" t="s">
        <v>351</v>
      </c>
      <c r="E78" s="3" t="n">
        <v>0.5</v>
      </c>
      <c r="F78" s="6" t="n">
        <f aca="false">H78*Pesos!$B$2+I78*Pesos!$B$3+J78*Pesos!$B$4+K78*Pesos!$B$5+L78*Pesos!$B$6+M78*Pesos!$B$7+N78*Pesos!$B$8+O78*Pesos!$B$9+P78*Pesos!$B$10+Q78*Pesos!$B$11+R78*Pesos!$B$12+S78*Pesos!$B$13+T78*Pesos!$B$14+U78*Pesos!$B$15+V78*Pesos!$B$16+W78*Pesos!$B$17+X78*Pesos!$B$18+Y78*Pesos!$B$19+Z78*Pesos!$B$20+AA78*Pesos!$B$21+AB78*Pesos!$B$22+AC78*Pesos!$B$23+AD78*Pesos!$B$24+AE78*Pesos!$B$25+AF78*Pesos!$B$26+AG78*Pesos!$B$27+AH78*Pesos!$B$28+AI78*Pesos!$B$29+AJ78*Pesos!$B$30+AK78*Pesos!$B$31+AL78*Pesos!$B$32+AM78*Pesos!$B$33+AN78*Pesos!$B$34+AO78*Pesos!$B$35+AP78*Pesos!$B$36+AQ78*Pesos!$B$37+AR78*Pesos!$B$38+AS78*Pesos!$B$39+AT78*Pesos!$B$40+AU78*Pesos!$B$41+AV78*Pesos!$B$42+AW78*Pesos!$B$43+AX78*Pesos!$B$44+AY78*Pesos!$B$45+AZ78*Pesos!$B$46+BA78*Pesos!$B$47+BB78*Pesos!$B$48+BC78*Pesos!$B$49+BD78*Pesos!$B$50+BE78*Pesos!$B$51+BF78*Pesos!$B$52+BG78*Pesos!$B$53</f>
        <v>30</v>
      </c>
      <c r="G78" s="6" t="n">
        <f aca="false">E78*F78</f>
        <v>15</v>
      </c>
      <c r="H78" s="3" t="n">
        <v>49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 t="n">
        <v>5</v>
      </c>
      <c r="AC78" s="3" t="n">
        <v>-5</v>
      </c>
      <c r="AD78" s="3"/>
      <c r="AE78" s="3" t="n">
        <v>20</v>
      </c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 t="s">
        <v>351</v>
      </c>
      <c r="BI78" s="3"/>
      <c r="BJ78" s="3"/>
      <c r="BK78" s="3"/>
      <c r="BL78" s="3"/>
      <c r="BM78" s="3"/>
    </row>
    <row r="79" customFormat="false" ht="15" hidden="false" customHeight="false" outlineLevel="0" collapsed="false">
      <c r="A79" s="3" t="s">
        <v>61</v>
      </c>
      <c r="B79" s="3" t="s">
        <v>88</v>
      </c>
      <c r="C79" s="3" t="s">
        <v>352</v>
      </c>
      <c r="D79" s="3" t="s">
        <v>353</v>
      </c>
      <c r="E79" s="3" t="n">
        <v>0.5</v>
      </c>
      <c r="F79" s="6" t="n">
        <f aca="false">H79*Pesos!$B$2+I79*Pesos!$B$3+J79*Pesos!$B$4+K79*Pesos!$B$5+L79*Pesos!$B$6+M79*Pesos!$B$7+N79*Pesos!$B$8+O79*Pesos!$B$9+P79*Pesos!$B$10+Q79*Pesos!$B$11+R79*Pesos!$B$12+S79*Pesos!$B$13+T79*Pesos!$B$14+U79*Pesos!$B$15+V79*Pesos!$B$16+W79*Pesos!$B$17+X79*Pesos!$B$18+Y79*Pesos!$B$19+Z79*Pesos!$B$20+AA79*Pesos!$B$21+AB79*Pesos!$B$22+AC79*Pesos!$B$23+AD79*Pesos!$B$24+AE79*Pesos!$B$25+AF79*Pesos!$B$26+AG79*Pesos!$B$27+AH79*Pesos!$B$28+AI79*Pesos!$B$29+AJ79*Pesos!$B$30+AK79*Pesos!$B$31+AL79*Pesos!$B$32+AM79*Pesos!$B$33+AN79*Pesos!$B$34+AO79*Pesos!$B$35+AP79*Pesos!$B$36+AQ79*Pesos!$B$37+AR79*Pesos!$B$38+AS79*Pesos!$B$39+AT79*Pesos!$B$40+AU79*Pesos!$B$41+AV79*Pesos!$B$42+AW79*Pesos!$B$43+AX79*Pesos!$B$44+AY79*Pesos!$B$45+AZ79*Pesos!$B$46+BA79*Pesos!$B$47+BB79*Pesos!$B$48+BC79*Pesos!$B$49+BD79*Pesos!$B$50+BE79*Pesos!$B$51+BF79*Pesos!$B$52+BG79*Pesos!$B$53</f>
        <v>110</v>
      </c>
      <c r="G79" s="6" t="n">
        <f aca="false">E79*F79</f>
        <v>55</v>
      </c>
      <c r="H79" s="3" t="n">
        <v>105</v>
      </c>
      <c r="I79" s="3"/>
      <c r="J79" s="3"/>
      <c r="K79" s="3" t="n">
        <v>5</v>
      </c>
      <c r="L79" s="3"/>
      <c r="M79" s="3" t="n">
        <v>50</v>
      </c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 t="n">
        <v>1</v>
      </c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customFormat="false" ht="15" hidden="false" customHeight="false" outlineLevel="0" collapsed="false">
      <c r="A80" s="3" t="s">
        <v>61</v>
      </c>
      <c r="B80" s="3" t="s">
        <v>88</v>
      </c>
      <c r="C80" s="3" t="s">
        <v>354</v>
      </c>
      <c r="D80" s="3" t="s">
        <v>355</v>
      </c>
      <c r="E80" s="3" t="n">
        <v>0.5</v>
      </c>
      <c r="F80" s="6" t="n">
        <f aca="false">H80*Pesos!$B$2+I80*Pesos!$B$3+J80*Pesos!$B$4+K80*Pesos!$B$5+L80*Pesos!$B$6+M80*Pesos!$B$7+N80*Pesos!$B$8+O80*Pesos!$B$9+P80*Pesos!$B$10+Q80*Pesos!$B$11+R80*Pesos!$B$12+S80*Pesos!$B$13+T80*Pesos!$B$14+U80*Pesos!$B$15+V80*Pesos!$B$16+W80*Pesos!$B$17+X80*Pesos!$B$18+Y80*Pesos!$B$19+Z80*Pesos!$B$20+AA80*Pesos!$B$21+AB80*Pesos!$B$22+AC80*Pesos!$B$23+AD80*Pesos!$B$24+AE80*Pesos!$B$25+AF80*Pesos!$B$26+AG80*Pesos!$B$27+AH80*Pesos!$B$28+AI80*Pesos!$B$29+AJ80*Pesos!$B$30+AK80*Pesos!$B$31+AL80*Pesos!$B$32+AM80*Pesos!$B$33+AN80*Pesos!$B$34+AO80*Pesos!$B$35+AP80*Pesos!$B$36+AQ80*Pesos!$B$37+AR80*Pesos!$B$38+AS80*Pesos!$B$39+AT80*Pesos!$B$40+AU80*Pesos!$B$41+AV80*Pesos!$B$42+AW80*Pesos!$B$43+AX80*Pesos!$B$44+AY80*Pesos!$B$45+AZ80*Pesos!$B$46+BA80*Pesos!$B$47+BB80*Pesos!$B$48+BC80*Pesos!$B$49+BD80*Pesos!$B$50+BE80*Pesos!$B$51+BF80*Pesos!$B$52+BG80*Pesos!$B$53</f>
        <v>425</v>
      </c>
      <c r="G80" s="6" t="n">
        <f aca="false">E80*F80</f>
        <v>212.5</v>
      </c>
      <c r="H80" s="3" t="n">
        <v>84</v>
      </c>
      <c r="I80" s="3"/>
      <c r="J80" s="3"/>
      <c r="K80" s="3"/>
      <c r="L80" s="3"/>
      <c r="M80" s="3"/>
      <c r="N80" s="3"/>
      <c r="O80" s="3"/>
      <c r="P80" s="3" t="n">
        <v>1</v>
      </c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 t="n">
        <v>5</v>
      </c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 t="n">
        <v>5</v>
      </c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 t="s">
        <v>356</v>
      </c>
      <c r="BI80" s="3"/>
      <c r="BJ80" s="3"/>
      <c r="BK80" s="3"/>
      <c r="BL80" s="3"/>
      <c r="BM80" s="3"/>
    </row>
    <row r="81" customFormat="false" ht="15" hidden="false" customHeight="false" outlineLevel="0" collapsed="false">
      <c r="A81" s="3" t="s">
        <v>61</v>
      </c>
      <c r="B81" s="3" t="s">
        <v>89</v>
      </c>
      <c r="C81" s="3" t="s">
        <v>342</v>
      </c>
      <c r="D81" s="3" t="s">
        <v>357</v>
      </c>
      <c r="E81" s="3" t="n">
        <v>0.5</v>
      </c>
      <c r="F81" s="6" t="n">
        <f aca="false">H81*Pesos!$B$2+I81*Pesos!$B$3+J81*Pesos!$B$4+K81*Pesos!$B$5+L81*Pesos!$B$6+M81*Pesos!$B$7+N81*Pesos!$B$8+O81*Pesos!$B$9+P81*Pesos!$B$10+Q81*Pesos!$B$11+R81*Pesos!$B$12+S81*Pesos!$B$13+T81*Pesos!$B$14+U81*Pesos!$B$15+V81*Pesos!$B$16+W81*Pesos!$B$17+X81*Pesos!$B$18+Y81*Pesos!$B$19+Z81*Pesos!$B$20+AA81*Pesos!$B$21+AB81*Pesos!$B$22+AC81*Pesos!$B$23+AD81*Pesos!$B$24+AE81*Pesos!$B$25+AF81*Pesos!$B$26+AG81*Pesos!$B$27+AH81*Pesos!$B$28+AI81*Pesos!$B$29+AJ81*Pesos!$B$30+AK81*Pesos!$B$31+AL81*Pesos!$B$32+AM81*Pesos!$B$33+AN81*Pesos!$B$34+AO81*Pesos!$B$35+AP81*Pesos!$B$36+AQ81*Pesos!$B$37+AR81*Pesos!$B$38+AS81*Pesos!$B$39+AT81*Pesos!$B$40+AU81*Pesos!$B$41+AV81*Pesos!$B$42+AW81*Pesos!$B$43+AX81*Pesos!$B$44+AY81*Pesos!$B$45+AZ81*Pesos!$B$46+BA81*Pesos!$B$47+BB81*Pesos!$B$48+BC81*Pesos!$B$49+BD81*Pesos!$B$50+BE81*Pesos!$B$51+BF81*Pesos!$B$52+BG81*Pesos!$B$53</f>
        <v>60</v>
      </c>
      <c r="G81" s="6" t="n">
        <f aca="false">E81*F81</f>
        <v>30</v>
      </c>
      <c r="H81" s="3" t="n">
        <v>35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 t="n">
        <v>1.5</v>
      </c>
      <c r="AH81" s="3"/>
      <c r="AI81" s="3" t="n">
        <v>1</v>
      </c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 t="s">
        <v>358</v>
      </c>
      <c r="BL81" s="3"/>
      <c r="BM81" s="3" t="s">
        <v>339</v>
      </c>
    </row>
    <row r="82" customFormat="false" ht="15" hidden="false" customHeight="false" outlineLevel="0" collapsed="false">
      <c r="A82" s="3" t="s">
        <v>61</v>
      </c>
      <c r="B82" s="3" t="s">
        <v>89</v>
      </c>
      <c r="C82" s="3" t="s">
        <v>359</v>
      </c>
      <c r="D82" s="3" t="s">
        <v>360</v>
      </c>
      <c r="E82" s="3" t="n">
        <v>0.5</v>
      </c>
      <c r="F82" s="6" t="n">
        <f aca="false">H82*Pesos!$B$2+I82*Pesos!$B$3+J82*Pesos!$B$4+K82*Pesos!$B$5+L82*Pesos!$B$6+M82*Pesos!$B$7+N82*Pesos!$B$8+O82*Pesos!$B$9+P82*Pesos!$B$10+Q82*Pesos!$B$11+R82*Pesos!$B$12+S82*Pesos!$B$13+T82*Pesos!$B$14+U82*Pesos!$B$15+V82*Pesos!$B$16+W82*Pesos!$B$17+X82*Pesos!$B$18+Y82*Pesos!$B$19+Z82*Pesos!$B$20+AA82*Pesos!$B$21+AB82*Pesos!$B$22+AC82*Pesos!$B$23+AD82*Pesos!$B$24+AE82*Pesos!$B$25+AF82*Pesos!$B$26+AG82*Pesos!$B$27+AH82*Pesos!$B$28+AI82*Pesos!$B$29+AJ82*Pesos!$B$30+AK82*Pesos!$B$31+AL82*Pesos!$B$32+AM82*Pesos!$B$33+AN82*Pesos!$B$34+AO82*Pesos!$B$35+AP82*Pesos!$B$36+AQ82*Pesos!$B$37+AR82*Pesos!$B$38+AS82*Pesos!$B$39+AT82*Pesos!$B$40+AU82*Pesos!$B$41+AV82*Pesos!$B$42+AW82*Pesos!$B$43+AX82*Pesos!$B$44+AY82*Pesos!$B$45+AZ82*Pesos!$B$46+BA82*Pesos!$B$47+BB82*Pesos!$B$48+BC82*Pesos!$B$49+BD82*Pesos!$B$50+BE82*Pesos!$B$51+BF82*Pesos!$B$52+BG82*Pesos!$B$53</f>
        <v>368</v>
      </c>
      <c r="G82" s="6" t="n">
        <f aca="false">E82*F82</f>
        <v>184</v>
      </c>
      <c r="H82" s="3" t="n">
        <v>63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 t="n">
        <v>-0.4</v>
      </c>
      <c r="AB82" s="3" t="n">
        <v>15</v>
      </c>
      <c r="AC82" s="3"/>
      <c r="AD82" s="3"/>
      <c r="AE82" s="3"/>
      <c r="AF82" s="3"/>
      <c r="AG82" s="3" t="n">
        <v>11.5</v>
      </c>
      <c r="AH82" s="3"/>
      <c r="AI82" s="3" t="n">
        <v>1</v>
      </c>
      <c r="AJ82" s="3"/>
      <c r="AK82" s="3"/>
      <c r="AL82" s="3"/>
      <c r="AM82" s="3"/>
      <c r="AN82" s="3" t="n">
        <v>10</v>
      </c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 t="s">
        <v>360</v>
      </c>
      <c r="BI82" s="3"/>
      <c r="BJ82" s="3" t="s">
        <v>361</v>
      </c>
      <c r="BK82" s="3"/>
      <c r="BL82" s="3"/>
      <c r="BM82" s="3"/>
    </row>
    <row r="83" customFormat="false" ht="15" hidden="false" customHeight="false" outlineLevel="0" collapsed="false">
      <c r="A83" s="3" t="s">
        <v>61</v>
      </c>
      <c r="B83" s="3" t="s">
        <v>89</v>
      </c>
      <c r="C83" s="3" t="s">
        <v>362</v>
      </c>
      <c r="D83" s="3" t="s">
        <v>363</v>
      </c>
      <c r="E83" s="3" t="n">
        <v>0.5</v>
      </c>
      <c r="F83" s="6" t="n">
        <f aca="false">H83*Pesos!$B$2+I83*Pesos!$B$3+J83*Pesos!$B$4+K83*Pesos!$B$5+L83*Pesos!$B$6+M83*Pesos!$B$7+N83*Pesos!$B$8+O83*Pesos!$B$9+P83*Pesos!$B$10+Q83*Pesos!$B$11+R83*Pesos!$B$12+S83*Pesos!$B$13+T83*Pesos!$B$14+U83*Pesos!$B$15+V83*Pesos!$B$16+W83*Pesos!$B$17+X83*Pesos!$B$18+Y83*Pesos!$B$19+Z83*Pesos!$B$20+AA83*Pesos!$B$21+AB83*Pesos!$B$22+AC83*Pesos!$B$23+AD83*Pesos!$B$24+AE83*Pesos!$B$25+AF83*Pesos!$B$26+AG83*Pesos!$B$27+AH83*Pesos!$B$28+AI83*Pesos!$B$29+AJ83*Pesos!$B$30+AK83*Pesos!$B$31+AL83*Pesos!$B$32+AM83*Pesos!$B$33+AN83*Pesos!$B$34+AO83*Pesos!$B$35+AP83*Pesos!$B$36+AQ83*Pesos!$B$37+AR83*Pesos!$B$38+AS83*Pesos!$B$39+AT83*Pesos!$B$40+AU83*Pesos!$B$41+AV83*Pesos!$B$42+AW83*Pesos!$B$43+AX83*Pesos!$B$44+AY83*Pesos!$B$45+AZ83*Pesos!$B$46+BA83*Pesos!$B$47+BB83*Pesos!$B$48+BC83*Pesos!$B$49+BD83*Pesos!$B$50+BE83*Pesos!$B$51+BF83*Pesos!$B$52+BG83*Pesos!$B$53</f>
        <v>375</v>
      </c>
      <c r="G83" s="6" t="n">
        <f aca="false">E83*F83</f>
        <v>187.5</v>
      </c>
      <c r="H83" s="3" t="n">
        <v>49</v>
      </c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 t="n">
        <v>15</v>
      </c>
      <c r="AJ83" s="3"/>
      <c r="AK83" s="3"/>
      <c r="AL83" s="3" t="n">
        <v>-5</v>
      </c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 t="s">
        <v>363</v>
      </c>
      <c r="BI83" s="3"/>
      <c r="BJ83" s="3"/>
      <c r="BK83" s="3"/>
      <c r="BL83" s="3"/>
      <c r="BM83" s="3"/>
    </row>
    <row r="84" customFormat="false" ht="15" hidden="false" customHeight="false" outlineLevel="0" collapsed="false">
      <c r="A84" s="3" t="s">
        <v>61</v>
      </c>
      <c r="B84" s="3" t="s">
        <v>89</v>
      </c>
      <c r="C84" s="3" t="s">
        <v>364</v>
      </c>
      <c r="D84" s="3" t="s">
        <v>365</v>
      </c>
      <c r="E84" s="3" t="n">
        <v>0.5</v>
      </c>
      <c r="F84" s="6" t="n">
        <f aca="false">H84*Pesos!$B$2+I84*Pesos!$B$3+J84*Pesos!$B$4+K84*Pesos!$B$5+L84*Pesos!$B$6+M84*Pesos!$B$7+N84*Pesos!$B$8+O84*Pesos!$B$9+P84*Pesos!$B$10+Q84*Pesos!$B$11+R84*Pesos!$B$12+S84*Pesos!$B$13+T84*Pesos!$B$14+U84*Pesos!$B$15+V84*Pesos!$B$16+W84*Pesos!$B$17+X84*Pesos!$B$18+Y84*Pesos!$B$19+Z84*Pesos!$B$20+AA84*Pesos!$B$21+AB84*Pesos!$B$22+AC84*Pesos!$B$23+AD84*Pesos!$B$24+AE84*Pesos!$B$25+AF84*Pesos!$B$26+AG84*Pesos!$B$27+AH84*Pesos!$B$28+AI84*Pesos!$B$29+AJ84*Pesos!$B$30+AK84*Pesos!$B$31+AL84*Pesos!$B$32+AM84*Pesos!$B$33+AN84*Pesos!$B$34+AO84*Pesos!$B$35+AP84*Pesos!$B$36+AQ84*Pesos!$B$37+AR84*Pesos!$B$38+AS84*Pesos!$B$39+AT84*Pesos!$B$40+AU84*Pesos!$B$41+AV84*Pesos!$B$42+AW84*Pesos!$B$43+AX84*Pesos!$B$44+AY84*Pesos!$B$45+AZ84*Pesos!$B$46+BA84*Pesos!$B$47+BB84*Pesos!$B$48+BC84*Pesos!$B$49+BD84*Pesos!$B$50+BE84*Pesos!$B$51+BF84*Pesos!$B$52+BG84*Pesos!$B$53</f>
        <v>225</v>
      </c>
      <c r="G84" s="6" t="n">
        <f aca="false">E84*F84</f>
        <v>112.5</v>
      </c>
      <c r="H84" s="3" t="n">
        <v>63</v>
      </c>
      <c r="I84" s="3"/>
      <c r="J84" s="3"/>
      <c r="K84" s="3"/>
      <c r="L84" s="3" t="n">
        <v>100000</v>
      </c>
      <c r="M84" s="3"/>
      <c r="N84" s="3"/>
      <c r="O84" s="3"/>
      <c r="P84" s="3"/>
      <c r="Q84" s="3" t="n">
        <v>1</v>
      </c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customFormat="false" ht="15" hidden="false" customHeight="false" outlineLevel="0" collapsed="false">
      <c r="A85" s="3" t="s">
        <v>61</v>
      </c>
      <c r="B85" s="3" t="s">
        <v>89</v>
      </c>
      <c r="C85" s="3" t="s">
        <v>366</v>
      </c>
      <c r="D85" s="3" t="s">
        <v>367</v>
      </c>
      <c r="E85" s="3" t="n">
        <v>0.5</v>
      </c>
      <c r="F85" s="6" t="n">
        <f aca="false">H85*Pesos!$B$2+I85*Pesos!$B$3+J85*Pesos!$B$4+K85*Pesos!$B$5+L85*Pesos!$B$6+M85*Pesos!$B$7+N85*Pesos!$B$8+O85*Pesos!$B$9+P85*Pesos!$B$10+Q85*Pesos!$B$11+R85*Pesos!$B$12+S85*Pesos!$B$13+T85*Pesos!$B$14+U85*Pesos!$B$15+V85*Pesos!$B$16+W85*Pesos!$B$17+X85*Pesos!$B$18+Y85*Pesos!$B$19+Z85*Pesos!$B$20+AA85*Pesos!$B$21+AB85*Pesos!$B$22+AC85*Pesos!$B$23+AD85*Pesos!$B$24+AE85*Pesos!$B$25+AF85*Pesos!$B$26+AG85*Pesos!$B$27+AH85*Pesos!$B$28+AI85*Pesos!$B$29+AJ85*Pesos!$B$30+AK85*Pesos!$B$31+AL85*Pesos!$B$32+AM85*Pesos!$B$33+AN85*Pesos!$B$34+AO85*Pesos!$B$35+AP85*Pesos!$B$36+AQ85*Pesos!$B$37+AR85*Pesos!$B$38+AS85*Pesos!$B$39+AT85*Pesos!$B$40+AU85*Pesos!$B$41+AV85*Pesos!$B$42+AW85*Pesos!$B$43+AX85*Pesos!$B$44+AY85*Pesos!$B$45+AZ85*Pesos!$B$46+BA85*Pesos!$B$47+BB85*Pesos!$B$48+BC85*Pesos!$B$49+BD85*Pesos!$B$50+BE85*Pesos!$B$51+BF85*Pesos!$B$52+BG85*Pesos!$B$53</f>
        <v>240</v>
      </c>
      <c r="G85" s="6" t="n">
        <f aca="false">E85*F85</f>
        <v>120</v>
      </c>
      <c r="H85" s="3" t="n">
        <v>84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 t="n">
        <v>10</v>
      </c>
      <c r="AR85" s="3" t="n">
        <v>5</v>
      </c>
      <c r="AS85" s="3"/>
      <c r="AT85" s="3"/>
      <c r="AU85" s="3"/>
      <c r="AV85" s="3" t="n">
        <v>10</v>
      </c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 t="s">
        <v>367</v>
      </c>
      <c r="BI85" s="3"/>
      <c r="BJ85" s="3"/>
      <c r="BK85" s="3" t="s">
        <v>368</v>
      </c>
      <c r="BL85" s="3"/>
      <c r="BM85" s="3"/>
    </row>
    <row r="86" customFormat="false" ht="15" hidden="false" customHeight="false" outlineLevel="0" collapsed="false">
      <c r="A86" s="3" t="s">
        <v>61</v>
      </c>
      <c r="B86" s="3" t="s">
        <v>89</v>
      </c>
      <c r="C86" s="3" t="s">
        <v>369</v>
      </c>
      <c r="D86" s="3" t="s">
        <v>370</v>
      </c>
      <c r="E86" s="3" t="n">
        <v>0.5</v>
      </c>
      <c r="F86" s="6" t="n">
        <f aca="false">H86*Pesos!$B$2+I86*Pesos!$B$3+J86*Pesos!$B$4+K86*Pesos!$B$5+L86*Pesos!$B$6+M86*Pesos!$B$7+N86*Pesos!$B$8+O86*Pesos!$B$9+P86*Pesos!$B$10+Q86*Pesos!$B$11+R86*Pesos!$B$12+S86*Pesos!$B$13+T86*Pesos!$B$14+U86*Pesos!$B$15+V86*Pesos!$B$16+W86*Pesos!$B$17+X86*Pesos!$B$18+Y86*Pesos!$B$19+Z86*Pesos!$B$20+AA86*Pesos!$B$21+AB86*Pesos!$B$22+AC86*Pesos!$B$23+AD86*Pesos!$B$24+AE86*Pesos!$B$25+AF86*Pesos!$B$26+AG86*Pesos!$B$27+AH86*Pesos!$B$28+AI86*Pesos!$B$29+AJ86*Pesos!$B$30+AK86*Pesos!$B$31+AL86*Pesos!$B$32+AM86*Pesos!$B$33+AN86*Pesos!$B$34+AO86*Pesos!$B$35+AP86*Pesos!$B$36+AQ86*Pesos!$B$37+AR86*Pesos!$B$38+AS86*Pesos!$B$39+AT86*Pesos!$B$40+AU86*Pesos!$B$41+AV86*Pesos!$B$42+AW86*Pesos!$B$43+AX86*Pesos!$B$44+AY86*Pesos!$B$45+AZ86*Pesos!$B$46+BA86*Pesos!$B$47+BB86*Pesos!$B$48+BC86*Pesos!$B$49+BD86*Pesos!$B$50+BE86*Pesos!$B$51+BF86*Pesos!$B$52+BG86*Pesos!$B$53</f>
        <v>85</v>
      </c>
      <c r="G86" s="6" t="n">
        <f aca="false">E86*F86</f>
        <v>42.5</v>
      </c>
      <c r="H86" s="3" t="n">
        <v>49</v>
      </c>
      <c r="I86" s="3"/>
      <c r="J86" s="3"/>
      <c r="K86" s="3"/>
      <c r="L86" s="3"/>
      <c r="M86" s="3"/>
      <c r="N86" s="3"/>
      <c r="O86" s="3"/>
      <c r="P86" s="3"/>
      <c r="Q86" s="3" t="n">
        <v>1</v>
      </c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 t="n">
        <v>1.5</v>
      </c>
      <c r="AH86" s="3"/>
      <c r="AI86" s="3" t="n">
        <v>1</v>
      </c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 t="s">
        <v>361</v>
      </c>
      <c r="BK86" s="3"/>
      <c r="BL86" s="3"/>
      <c r="BM86" s="3"/>
    </row>
    <row r="87" customFormat="false" ht="15" hidden="false" customHeight="false" outlineLevel="0" collapsed="false">
      <c r="A87" s="3" t="s">
        <v>61</v>
      </c>
      <c r="B87" s="3" t="s">
        <v>89</v>
      </c>
      <c r="C87" s="3" t="s">
        <v>371</v>
      </c>
      <c r="D87" s="3" t="s">
        <v>372</v>
      </c>
      <c r="E87" s="3" t="n">
        <v>0.5</v>
      </c>
      <c r="F87" s="6" t="n">
        <f aca="false">H87*Pesos!$B$2+I87*Pesos!$B$3+J87*Pesos!$B$4+K87*Pesos!$B$5+L87*Pesos!$B$6+M87*Pesos!$B$7+N87*Pesos!$B$8+O87*Pesos!$B$9+P87*Pesos!$B$10+Q87*Pesos!$B$11+R87*Pesos!$B$12+S87*Pesos!$B$13+T87*Pesos!$B$14+U87*Pesos!$B$15+V87*Pesos!$B$16+W87*Pesos!$B$17+X87*Pesos!$B$18+Y87*Pesos!$B$19+Z87*Pesos!$B$20+AA87*Pesos!$B$21+AB87*Pesos!$B$22+AC87*Pesos!$B$23+AD87*Pesos!$B$24+AE87*Pesos!$B$25+AF87*Pesos!$B$26+AG87*Pesos!$B$27+AH87*Pesos!$B$28+AI87*Pesos!$B$29+AJ87*Pesos!$B$30+AK87*Pesos!$B$31+AL87*Pesos!$B$32+AM87*Pesos!$B$33+AN87*Pesos!$B$34+AO87*Pesos!$B$35+AP87*Pesos!$B$36+AQ87*Pesos!$B$37+AR87*Pesos!$B$38+AS87*Pesos!$B$39+AT87*Pesos!$B$40+AU87*Pesos!$B$41+AV87*Pesos!$B$42+AW87*Pesos!$B$43+AX87*Pesos!$B$44+AY87*Pesos!$B$45+AZ87*Pesos!$B$46+BA87*Pesos!$B$47+BB87*Pesos!$B$48+BC87*Pesos!$B$49+BD87*Pesos!$B$50+BE87*Pesos!$B$51+BF87*Pesos!$B$52+BG87*Pesos!$B$53</f>
        <v>130</v>
      </c>
      <c r="G87" s="6" t="n">
        <f aca="false">E87*F87</f>
        <v>65</v>
      </c>
      <c r="H87" s="3" t="n">
        <v>63</v>
      </c>
      <c r="I87" s="3" t="n">
        <v>100</v>
      </c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 t="n">
        <v>0.75</v>
      </c>
      <c r="AH87" s="3"/>
      <c r="AI87" s="3" t="n">
        <v>0.5</v>
      </c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 t="s">
        <v>336</v>
      </c>
      <c r="BK87" s="3"/>
      <c r="BL87" s="3"/>
      <c r="BM87" s="3"/>
    </row>
    <row r="88" customFormat="false" ht="15" hidden="false" customHeight="false" outlineLevel="0" collapsed="false">
      <c r="A88" s="3" t="s">
        <v>61</v>
      </c>
      <c r="B88" s="3" t="s">
        <v>89</v>
      </c>
      <c r="C88" s="3" t="s">
        <v>373</v>
      </c>
      <c r="D88" s="3" t="s">
        <v>374</v>
      </c>
      <c r="E88" s="3" t="n">
        <v>0.5</v>
      </c>
      <c r="F88" s="6" t="n">
        <f aca="false">H88*Pesos!$B$2+I88*Pesos!$B$3+J88*Pesos!$B$4+K88*Pesos!$B$5+L88*Pesos!$B$6+M88*Pesos!$B$7+N88*Pesos!$B$8+O88*Pesos!$B$9+P88*Pesos!$B$10+Q88*Pesos!$B$11+R88*Pesos!$B$12+S88*Pesos!$B$13+T88*Pesos!$B$14+U88*Pesos!$B$15+V88*Pesos!$B$16+W88*Pesos!$B$17+X88*Pesos!$B$18+Y88*Pesos!$B$19+Z88*Pesos!$B$20+AA88*Pesos!$B$21+AB88*Pesos!$B$22+AC88*Pesos!$B$23+AD88*Pesos!$B$24+AE88*Pesos!$B$25+AF88*Pesos!$B$26+AG88*Pesos!$B$27+AH88*Pesos!$B$28+AI88*Pesos!$B$29+AJ88*Pesos!$B$30+AK88*Pesos!$B$31+AL88*Pesos!$B$32+AM88*Pesos!$B$33+AN88*Pesos!$B$34+AO88*Pesos!$B$35+AP88*Pesos!$B$36+AQ88*Pesos!$B$37+AR88*Pesos!$B$38+AS88*Pesos!$B$39+AT88*Pesos!$B$40+AU88*Pesos!$B$41+AV88*Pesos!$B$42+AW88*Pesos!$B$43+AX88*Pesos!$B$44+AY88*Pesos!$B$45+AZ88*Pesos!$B$46+BA88*Pesos!$B$47+BB88*Pesos!$B$48+BC88*Pesos!$B$49+BD88*Pesos!$B$50+BE88*Pesos!$B$51+BF88*Pesos!$B$52+BG88*Pesos!$B$53</f>
        <v>390</v>
      </c>
      <c r="G88" s="6" t="n">
        <f aca="false">E88*F88</f>
        <v>195</v>
      </c>
      <c r="H88" s="3" t="n">
        <v>84</v>
      </c>
      <c r="I88" s="3"/>
      <c r="J88" s="3"/>
      <c r="K88" s="3"/>
      <c r="L88" s="3"/>
      <c r="M88" s="3"/>
      <c r="N88" s="3"/>
      <c r="O88" s="3"/>
      <c r="P88" s="3" t="n">
        <v>1</v>
      </c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 t="n">
        <v>2.25</v>
      </c>
      <c r="AH88" s="3"/>
      <c r="AI88" s="3" t="n">
        <v>1.5</v>
      </c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 t="s">
        <v>375</v>
      </c>
      <c r="BK88" s="3"/>
      <c r="BL88" s="3"/>
      <c r="BM88" s="3"/>
    </row>
    <row r="89" customFormat="false" ht="15" hidden="false" customHeight="false" outlineLevel="0" collapsed="false">
      <c r="A89" s="3" t="s">
        <v>61</v>
      </c>
      <c r="B89" s="3" t="s">
        <v>89</v>
      </c>
      <c r="C89" s="3" t="s">
        <v>376</v>
      </c>
      <c r="D89" s="3" t="s">
        <v>377</v>
      </c>
      <c r="E89" s="3" t="n">
        <v>0.5</v>
      </c>
      <c r="F89" s="6" t="n">
        <f aca="false">H89*Pesos!$B$2+I89*Pesos!$B$3+J89*Pesos!$B$4+K89*Pesos!$B$5+L89*Pesos!$B$6+M89*Pesos!$B$7+N89*Pesos!$B$8+O89*Pesos!$B$9+P89*Pesos!$B$10+Q89*Pesos!$B$11+R89*Pesos!$B$12+S89*Pesos!$B$13+T89*Pesos!$B$14+U89*Pesos!$B$15+V89*Pesos!$B$16+W89*Pesos!$B$17+X89*Pesos!$B$18+Y89*Pesos!$B$19+Z89*Pesos!$B$20+AA89*Pesos!$B$21+AB89*Pesos!$B$22+AC89*Pesos!$B$23+AD89*Pesos!$B$24+AE89*Pesos!$B$25+AF89*Pesos!$B$26+AG89*Pesos!$B$27+AH89*Pesos!$B$28+AI89*Pesos!$B$29+AJ89*Pesos!$B$30+AK89*Pesos!$B$31+AL89*Pesos!$B$32+AM89*Pesos!$B$33+AN89*Pesos!$B$34+AO89*Pesos!$B$35+AP89*Pesos!$B$36+AQ89*Pesos!$B$37+AR89*Pesos!$B$38+AS89*Pesos!$B$39+AT89*Pesos!$B$40+AU89*Pesos!$B$41+AV89*Pesos!$B$42+AW89*Pesos!$B$43+AX89*Pesos!$B$44+AY89*Pesos!$B$45+AZ89*Pesos!$B$46+BA89*Pesos!$B$47+BB89*Pesos!$B$48+BC89*Pesos!$B$49+BD89*Pesos!$B$50+BE89*Pesos!$B$51+BF89*Pesos!$B$52+BG89*Pesos!$B$53</f>
        <v>40</v>
      </c>
      <c r="G89" s="6" t="n">
        <f aca="false">E89*F89</f>
        <v>20</v>
      </c>
      <c r="H89" s="3" t="n">
        <v>105</v>
      </c>
      <c r="I89" s="3"/>
      <c r="J89" s="3"/>
      <c r="K89" s="3" t="n">
        <v>5</v>
      </c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 t="s">
        <v>378</v>
      </c>
      <c r="BL89" s="3"/>
      <c r="BM89" s="3"/>
    </row>
    <row r="90" customFormat="false" ht="15" hidden="false" customHeight="false" outlineLevel="0" collapsed="false">
      <c r="A90" s="3" t="s">
        <v>61</v>
      </c>
      <c r="B90" s="3" t="s">
        <v>80</v>
      </c>
      <c r="C90" s="3" t="s">
        <v>379</v>
      </c>
      <c r="D90" s="3" t="s">
        <v>380</v>
      </c>
      <c r="E90" s="3" t="n">
        <v>1</v>
      </c>
      <c r="F90" s="6" t="n">
        <f aca="false">H90*Pesos!$B$2+I90*Pesos!$B$3+J90*Pesos!$B$4+K90*Pesos!$B$5+L90*Pesos!$B$6+M90*Pesos!$B$7+N90*Pesos!$B$8+O90*Pesos!$B$9+P90*Pesos!$B$10+Q90*Pesos!$B$11+R90*Pesos!$B$12+S90*Pesos!$B$13+T90*Pesos!$B$14+U90*Pesos!$B$15+V90*Pesos!$B$16+W90*Pesos!$B$17+X90*Pesos!$B$18+Y90*Pesos!$B$19+Z90*Pesos!$B$20+AA90*Pesos!$B$21+AB90*Pesos!$B$22+AC90*Pesos!$B$23+AD90*Pesos!$B$24+AE90*Pesos!$B$25+AF90*Pesos!$B$26+AG90*Pesos!$B$27+AH90*Pesos!$B$28+AI90*Pesos!$B$29+AJ90*Pesos!$B$30+AK90*Pesos!$B$31+AL90*Pesos!$B$32+AM90*Pesos!$B$33+AN90*Pesos!$B$34+AO90*Pesos!$B$35+AP90*Pesos!$B$36+AQ90*Pesos!$B$37+AR90*Pesos!$B$38+AS90*Pesos!$B$39+AT90*Pesos!$B$40+AU90*Pesos!$B$41+AV90*Pesos!$B$42+AW90*Pesos!$B$43+AX90*Pesos!$B$44+AY90*Pesos!$B$45+AZ90*Pesos!$B$46+BA90*Pesos!$B$47+BB90*Pesos!$B$48+BC90*Pesos!$B$49+BD90*Pesos!$B$50+BE90*Pesos!$B$51+BF90*Pesos!$B$52+BG90*Pesos!$B$53</f>
        <v>170</v>
      </c>
      <c r="G90" s="6" t="n">
        <f aca="false">E90*F90</f>
        <v>170</v>
      </c>
      <c r="H90" s="3" t="n">
        <v>70</v>
      </c>
      <c r="I90" s="3" t="n">
        <v>120</v>
      </c>
      <c r="J90" s="3" t="n">
        <v>5</v>
      </c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customFormat="false" ht="15" hidden="false" customHeight="false" outlineLevel="0" collapsed="false">
      <c r="A91" s="3" t="s">
        <v>61</v>
      </c>
      <c r="B91" s="3" t="s">
        <v>80</v>
      </c>
      <c r="C91" s="3" t="s">
        <v>381</v>
      </c>
      <c r="D91" s="3" t="s">
        <v>382</v>
      </c>
      <c r="E91" s="3" t="n">
        <v>1</v>
      </c>
      <c r="F91" s="6" t="n">
        <f aca="false">H91*Pesos!$B$2+I91*Pesos!$B$3+J91*Pesos!$B$4+K91*Pesos!$B$5+L91*Pesos!$B$6+M91*Pesos!$B$7+N91*Pesos!$B$8+O91*Pesos!$B$9+P91*Pesos!$B$10+Q91*Pesos!$B$11+R91*Pesos!$B$12+S91*Pesos!$B$13+T91*Pesos!$B$14+U91*Pesos!$B$15+V91*Pesos!$B$16+W91*Pesos!$B$17+X91*Pesos!$B$18+Y91*Pesos!$B$19+Z91*Pesos!$B$20+AA91*Pesos!$B$21+AB91*Pesos!$B$22+AC91*Pesos!$B$23+AD91*Pesos!$B$24+AE91*Pesos!$B$25+AF91*Pesos!$B$26+AG91*Pesos!$B$27+AH91*Pesos!$B$28+AI91*Pesos!$B$29+AJ91*Pesos!$B$30+AK91*Pesos!$B$31+AL91*Pesos!$B$32+AM91*Pesos!$B$33+AN91*Pesos!$B$34+AO91*Pesos!$B$35+AP91*Pesos!$B$36+AQ91*Pesos!$B$37+AR91*Pesos!$B$38+AS91*Pesos!$B$39+AT91*Pesos!$B$40+AU91*Pesos!$B$41+AV91*Pesos!$B$42+AW91*Pesos!$B$43+AX91*Pesos!$B$44+AY91*Pesos!$B$45+AZ91*Pesos!$B$46+BA91*Pesos!$B$47+BB91*Pesos!$B$48+BC91*Pesos!$B$49+BD91*Pesos!$B$50+BE91*Pesos!$B$51+BF91*Pesos!$B$52+BG91*Pesos!$B$53</f>
        <v>214.5</v>
      </c>
      <c r="G91" s="6" t="n">
        <f aca="false">E91*F91</f>
        <v>214.5</v>
      </c>
      <c r="H91" s="3" t="n">
        <v>70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 t="n">
        <v>0.15</v>
      </c>
      <c r="AB91" s="3" t="n">
        <v>3</v>
      </c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n">
        <v>5</v>
      </c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 t="s">
        <v>382</v>
      </c>
      <c r="BI91" s="3"/>
      <c r="BJ91" s="3"/>
      <c r="BK91" s="3"/>
      <c r="BL91" s="3"/>
      <c r="BM91" s="3"/>
    </row>
    <row r="92" customFormat="false" ht="15" hidden="false" customHeight="false" outlineLevel="0" collapsed="false">
      <c r="A92" s="3" t="s">
        <v>61</v>
      </c>
      <c r="B92" s="3" t="s">
        <v>80</v>
      </c>
      <c r="C92" s="3" t="s">
        <v>383</v>
      </c>
      <c r="D92" s="3" t="s">
        <v>384</v>
      </c>
      <c r="E92" s="3" t="n">
        <v>1</v>
      </c>
      <c r="F92" s="6" t="n">
        <f aca="false">H92*Pesos!$B$2+I92*Pesos!$B$3+J92*Pesos!$B$4+K92*Pesos!$B$5+L92*Pesos!$B$6+M92*Pesos!$B$7+N92*Pesos!$B$8+O92*Pesos!$B$9+P92*Pesos!$B$10+Q92*Pesos!$B$11+R92*Pesos!$B$12+S92*Pesos!$B$13+T92*Pesos!$B$14+U92*Pesos!$B$15+V92*Pesos!$B$16+W92*Pesos!$B$17+X92*Pesos!$B$18+Y92*Pesos!$B$19+Z92*Pesos!$B$20+AA92*Pesos!$B$21+AB92*Pesos!$B$22+AC92*Pesos!$B$23+AD92*Pesos!$B$24+AE92*Pesos!$B$25+AF92*Pesos!$B$26+AG92*Pesos!$B$27+AH92*Pesos!$B$28+AI92*Pesos!$B$29+AJ92*Pesos!$B$30+AK92*Pesos!$B$31+AL92*Pesos!$B$32+AM92*Pesos!$B$33+AN92*Pesos!$B$34+AO92*Pesos!$B$35+AP92*Pesos!$B$36+AQ92*Pesos!$B$37+AR92*Pesos!$B$38+AS92*Pesos!$B$39+AT92*Pesos!$B$40+AU92*Pesos!$B$41+AV92*Pesos!$B$42+AW92*Pesos!$B$43+AX92*Pesos!$B$44+AY92*Pesos!$B$45+AZ92*Pesos!$B$46+BA92*Pesos!$B$47+BB92*Pesos!$B$48+BC92*Pesos!$B$49+BD92*Pesos!$B$50+BE92*Pesos!$B$51+BF92*Pesos!$B$52+BG92*Pesos!$B$53</f>
        <v>65</v>
      </c>
      <c r="G92" s="6" t="n">
        <f aca="false">E92*F92</f>
        <v>65</v>
      </c>
      <c r="H92" s="3" t="n">
        <v>70</v>
      </c>
      <c r="I92" s="3"/>
      <c r="J92" s="3"/>
      <c r="K92" s="3" t="n">
        <v>5</v>
      </c>
      <c r="L92" s="3"/>
      <c r="M92" s="3" t="n">
        <v>25</v>
      </c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customFormat="false" ht="15" hidden="false" customHeight="false" outlineLevel="0" collapsed="false">
      <c r="A93" s="3" t="s">
        <v>61</v>
      </c>
      <c r="B93" s="3" t="s">
        <v>80</v>
      </c>
      <c r="C93" s="3" t="s">
        <v>385</v>
      </c>
      <c r="D93" s="3" t="s">
        <v>386</v>
      </c>
      <c r="E93" s="3" t="n">
        <v>1</v>
      </c>
      <c r="F93" s="6" t="n">
        <f aca="false">H93*Pesos!$B$2+I93*Pesos!$B$3+J93*Pesos!$B$4+K93*Pesos!$B$5+L93*Pesos!$B$6+M93*Pesos!$B$7+N93*Pesos!$B$8+O93*Pesos!$B$9+P93*Pesos!$B$10+Q93*Pesos!$B$11+R93*Pesos!$B$12+S93*Pesos!$B$13+T93*Pesos!$B$14+U93*Pesos!$B$15+V93*Pesos!$B$16+W93*Pesos!$B$17+X93*Pesos!$B$18+Y93*Pesos!$B$19+Z93*Pesos!$B$20+AA93*Pesos!$B$21+AB93*Pesos!$B$22+AC93*Pesos!$B$23+AD93*Pesos!$B$24+AE93*Pesos!$B$25+AF93*Pesos!$B$26+AG93*Pesos!$B$27+AH93*Pesos!$B$28+AI93*Pesos!$B$29+AJ93*Pesos!$B$30+AK93*Pesos!$B$31+AL93*Pesos!$B$32+AM93*Pesos!$B$33+AN93*Pesos!$B$34+AO93*Pesos!$B$35+AP93*Pesos!$B$36+AQ93*Pesos!$B$37+AR93*Pesos!$B$38+AS93*Pesos!$B$39+AT93*Pesos!$B$40+AU93*Pesos!$B$41+AV93*Pesos!$B$42+AW93*Pesos!$B$43+AX93*Pesos!$B$44+AY93*Pesos!$B$45+AZ93*Pesos!$B$46+BA93*Pesos!$B$47+BB93*Pesos!$B$48+BC93*Pesos!$B$49+BD93*Pesos!$B$50+BE93*Pesos!$B$51+BF93*Pesos!$B$52+BG93*Pesos!$B$53</f>
        <v>190</v>
      </c>
      <c r="G93" s="6" t="n">
        <f aca="false">E93*F93</f>
        <v>190</v>
      </c>
      <c r="H93" s="3" t="n">
        <v>105</v>
      </c>
      <c r="I93" s="3" t="n">
        <v>50</v>
      </c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 t="n">
        <v>7</v>
      </c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customFormat="false" ht="15" hidden="false" customHeight="false" outlineLevel="0" collapsed="false">
      <c r="A94" s="3" t="s">
        <v>61</v>
      </c>
      <c r="B94" s="3" t="s">
        <v>90</v>
      </c>
      <c r="C94" s="3" t="s">
        <v>387</v>
      </c>
      <c r="D94" s="3" t="s">
        <v>388</v>
      </c>
      <c r="E94" s="3" t="n">
        <v>1</v>
      </c>
      <c r="F94" s="6" t="n">
        <f aca="false">H94*Pesos!$B$2+I94*Pesos!$B$3+J94*Pesos!$B$4+K94*Pesos!$B$5+L94*Pesos!$B$6+M94*Pesos!$B$7+N94*Pesos!$B$8+O94*Pesos!$B$9+P94*Pesos!$B$10+Q94*Pesos!$B$11+R94*Pesos!$B$12+S94*Pesos!$B$13+T94*Pesos!$B$14+U94*Pesos!$B$15+V94*Pesos!$B$16+W94*Pesos!$B$17+X94*Pesos!$B$18+Y94*Pesos!$B$19+Z94*Pesos!$B$20+AA94*Pesos!$B$21+AB94*Pesos!$B$22+AC94*Pesos!$B$23+AD94*Pesos!$B$24+AE94*Pesos!$B$25+AF94*Pesos!$B$26+AG94*Pesos!$B$27+AH94*Pesos!$B$28+AI94*Pesos!$B$29+AJ94*Pesos!$B$30+AK94*Pesos!$B$31+AL94*Pesos!$B$32+AM94*Pesos!$B$33+AN94*Pesos!$B$34+AO94*Pesos!$B$35+AP94*Pesos!$B$36+AQ94*Pesos!$B$37+AR94*Pesos!$B$38+AS94*Pesos!$B$39+AT94*Pesos!$B$40+AU94*Pesos!$B$41+AV94*Pesos!$B$42+AW94*Pesos!$B$43+AX94*Pesos!$B$44+AY94*Pesos!$B$45+AZ94*Pesos!$B$46+BA94*Pesos!$B$47+BB94*Pesos!$B$48+BC94*Pesos!$B$49+BD94*Pesos!$B$50+BE94*Pesos!$B$51+BF94*Pesos!$B$52+BG94*Pesos!$B$53</f>
        <v>200</v>
      </c>
      <c r="G94" s="6" t="n">
        <f aca="false">E94*F94</f>
        <v>200</v>
      </c>
      <c r="H94" s="3" t="n">
        <v>49</v>
      </c>
      <c r="I94" s="3"/>
      <c r="J94" s="3"/>
      <c r="K94" s="3"/>
      <c r="L94" s="3"/>
      <c r="M94" s="3"/>
      <c r="N94" s="3"/>
      <c r="O94" s="3"/>
      <c r="P94" s="3"/>
      <c r="Q94" s="3"/>
      <c r="R94" s="3" t="n">
        <v>2</v>
      </c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customFormat="false" ht="15" hidden="false" customHeight="false" outlineLevel="0" collapsed="false">
      <c r="A95" s="3" t="s">
        <v>61</v>
      </c>
      <c r="B95" s="3" t="s">
        <v>90</v>
      </c>
      <c r="C95" s="3" t="s">
        <v>389</v>
      </c>
      <c r="D95" s="3" t="s">
        <v>390</v>
      </c>
      <c r="E95" s="3" t="n">
        <v>0.5</v>
      </c>
      <c r="F95" s="6" t="n">
        <f aca="false">H95*Pesos!$B$2+I95*Pesos!$B$3+J95*Pesos!$B$4+K95*Pesos!$B$5+L95*Pesos!$B$6+M95*Pesos!$B$7+N95*Pesos!$B$8+O95*Pesos!$B$9+P95*Pesos!$B$10+Q95*Pesos!$B$11+R95*Pesos!$B$12+S95*Pesos!$B$13+T95*Pesos!$B$14+U95*Pesos!$B$15+V95*Pesos!$B$16+W95*Pesos!$B$17+X95*Pesos!$B$18+Y95*Pesos!$B$19+Z95*Pesos!$B$20+AA95*Pesos!$B$21+AB95*Pesos!$B$22+AC95*Pesos!$B$23+AD95*Pesos!$B$24+AE95*Pesos!$B$25+AF95*Pesos!$B$26+AG95*Pesos!$B$27+AH95*Pesos!$B$28+AI95*Pesos!$B$29+AJ95*Pesos!$B$30+AK95*Pesos!$B$31+AL95*Pesos!$B$32+AM95*Pesos!$B$33+AN95*Pesos!$B$34+AO95*Pesos!$B$35+AP95*Pesos!$B$36+AQ95*Pesos!$B$37+AR95*Pesos!$B$38+AS95*Pesos!$B$39+AT95*Pesos!$B$40+AU95*Pesos!$B$41+AV95*Pesos!$B$42+AW95*Pesos!$B$43+AX95*Pesos!$B$44+AY95*Pesos!$B$45+AZ95*Pesos!$B$46+BA95*Pesos!$B$47+BB95*Pesos!$B$48+BC95*Pesos!$B$49+BD95*Pesos!$B$50+BE95*Pesos!$B$51+BF95*Pesos!$B$52+BG95*Pesos!$B$53</f>
        <v>300</v>
      </c>
      <c r="G95" s="6" t="n">
        <f aca="false">E95*F95</f>
        <v>150</v>
      </c>
      <c r="H95" s="3" t="n">
        <v>63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 t="n">
        <v>5</v>
      </c>
      <c r="AH95" s="3"/>
      <c r="AI95" s="3" t="n">
        <v>10</v>
      </c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 t="s">
        <v>390</v>
      </c>
      <c r="BI95" s="3"/>
      <c r="BJ95" s="3"/>
      <c r="BK95" s="3"/>
      <c r="BL95" s="3"/>
      <c r="BM95" s="3" t="s">
        <v>391</v>
      </c>
    </row>
    <row r="96" customFormat="false" ht="15" hidden="false" customHeight="false" outlineLevel="0" collapsed="false">
      <c r="A96" s="3" t="s">
        <v>61</v>
      </c>
      <c r="B96" s="3" t="s">
        <v>90</v>
      </c>
      <c r="C96" s="3" t="s">
        <v>392</v>
      </c>
      <c r="D96" s="3" t="s">
        <v>393</v>
      </c>
      <c r="E96" s="3" t="n">
        <v>0.5</v>
      </c>
      <c r="F96" s="6" t="n">
        <f aca="false">H96*Pesos!$B$2+I96*Pesos!$B$3+J96*Pesos!$B$4+K96*Pesos!$B$5+L96*Pesos!$B$6+M96*Pesos!$B$7+N96*Pesos!$B$8+O96*Pesos!$B$9+P96*Pesos!$B$10+Q96*Pesos!$B$11+R96*Pesos!$B$12+S96*Pesos!$B$13+T96*Pesos!$B$14+U96*Pesos!$B$15+V96*Pesos!$B$16+W96*Pesos!$B$17+X96*Pesos!$B$18+Y96*Pesos!$B$19+Z96*Pesos!$B$20+AA96*Pesos!$B$21+AB96*Pesos!$B$22+AC96*Pesos!$B$23+AD96*Pesos!$B$24+AE96*Pesos!$B$25+AF96*Pesos!$B$26+AG96*Pesos!$B$27+AH96*Pesos!$B$28+AI96*Pesos!$B$29+AJ96*Pesos!$B$30+AK96*Pesos!$B$31+AL96*Pesos!$B$32+AM96*Pesos!$B$33+AN96*Pesos!$B$34+AO96*Pesos!$B$35+AP96*Pesos!$B$36+AQ96*Pesos!$B$37+AR96*Pesos!$B$38+AS96*Pesos!$B$39+AT96*Pesos!$B$40+AU96*Pesos!$B$41+AV96*Pesos!$B$42+AW96*Pesos!$B$43+AX96*Pesos!$B$44+AY96*Pesos!$B$45+AZ96*Pesos!$B$46+BA96*Pesos!$B$47+BB96*Pesos!$B$48+BC96*Pesos!$B$49+BD96*Pesos!$B$50+BE96*Pesos!$B$51+BF96*Pesos!$B$52+BG96*Pesos!$B$53</f>
        <v>200</v>
      </c>
      <c r="G96" s="6" t="n">
        <f aca="false">E96*F96</f>
        <v>100</v>
      </c>
      <c r="H96" s="3" t="n">
        <v>49</v>
      </c>
      <c r="I96" s="3"/>
      <c r="J96" s="3"/>
      <c r="K96" s="3"/>
      <c r="L96" s="3"/>
      <c r="M96" s="3"/>
      <c r="N96" s="3"/>
      <c r="O96" s="3"/>
      <c r="P96" s="3"/>
      <c r="Q96" s="3"/>
      <c r="R96" s="3" t="n">
        <v>2</v>
      </c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customFormat="false" ht="15" hidden="false" customHeight="false" outlineLevel="0" collapsed="false">
      <c r="A97" s="3" t="s">
        <v>61</v>
      </c>
      <c r="B97" s="3" t="s">
        <v>90</v>
      </c>
      <c r="C97" s="3" t="s">
        <v>394</v>
      </c>
      <c r="D97" s="3" t="s">
        <v>395</v>
      </c>
      <c r="E97" s="3" t="n">
        <v>0.5</v>
      </c>
      <c r="F97" s="6" t="n">
        <f aca="false">H97*Pesos!$B$2+I97*Pesos!$B$3+J97*Pesos!$B$4+K97*Pesos!$B$5+L97*Pesos!$B$6+M97*Pesos!$B$7+N97*Pesos!$B$8+O97*Pesos!$B$9+P97*Pesos!$B$10+Q97*Pesos!$B$11+R97*Pesos!$B$12+S97*Pesos!$B$13+T97*Pesos!$B$14+U97*Pesos!$B$15+V97*Pesos!$B$16+W97*Pesos!$B$17+X97*Pesos!$B$18+Y97*Pesos!$B$19+Z97*Pesos!$B$20+AA97*Pesos!$B$21+AB97*Pesos!$B$22+AC97*Pesos!$B$23+AD97*Pesos!$B$24+AE97*Pesos!$B$25+AF97*Pesos!$B$26+AG97*Pesos!$B$27+AH97*Pesos!$B$28+AI97*Pesos!$B$29+AJ97*Pesos!$B$30+AK97*Pesos!$B$31+AL97*Pesos!$B$32+AM97*Pesos!$B$33+AN97*Pesos!$B$34+AO97*Pesos!$B$35+AP97*Pesos!$B$36+AQ97*Pesos!$B$37+AR97*Pesos!$B$38+AS97*Pesos!$B$39+AT97*Pesos!$B$40+AU97*Pesos!$B$41+AV97*Pesos!$B$42+AW97*Pesos!$B$43+AX97*Pesos!$B$44+AY97*Pesos!$B$45+AZ97*Pesos!$B$46+BA97*Pesos!$B$47+BB97*Pesos!$B$48+BC97*Pesos!$B$49+BD97*Pesos!$B$50+BE97*Pesos!$B$51+BF97*Pesos!$B$52+BG97*Pesos!$B$53</f>
        <v>100</v>
      </c>
      <c r="G97" s="6" t="n">
        <f aca="false">E97*F97</f>
        <v>50</v>
      </c>
      <c r="H97" s="3" t="n">
        <v>49</v>
      </c>
      <c r="I97" s="3" t="n">
        <v>100</v>
      </c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customFormat="false" ht="15" hidden="false" customHeight="false" outlineLevel="0" collapsed="false">
      <c r="A98" s="3" t="s">
        <v>61</v>
      </c>
      <c r="B98" s="3" t="s">
        <v>90</v>
      </c>
      <c r="C98" s="3" t="s">
        <v>396</v>
      </c>
      <c r="D98" s="3" t="s">
        <v>397</v>
      </c>
      <c r="E98" s="3" t="n">
        <v>0.5</v>
      </c>
      <c r="F98" s="6" t="n">
        <f aca="false">H98*Pesos!$B$2+I98*Pesos!$B$3+J98*Pesos!$B$4+K98*Pesos!$B$5+L98*Pesos!$B$6+M98*Pesos!$B$7+N98*Pesos!$B$8+O98*Pesos!$B$9+P98*Pesos!$B$10+Q98*Pesos!$B$11+R98*Pesos!$B$12+S98*Pesos!$B$13+T98*Pesos!$B$14+U98*Pesos!$B$15+V98*Pesos!$B$16+W98*Pesos!$B$17+X98*Pesos!$B$18+Y98*Pesos!$B$19+Z98*Pesos!$B$20+AA98*Pesos!$B$21+AB98*Pesos!$B$22+AC98*Pesos!$B$23+AD98*Pesos!$B$24+AE98*Pesos!$B$25+AF98*Pesos!$B$26+AG98*Pesos!$B$27+AH98*Pesos!$B$28+AI98*Pesos!$B$29+AJ98*Pesos!$B$30+AK98*Pesos!$B$31+AL98*Pesos!$B$32+AM98*Pesos!$B$33+AN98*Pesos!$B$34+AO98*Pesos!$B$35+AP98*Pesos!$B$36+AQ98*Pesos!$B$37+AR98*Pesos!$B$38+AS98*Pesos!$B$39+AT98*Pesos!$B$40+AU98*Pesos!$B$41+AV98*Pesos!$B$42+AW98*Pesos!$B$43+AX98*Pesos!$B$44+AY98*Pesos!$B$45+AZ98*Pesos!$B$46+BA98*Pesos!$B$47+BB98*Pesos!$B$48+BC98*Pesos!$B$49+BD98*Pesos!$B$50+BE98*Pesos!$B$51+BF98*Pesos!$B$52+BG98*Pesos!$B$53</f>
        <v>190</v>
      </c>
      <c r="G98" s="6" t="n">
        <f aca="false">E98*F98</f>
        <v>95</v>
      </c>
      <c r="H98" s="3" t="n">
        <v>63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 t="n">
        <v>2</v>
      </c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 t="n">
        <v>0.75</v>
      </c>
      <c r="AH98" s="3"/>
      <c r="AI98" s="3" t="n">
        <v>0.5</v>
      </c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 t="s">
        <v>336</v>
      </c>
      <c r="BK98" s="3"/>
      <c r="BL98" s="3"/>
      <c r="BM98" s="3"/>
    </row>
    <row r="99" customFormat="false" ht="15" hidden="false" customHeight="false" outlineLevel="0" collapsed="false">
      <c r="A99" s="3" t="s">
        <v>61</v>
      </c>
      <c r="B99" s="3" t="s">
        <v>90</v>
      </c>
      <c r="C99" s="3" t="s">
        <v>398</v>
      </c>
      <c r="D99" s="3" t="s">
        <v>399</v>
      </c>
      <c r="E99" s="3" t="n">
        <v>0.5</v>
      </c>
      <c r="F99" s="6" t="n">
        <f aca="false">H99*Pesos!$B$2+I99*Pesos!$B$3+J99*Pesos!$B$4+K99*Pesos!$B$5+L99*Pesos!$B$6+M99*Pesos!$B$7+N99*Pesos!$B$8+O99*Pesos!$B$9+P99*Pesos!$B$10+Q99*Pesos!$B$11+R99*Pesos!$B$12+S99*Pesos!$B$13+T99*Pesos!$B$14+U99*Pesos!$B$15+V99*Pesos!$B$16+W99*Pesos!$B$17+X99*Pesos!$B$18+Y99*Pesos!$B$19+Z99*Pesos!$B$20+AA99*Pesos!$B$21+AB99*Pesos!$B$22+AC99*Pesos!$B$23+AD99*Pesos!$B$24+AE99*Pesos!$B$25+AF99*Pesos!$B$26+AG99*Pesos!$B$27+AH99*Pesos!$B$28+AI99*Pesos!$B$29+AJ99*Pesos!$B$30+AK99*Pesos!$B$31+AL99*Pesos!$B$32+AM99*Pesos!$B$33+AN99*Pesos!$B$34+AO99*Pesos!$B$35+AP99*Pesos!$B$36+AQ99*Pesos!$B$37+AR99*Pesos!$B$38+AS99*Pesos!$B$39+AT99*Pesos!$B$40+AU99*Pesos!$B$41+AV99*Pesos!$B$42+AW99*Pesos!$B$43+AX99*Pesos!$B$44+AY99*Pesos!$B$45+AZ99*Pesos!$B$46+BA99*Pesos!$B$47+BB99*Pesos!$B$48+BC99*Pesos!$B$49+BD99*Pesos!$B$50+BE99*Pesos!$B$51+BF99*Pesos!$B$52+BG99*Pesos!$B$53</f>
        <v>300</v>
      </c>
      <c r="G99" s="6" t="n">
        <f aca="false">E99*F99</f>
        <v>150</v>
      </c>
      <c r="H99" s="3" t="n">
        <v>84</v>
      </c>
      <c r="I99" s="3"/>
      <c r="J99" s="3"/>
      <c r="K99" s="3"/>
      <c r="L99" s="3"/>
      <c r="M99" s="3"/>
      <c r="N99" s="3"/>
      <c r="O99" s="3"/>
      <c r="P99" s="3"/>
      <c r="Q99" s="3"/>
      <c r="R99" s="3" t="n">
        <v>3</v>
      </c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customFormat="false" ht="15" hidden="false" customHeight="false" outlineLevel="0" collapsed="false">
      <c r="A100" s="3" t="s">
        <v>61</v>
      </c>
      <c r="B100" s="3" t="s">
        <v>90</v>
      </c>
      <c r="C100" s="3" t="s">
        <v>400</v>
      </c>
      <c r="D100" s="3" t="s">
        <v>401</v>
      </c>
      <c r="E100" s="3" t="n">
        <v>0.5</v>
      </c>
      <c r="F100" s="6" t="n">
        <f aca="false">H100*Pesos!$B$2+I100*Pesos!$B$3+J100*Pesos!$B$4+K100*Pesos!$B$5+L100*Pesos!$B$6+M100*Pesos!$B$7+N100*Pesos!$B$8+O100*Pesos!$B$9+P100*Pesos!$B$10+Q100*Pesos!$B$11+R100*Pesos!$B$12+S100*Pesos!$B$13+T100*Pesos!$B$14+U100*Pesos!$B$15+V100*Pesos!$B$16+W100*Pesos!$B$17+X100*Pesos!$B$18+Y100*Pesos!$B$19+Z100*Pesos!$B$20+AA100*Pesos!$B$21+AB100*Pesos!$B$22+AC100*Pesos!$B$23+AD100*Pesos!$B$24+AE100*Pesos!$B$25+AF100*Pesos!$B$26+AG100*Pesos!$B$27+AH100*Pesos!$B$28+AI100*Pesos!$B$29+AJ100*Pesos!$B$30+AK100*Pesos!$B$31+AL100*Pesos!$B$32+AM100*Pesos!$B$33+AN100*Pesos!$B$34+AO100*Pesos!$B$35+AP100*Pesos!$B$36+AQ100*Pesos!$B$37+AR100*Pesos!$B$38+AS100*Pesos!$B$39+AT100*Pesos!$B$40+AU100*Pesos!$B$41+AV100*Pesos!$B$42+AW100*Pesos!$B$43+AX100*Pesos!$B$44+AY100*Pesos!$B$45+AZ100*Pesos!$B$46+BA100*Pesos!$B$47+BB100*Pesos!$B$48+BC100*Pesos!$B$49+BD100*Pesos!$B$50+BE100*Pesos!$B$51+BF100*Pesos!$B$52+BG100*Pesos!$B$53</f>
        <v>230</v>
      </c>
      <c r="G100" s="6" t="n">
        <f aca="false">E100*F100</f>
        <v>115</v>
      </c>
      <c r="H100" s="3" t="n">
        <v>77</v>
      </c>
      <c r="I100" s="3"/>
      <c r="J100" s="3"/>
      <c r="K100" s="3"/>
      <c r="L100" s="3"/>
      <c r="M100" s="3"/>
      <c r="N100" s="3"/>
      <c r="O100" s="3"/>
      <c r="P100" s="3"/>
      <c r="Q100" s="3"/>
      <c r="R100" s="3" t="n">
        <v>2</v>
      </c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 t="n">
        <v>0.75</v>
      </c>
      <c r="AH100" s="3"/>
      <c r="AI100" s="3" t="n">
        <v>0.5</v>
      </c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 t="s">
        <v>336</v>
      </c>
      <c r="BK100" s="3"/>
      <c r="BL100" s="3"/>
      <c r="BM100" s="3"/>
    </row>
    <row r="101" customFormat="false" ht="15" hidden="false" customHeight="false" outlineLevel="0" collapsed="false">
      <c r="A101" s="3" t="s">
        <v>61</v>
      </c>
      <c r="B101" s="3" t="s">
        <v>90</v>
      </c>
      <c r="C101" s="3" t="s">
        <v>402</v>
      </c>
      <c r="D101" s="3" t="s">
        <v>403</v>
      </c>
      <c r="E101" s="3" t="n">
        <v>0.5</v>
      </c>
      <c r="F101" s="6" t="n">
        <f aca="false">H101*Pesos!$B$2+I101*Pesos!$B$3+J101*Pesos!$B$4+K101*Pesos!$B$5+L101*Pesos!$B$6+M101*Pesos!$B$7+N101*Pesos!$B$8+O101*Pesos!$B$9+P101*Pesos!$B$10+Q101*Pesos!$B$11+R101*Pesos!$B$12+S101*Pesos!$B$13+T101*Pesos!$B$14+U101*Pesos!$B$15+V101*Pesos!$B$16+W101*Pesos!$B$17+X101*Pesos!$B$18+Y101*Pesos!$B$19+Z101*Pesos!$B$20+AA101*Pesos!$B$21+AB101*Pesos!$B$22+AC101*Pesos!$B$23+AD101*Pesos!$B$24+AE101*Pesos!$B$25+AF101*Pesos!$B$26+AG101*Pesos!$B$27+AH101*Pesos!$B$28+AI101*Pesos!$B$29+AJ101*Pesos!$B$30+AK101*Pesos!$B$31+AL101*Pesos!$B$32+AM101*Pesos!$B$33+AN101*Pesos!$B$34+AO101*Pesos!$B$35+AP101*Pesos!$B$36+AQ101*Pesos!$B$37+AR101*Pesos!$B$38+AS101*Pesos!$B$39+AT101*Pesos!$B$40+AU101*Pesos!$B$41+AV101*Pesos!$B$42+AW101*Pesos!$B$43+AX101*Pesos!$B$44+AY101*Pesos!$B$45+AZ101*Pesos!$B$46+BA101*Pesos!$B$47+BB101*Pesos!$B$48+BC101*Pesos!$B$49+BD101*Pesos!$B$50+BE101*Pesos!$B$51+BF101*Pesos!$B$52+BG101*Pesos!$B$53</f>
        <v>605</v>
      </c>
      <c r="G101" s="6" t="n">
        <f aca="false">E101*F101</f>
        <v>302.5</v>
      </c>
      <c r="H101" s="3" t="n">
        <v>98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 t="n">
        <v>-5</v>
      </c>
      <c r="AC101" s="3"/>
      <c r="AD101" s="3"/>
      <c r="AE101" s="3" t="n">
        <v>-20</v>
      </c>
      <c r="AF101" s="3"/>
      <c r="AG101" s="3" t="n">
        <v>20</v>
      </c>
      <c r="AH101" s="3"/>
      <c r="AI101" s="3" t="n">
        <v>10</v>
      </c>
      <c r="AJ101" s="3"/>
      <c r="AK101" s="3"/>
      <c r="AL101" s="3"/>
      <c r="AM101" s="3"/>
      <c r="AN101" s="3" t="n">
        <v>-5</v>
      </c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 t="s">
        <v>404</v>
      </c>
      <c r="BI101" s="3"/>
      <c r="BJ101" s="3"/>
      <c r="BK101" s="3"/>
      <c r="BL101" s="3"/>
      <c r="BM101" s="3"/>
    </row>
    <row r="102" customFormat="false" ht="15" hidden="false" customHeight="false" outlineLevel="0" collapsed="false">
      <c r="A102" s="3" t="s">
        <v>61</v>
      </c>
      <c r="B102" s="3" t="s">
        <v>91</v>
      </c>
      <c r="C102" s="3" t="s">
        <v>391</v>
      </c>
      <c r="D102" s="3" t="s">
        <v>405</v>
      </c>
      <c r="E102" s="3" t="n">
        <v>0.5</v>
      </c>
      <c r="F102" s="6" t="n">
        <f aca="false">H102*Pesos!$B$2+I102*Pesos!$B$3+J102*Pesos!$B$4+K102*Pesos!$B$5+L102*Pesos!$B$6+M102*Pesos!$B$7+N102*Pesos!$B$8+O102*Pesos!$B$9+P102*Pesos!$B$10+Q102*Pesos!$B$11+R102*Pesos!$B$12+S102*Pesos!$B$13+T102*Pesos!$B$14+U102*Pesos!$B$15+V102*Pesos!$B$16+W102*Pesos!$B$17+X102*Pesos!$B$18+Y102*Pesos!$B$19+Z102*Pesos!$B$20+AA102*Pesos!$B$21+AB102*Pesos!$B$22+AC102*Pesos!$B$23+AD102*Pesos!$B$24+AE102*Pesos!$B$25+AF102*Pesos!$B$26+AG102*Pesos!$B$27+AH102*Pesos!$B$28+AI102*Pesos!$B$29+AJ102*Pesos!$B$30+AK102*Pesos!$B$31+AL102*Pesos!$B$32+AM102*Pesos!$B$33+AN102*Pesos!$B$34+AO102*Pesos!$B$35+AP102*Pesos!$B$36+AQ102*Pesos!$B$37+AR102*Pesos!$B$38+AS102*Pesos!$B$39+AT102*Pesos!$B$40+AU102*Pesos!$B$41+AV102*Pesos!$B$42+AW102*Pesos!$B$43+AX102*Pesos!$B$44+AY102*Pesos!$B$45+AZ102*Pesos!$B$46+BA102*Pesos!$B$47+BB102*Pesos!$B$48+BC102*Pesos!$B$49+BD102*Pesos!$B$50+BE102*Pesos!$B$51+BF102*Pesos!$B$52+BG102*Pesos!$B$53</f>
        <v>240</v>
      </c>
      <c r="G102" s="6" t="n">
        <f aca="false">E102*F102</f>
        <v>120</v>
      </c>
      <c r="H102" s="3" t="n">
        <v>63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 t="n">
        <v>-3</v>
      </c>
      <c r="AC102" s="3"/>
      <c r="AD102" s="3"/>
      <c r="AE102" s="3" t="n">
        <v>15</v>
      </c>
      <c r="AF102" s="3"/>
      <c r="AG102" s="3" t="n">
        <v>0.75</v>
      </c>
      <c r="AH102" s="3"/>
      <c r="AI102" s="3" t="n">
        <v>0.5</v>
      </c>
      <c r="AJ102" s="3"/>
      <c r="AK102" s="3"/>
      <c r="AL102" s="3" t="n">
        <v>-5</v>
      </c>
      <c r="AM102" s="3"/>
      <c r="AN102" s="3" t="n">
        <v>5</v>
      </c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 t="s">
        <v>405</v>
      </c>
      <c r="BI102" s="3"/>
      <c r="BJ102" s="3" t="s">
        <v>336</v>
      </c>
      <c r="BK102" s="3"/>
      <c r="BL102" s="3"/>
      <c r="BM102" s="3" t="s">
        <v>389</v>
      </c>
    </row>
    <row r="103" customFormat="false" ht="15" hidden="false" customHeight="false" outlineLevel="0" collapsed="false">
      <c r="A103" s="3" t="s">
        <v>61</v>
      </c>
      <c r="B103" s="3" t="s">
        <v>91</v>
      </c>
      <c r="C103" s="3" t="s">
        <v>406</v>
      </c>
      <c r="D103" s="3" t="s">
        <v>407</v>
      </c>
      <c r="E103" s="3" t="n">
        <v>0.5</v>
      </c>
      <c r="F103" s="6" t="n">
        <f aca="false">H103*Pesos!$B$2+I103*Pesos!$B$3+J103*Pesos!$B$4+K103*Pesos!$B$5+L103*Pesos!$B$6+M103*Pesos!$B$7+N103*Pesos!$B$8+O103*Pesos!$B$9+P103*Pesos!$B$10+Q103*Pesos!$B$11+R103*Pesos!$B$12+S103*Pesos!$B$13+T103*Pesos!$B$14+U103*Pesos!$B$15+V103*Pesos!$B$16+W103*Pesos!$B$17+X103*Pesos!$B$18+Y103*Pesos!$B$19+Z103*Pesos!$B$20+AA103*Pesos!$B$21+AB103*Pesos!$B$22+AC103*Pesos!$B$23+AD103*Pesos!$B$24+AE103*Pesos!$B$25+AF103*Pesos!$B$26+AG103*Pesos!$B$27+AH103*Pesos!$B$28+AI103*Pesos!$B$29+AJ103*Pesos!$B$30+AK103*Pesos!$B$31+AL103*Pesos!$B$32+AM103*Pesos!$B$33+AN103*Pesos!$B$34+AO103*Pesos!$B$35+AP103*Pesos!$B$36+AQ103*Pesos!$B$37+AR103*Pesos!$B$38+AS103*Pesos!$B$39+AT103*Pesos!$B$40+AU103*Pesos!$B$41+AV103*Pesos!$B$42+AW103*Pesos!$B$43+AX103*Pesos!$B$44+AY103*Pesos!$B$45+AZ103*Pesos!$B$46+BA103*Pesos!$B$47+BB103*Pesos!$B$48+BC103*Pesos!$B$49+BD103*Pesos!$B$50+BE103*Pesos!$B$51+BF103*Pesos!$B$52+BG103*Pesos!$B$53</f>
        <v>118</v>
      </c>
      <c r="G103" s="6" t="n">
        <f aca="false">E103*F103</f>
        <v>59</v>
      </c>
      <c r="H103" s="3" t="n">
        <v>49</v>
      </c>
      <c r="I103" s="3" t="n">
        <v>100</v>
      </c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 t="n">
        <v>0.45</v>
      </c>
      <c r="AH103" s="3"/>
      <c r="AI103" s="3" t="n">
        <v>0.3</v>
      </c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 t="s">
        <v>408</v>
      </c>
      <c r="BK103" s="3"/>
      <c r="BL103" s="3"/>
      <c r="BM103" s="3"/>
    </row>
    <row r="104" customFormat="false" ht="15" hidden="false" customHeight="false" outlineLevel="0" collapsed="false">
      <c r="A104" s="3" t="s">
        <v>61</v>
      </c>
      <c r="B104" s="3" t="s">
        <v>91</v>
      </c>
      <c r="C104" s="3" t="s">
        <v>409</v>
      </c>
      <c r="D104" s="3" t="s">
        <v>410</v>
      </c>
      <c r="E104" s="3" t="n">
        <v>0.5</v>
      </c>
      <c r="F104" s="6" t="n">
        <f aca="false">H104*Pesos!$B$2+I104*Pesos!$B$3+J104*Pesos!$B$4+K104*Pesos!$B$5+L104*Pesos!$B$6+M104*Pesos!$B$7+N104*Pesos!$B$8+O104*Pesos!$B$9+P104*Pesos!$B$10+Q104*Pesos!$B$11+R104*Pesos!$B$12+S104*Pesos!$B$13+T104*Pesos!$B$14+U104*Pesos!$B$15+V104*Pesos!$B$16+W104*Pesos!$B$17+X104*Pesos!$B$18+Y104*Pesos!$B$19+Z104*Pesos!$B$20+AA104*Pesos!$B$21+AB104*Pesos!$B$22+AC104*Pesos!$B$23+AD104*Pesos!$B$24+AE104*Pesos!$B$25+AF104*Pesos!$B$26+AG104*Pesos!$B$27+AH104*Pesos!$B$28+AI104*Pesos!$B$29+AJ104*Pesos!$B$30+AK104*Pesos!$B$31+AL104*Pesos!$B$32+AM104*Pesos!$B$33+AN104*Pesos!$B$34+AO104*Pesos!$B$35+AP104*Pesos!$B$36+AQ104*Pesos!$B$37+AR104*Pesos!$B$38+AS104*Pesos!$B$39+AT104*Pesos!$B$40+AU104*Pesos!$B$41+AV104*Pesos!$B$42+AW104*Pesos!$B$43+AX104*Pesos!$B$44+AY104*Pesos!$B$45+AZ104*Pesos!$B$46+BA104*Pesos!$B$47+BB104*Pesos!$B$48+BC104*Pesos!$B$49+BD104*Pesos!$B$50+BE104*Pesos!$B$51+BF104*Pesos!$B$52+BG104*Pesos!$B$53</f>
        <v>200</v>
      </c>
      <c r="G104" s="6" t="n">
        <f aca="false">E104*F104</f>
        <v>100</v>
      </c>
      <c r="H104" s="3" t="n">
        <v>49</v>
      </c>
      <c r="I104" s="3"/>
      <c r="J104" s="3"/>
      <c r="K104" s="3"/>
      <c r="L104" s="3"/>
      <c r="M104" s="3"/>
      <c r="N104" s="3"/>
      <c r="O104" s="3"/>
      <c r="P104" s="3"/>
      <c r="Q104" s="3"/>
      <c r="R104" s="3" t="n">
        <v>2</v>
      </c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customFormat="false" ht="15" hidden="false" customHeight="false" outlineLevel="0" collapsed="false">
      <c r="A105" s="3" t="s">
        <v>61</v>
      </c>
      <c r="B105" s="3" t="s">
        <v>91</v>
      </c>
      <c r="C105" s="3" t="s">
        <v>411</v>
      </c>
      <c r="D105" s="3" t="s">
        <v>412</v>
      </c>
      <c r="E105" s="3" t="n">
        <v>0.5</v>
      </c>
      <c r="F105" s="6" t="n">
        <f aca="false">H105*Pesos!$B$2+I105*Pesos!$B$3+J105*Pesos!$B$4+K105*Pesos!$B$5+L105*Pesos!$B$6+M105*Pesos!$B$7+N105*Pesos!$B$8+O105*Pesos!$B$9+P105*Pesos!$B$10+Q105*Pesos!$B$11+R105*Pesos!$B$12+S105*Pesos!$B$13+T105*Pesos!$B$14+U105*Pesos!$B$15+V105*Pesos!$B$16+W105*Pesos!$B$17+X105*Pesos!$B$18+Y105*Pesos!$B$19+Z105*Pesos!$B$20+AA105*Pesos!$B$21+AB105*Pesos!$B$22+AC105*Pesos!$B$23+AD105*Pesos!$B$24+AE105*Pesos!$B$25+AF105*Pesos!$B$26+AG105*Pesos!$B$27+AH105*Pesos!$B$28+AI105*Pesos!$B$29+AJ105*Pesos!$B$30+AK105*Pesos!$B$31+AL105*Pesos!$B$32+AM105*Pesos!$B$33+AN105*Pesos!$B$34+AO105*Pesos!$B$35+AP105*Pesos!$B$36+AQ105*Pesos!$B$37+AR105*Pesos!$B$38+AS105*Pesos!$B$39+AT105*Pesos!$B$40+AU105*Pesos!$B$41+AV105*Pesos!$B$42+AW105*Pesos!$B$43+AX105*Pesos!$B$44+AY105*Pesos!$B$45+AZ105*Pesos!$B$46+BA105*Pesos!$B$47+BB105*Pesos!$B$48+BC105*Pesos!$B$49+BD105*Pesos!$B$50+BE105*Pesos!$B$51+BF105*Pesos!$B$52+BG105*Pesos!$B$53</f>
        <v>148</v>
      </c>
      <c r="G105" s="6" t="n">
        <f aca="false">E105*F105</f>
        <v>74</v>
      </c>
      <c r="H105" s="3" t="n">
        <v>63</v>
      </c>
      <c r="I105" s="3" t="n">
        <v>100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 t="n">
        <v>1.2</v>
      </c>
      <c r="AH105" s="3"/>
      <c r="AI105" s="3" t="n">
        <v>0.8</v>
      </c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 t="s">
        <v>413</v>
      </c>
      <c r="BK105" s="3"/>
      <c r="BL105" s="3"/>
      <c r="BM105" s="3"/>
    </row>
    <row r="106" customFormat="false" ht="15" hidden="false" customHeight="false" outlineLevel="0" collapsed="false">
      <c r="A106" s="3" t="s">
        <v>61</v>
      </c>
      <c r="B106" s="3" t="s">
        <v>91</v>
      </c>
      <c r="C106" s="3" t="s">
        <v>414</v>
      </c>
      <c r="D106" s="3" t="s">
        <v>415</v>
      </c>
      <c r="E106" s="3" t="n">
        <v>0.5</v>
      </c>
      <c r="F106" s="6" t="n">
        <f aca="false">H106*Pesos!$B$2+I106*Pesos!$B$3+J106*Pesos!$B$4+K106*Pesos!$B$5+L106*Pesos!$B$6+M106*Pesos!$B$7+N106*Pesos!$B$8+O106*Pesos!$B$9+P106*Pesos!$B$10+Q106*Pesos!$B$11+R106*Pesos!$B$12+S106*Pesos!$B$13+T106*Pesos!$B$14+U106*Pesos!$B$15+V106*Pesos!$B$16+W106*Pesos!$B$17+X106*Pesos!$B$18+Y106*Pesos!$B$19+Z106*Pesos!$B$20+AA106*Pesos!$B$21+AB106*Pesos!$B$22+AC106*Pesos!$B$23+AD106*Pesos!$B$24+AE106*Pesos!$B$25+AF106*Pesos!$B$26+AG106*Pesos!$B$27+AH106*Pesos!$B$28+AI106*Pesos!$B$29+AJ106*Pesos!$B$30+AK106*Pesos!$B$31+AL106*Pesos!$B$32+AM106*Pesos!$B$33+AN106*Pesos!$B$34+AO106*Pesos!$B$35+AP106*Pesos!$B$36+AQ106*Pesos!$B$37+AR106*Pesos!$B$38+AS106*Pesos!$B$39+AT106*Pesos!$B$40+AU106*Pesos!$B$41+AV106*Pesos!$B$42+AW106*Pesos!$B$43+AX106*Pesos!$B$44+AY106*Pesos!$B$45+AZ106*Pesos!$B$46+BA106*Pesos!$B$47+BB106*Pesos!$B$48+BC106*Pesos!$B$49+BD106*Pesos!$B$50+BE106*Pesos!$B$51+BF106*Pesos!$B$52+BG106*Pesos!$B$53</f>
        <v>300</v>
      </c>
      <c r="G106" s="6" t="n">
        <f aca="false">E106*F106</f>
        <v>150</v>
      </c>
      <c r="H106" s="3" t="n">
        <v>84</v>
      </c>
      <c r="I106" s="3"/>
      <c r="J106" s="3"/>
      <c r="K106" s="3"/>
      <c r="L106" s="3"/>
      <c r="M106" s="3"/>
      <c r="N106" s="3"/>
      <c r="O106" s="3"/>
      <c r="P106" s="3" t="n">
        <v>1</v>
      </c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customFormat="false" ht="15" hidden="false" customHeight="false" outlineLevel="0" collapsed="false">
      <c r="A107" s="3" t="s">
        <v>61</v>
      </c>
      <c r="B107" s="3" t="s">
        <v>91</v>
      </c>
      <c r="C107" s="3" t="s">
        <v>416</v>
      </c>
      <c r="D107" s="3" t="s">
        <v>417</v>
      </c>
      <c r="E107" s="3" t="n">
        <v>0.5</v>
      </c>
      <c r="F107" s="6" t="n">
        <f aca="false">H107*Pesos!$B$2+I107*Pesos!$B$3+J107*Pesos!$B$4+K107*Pesos!$B$5+L107*Pesos!$B$6+M107*Pesos!$B$7+N107*Pesos!$B$8+O107*Pesos!$B$9+P107*Pesos!$B$10+Q107*Pesos!$B$11+R107*Pesos!$B$12+S107*Pesos!$B$13+T107*Pesos!$B$14+U107*Pesos!$B$15+V107*Pesos!$B$16+W107*Pesos!$B$17+X107*Pesos!$B$18+Y107*Pesos!$B$19+Z107*Pesos!$B$20+AA107*Pesos!$B$21+AB107*Pesos!$B$22+AC107*Pesos!$B$23+AD107*Pesos!$B$24+AE107*Pesos!$B$25+AF107*Pesos!$B$26+AG107*Pesos!$B$27+AH107*Pesos!$B$28+AI107*Pesos!$B$29+AJ107*Pesos!$B$30+AK107*Pesos!$B$31+AL107*Pesos!$B$32+AM107*Pesos!$B$33+AN107*Pesos!$B$34+AO107*Pesos!$B$35+AP107*Pesos!$B$36+AQ107*Pesos!$B$37+AR107*Pesos!$B$38+AS107*Pesos!$B$39+AT107*Pesos!$B$40+AU107*Pesos!$B$41+AV107*Pesos!$B$42+AW107*Pesos!$B$43+AX107*Pesos!$B$44+AY107*Pesos!$B$45+AZ107*Pesos!$B$46+BA107*Pesos!$B$47+BB107*Pesos!$B$48+BC107*Pesos!$B$49+BD107*Pesos!$B$50+BE107*Pesos!$B$51+BF107*Pesos!$B$52+BG107*Pesos!$B$53</f>
        <v>140</v>
      </c>
      <c r="G107" s="6" t="n">
        <f aca="false">E107*F107</f>
        <v>70</v>
      </c>
      <c r="H107" s="3" t="n">
        <v>77</v>
      </c>
      <c r="I107" s="3" t="n">
        <v>100</v>
      </c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 t="n">
        <v>-2</v>
      </c>
      <c r="AC107" s="3"/>
      <c r="AD107" s="3"/>
      <c r="AE107" s="3"/>
      <c r="AF107" s="3"/>
      <c r="AG107" s="3" t="n">
        <v>1.5</v>
      </c>
      <c r="AH107" s="3"/>
      <c r="AI107" s="3" t="n">
        <v>1</v>
      </c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 t="s">
        <v>418</v>
      </c>
      <c r="BK107" s="3"/>
      <c r="BL107" s="3"/>
      <c r="BM107" s="3"/>
    </row>
    <row r="108" customFormat="false" ht="15" hidden="false" customHeight="false" outlineLevel="0" collapsed="false">
      <c r="A108" s="3" t="s">
        <v>61</v>
      </c>
      <c r="B108" s="3" t="s">
        <v>91</v>
      </c>
      <c r="C108" s="3" t="s">
        <v>419</v>
      </c>
      <c r="D108" s="3" t="s">
        <v>420</v>
      </c>
      <c r="E108" s="3" t="n">
        <v>0.5</v>
      </c>
      <c r="F108" s="6" t="n">
        <f aca="false">H108*Pesos!$B$2+I108*Pesos!$B$3+J108*Pesos!$B$4+K108*Pesos!$B$5+L108*Pesos!$B$6+M108*Pesos!$B$7+N108*Pesos!$B$8+O108*Pesos!$B$9+P108*Pesos!$B$10+Q108*Pesos!$B$11+R108*Pesos!$B$12+S108*Pesos!$B$13+T108*Pesos!$B$14+U108*Pesos!$B$15+V108*Pesos!$B$16+W108*Pesos!$B$17+X108*Pesos!$B$18+Y108*Pesos!$B$19+Z108*Pesos!$B$20+AA108*Pesos!$B$21+AB108*Pesos!$B$22+AC108*Pesos!$B$23+AD108*Pesos!$B$24+AE108*Pesos!$B$25+AF108*Pesos!$B$26+AG108*Pesos!$B$27+AH108*Pesos!$B$28+AI108*Pesos!$B$29+AJ108*Pesos!$B$30+AK108*Pesos!$B$31+AL108*Pesos!$B$32+AM108*Pesos!$B$33+AN108*Pesos!$B$34+AO108*Pesos!$B$35+AP108*Pesos!$B$36+AQ108*Pesos!$B$37+AR108*Pesos!$B$38+AS108*Pesos!$B$39+AT108*Pesos!$B$40+AU108*Pesos!$B$41+AV108*Pesos!$B$42+AW108*Pesos!$B$43+AX108*Pesos!$B$44+AY108*Pesos!$B$45+AZ108*Pesos!$B$46+BA108*Pesos!$B$47+BB108*Pesos!$B$48+BC108*Pesos!$B$49+BD108*Pesos!$B$50+BE108*Pesos!$B$51+BF108*Pesos!$B$52+BG108*Pesos!$B$53</f>
        <v>147</v>
      </c>
      <c r="G108" s="6" t="n">
        <f aca="false">E108*F108</f>
        <v>73.5</v>
      </c>
      <c r="H108" s="3" t="n">
        <v>98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 t="n">
        <v>-0.1</v>
      </c>
      <c r="AB108" s="3" t="n">
        <v>-2</v>
      </c>
      <c r="AC108" s="3"/>
      <c r="AD108" s="3"/>
      <c r="AE108" s="3" t="n">
        <v>15</v>
      </c>
      <c r="AF108" s="3"/>
      <c r="AG108" s="3"/>
      <c r="AH108" s="3"/>
      <c r="AI108" s="3"/>
      <c r="AJ108" s="3"/>
      <c r="AK108" s="3"/>
      <c r="AL108" s="3" t="n">
        <v>-5</v>
      </c>
      <c r="AM108" s="3"/>
      <c r="AN108" s="3" t="n">
        <v>5</v>
      </c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 t="s">
        <v>421</v>
      </c>
      <c r="BI108" s="3"/>
      <c r="BJ108" s="3"/>
      <c r="BK108" s="3"/>
      <c r="BL108" s="3"/>
      <c r="BM108" s="3"/>
    </row>
    <row r="109" customFormat="false" ht="15" hidden="false" customHeight="false" outlineLevel="0" collapsed="false">
      <c r="A109" s="3" t="s">
        <v>61</v>
      </c>
      <c r="B109" s="3" t="s">
        <v>92</v>
      </c>
      <c r="C109" s="3" t="s">
        <v>422</v>
      </c>
      <c r="D109" s="3" t="s">
        <v>423</v>
      </c>
      <c r="E109" s="3" t="n">
        <v>1</v>
      </c>
      <c r="F109" s="6" t="n">
        <f aca="false">H109*Pesos!$B$2+I109*Pesos!$B$3+J109*Pesos!$B$4+K109*Pesos!$B$5+L109*Pesos!$B$6+M109*Pesos!$B$7+N109*Pesos!$B$8+O109*Pesos!$B$9+P109*Pesos!$B$10+Q109*Pesos!$B$11+R109*Pesos!$B$12+S109*Pesos!$B$13+T109*Pesos!$B$14+U109*Pesos!$B$15+V109*Pesos!$B$16+W109*Pesos!$B$17+X109*Pesos!$B$18+Y109*Pesos!$B$19+Z109*Pesos!$B$20+AA109*Pesos!$B$21+AB109*Pesos!$B$22+AC109*Pesos!$B$23+AD109*Pesos!$B$24+AE109*Pesos!$B$25+AF109*Pesos!$B$26+AG109*Pesos!$B$27+AH109*Pesos!$B$28+AI109*Pesos!$B$29+AJ109*Pesos!$B$30+AK109*Pesos!$B$31+AL109*Pesos!$B$32+AM109*Pesos!$B$33+AN109*Pesos!$B$34+AO109*Pesos!$B$35+AP109*Pesos!$B$36+AQ109*Pesos!$B$37+AR109*Pesos!$B$38+AS109*Pesos!$B$39+AT109*Pesos!$B$40+AU109*Pesos!$B$41+AV109*Pesos!$B$42+AW109*Pesos!$B$43+AX109*Pesos!$B$44+AY109*Pesos!$B$45+AZ109*Pesos!$B$46+BA109*Pesos!$B$47+BB109*Pesos!$B$48+BC109*Pesos!$B$49+BD109*Pesos!$B$50+BE109*Pesos!$B$51+BF109*Pesos!$B$52+BG109*Pesos!$B$53</f>
        <v>450</v>
      </c>
      <c r="G109" s="6" t="n">
        <f aca="false">E109*F109</f>
        <v>450</v>
      </c>
      <c r="H109" s="3" t="n">
        <v>49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 t="n">
        <v>15</v>
      </c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 t="s">
        <v>424</v>
      </c>
      <c r="BI109" s="3"/>
      <c r="BJ109" s="3"/>
      <c r="BK109" s="3"/>
      <c r="BL109" s="3"/>
      <c r="BM109" s="3"/>
    </row>
    <row r="110" customFormat="false" ht="15" hidden="false" customHeight="false" outlineLevel="0" collapsed="false">
      <c r="A110" s="3" t="s">
        <v>61</v>
      </c>
      <c r="B110" s="3" t="s">
        <v>92</v>
      </c>
      <c r="C110" s="3" t="s">
        <v>425</v>
      </c>
      <c r="D110" s="3" t="s">
        <v>426</v>
      </c>
      <c r="E110" s="3" t="n">
        <v>1</v>
      </c>
      <c r="F110" s="6" t="n">
        <f aca="false">H110*Pesos!$B$2+I110*Pesos!$B$3+J110*Pesos!$B$4+K110*Pesos!$B$5+L110*Pesos!$B$6+M110*Pesos!$B$7+N110*Pesos!$B$8+O110*Pesos!$B$9+P110*Pesos!$B$10+Q110*Pesos!$B$11+R110*Pesos!$B$12+S110*Pesos!$B$13+T110*Pesos!$B$14+U110*Pesos!$B$15+V110*Pesos!$B$16+W110*Pesos!$B$17+X110*Pesos!$B$18+Y110*Pesos!$B$19+Z110*Pesos!$B$20+AA110*Pesos!$B$21+AB110*Pesos!$B$22+AC110*Pesos!$B$23+AD110*Pesos!$B$24+AE110*Pesos!$B$25+AF110*Pesos!$B$26+AG110*Pesos!$B$27+AH110*Pesos!$B$28+AI110*Pesos!$B$29+AJ110*Pesos!$B$30+AK110*Pesos!$B$31+AL110*Pesos!$B$32+AM110*Pesos!$B$33+AN110*Pesos!$B$34+AO110*Pesos!$B$35+AP110*Pesos!$B$36+AQ110*Pesos!$B$37+AR110*Pesos!$B$38+AS110*Pesos!$B$39+AT110*Pesos!$B$40+AU110*Pesos!$B$41+AV110*Pesos!$B$42+AW110*Pesos!$B$43+AX110*Pesos!$B$44+AY110*Pesos!$B$45+AZ110*Pesos!$B$46+BA110*Pesos!$B$47+BB110*Pesos!$B$48+BC110*Pesos!$B$49+BD110*Pesos!$B$50+BE110*Pesos!$B$51+BF110*Pesos!$B$52+BG110*Pesos!$B$53</f>
        <v>25</v>
      </c>
      <c r="G110" s="6" t="n">
        <f aca="false">E110*F110</f>
        <v>25</v>
      </c>
      <c r="H110" s="3" t="n">
        <v>49</v>
      </c>
      <c r="I110" s="3"/>
      <c r="J110" s="3"/>
      <c r="K110" s="3"/>
      <c r="L110" s="3"/>
      <c r="M110" s="3"/>
      <c r="N110" s="3"/>
      <c r="O110" s="3"/>
      <c r="P110" s="3"/>
      <c r="Q110" s="3" t="n">
        <v>1</v>
      </c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customFormat="false" ht="15" hidden="false" customHeight="false" outlineLevel="0" collapsed="false">
      <c r="A111" s="3" t="s">
        <v>61</v>
      </c>
      <c r="B111" s="3" t="s">
        <v>92</v>
      </c>
      <c r="C111" s="3" t="s">
        <v>427</v>
      </c>
      <c r="D111" s="3" t="s">
        <v>428</v>
      </c>
      <c r="E111" s="3" t="n">
        <v>1</v>
      </c>
      <c r="F111" s="6" t="n">
        <f aca="false">H111*Pesos!$B$2+I111*Pesos!$B$3+J111*Pesos!$B$4+K111*Pesos!$B$5+L111*Pesos!$B$6+M111*Pesos!$B$7+N111*Pesos!$B$8+O111*Pesos!$B$9+P111*Pesos!$B$10+Q111*Pesos!$B$11+R111*Pesos!$B$12+S111*Pesos!$B$13+T111*Pesos!$B$14+U111*Pesos!$B$15+V111*Pesos!$B$16+W111*Pesos!$B$17+X111*Pesos!$B$18+Y111*Pesos!$B$19+Z111*Pesos!$B$20+AA111*Pesos!$B$21+AB111*Pesos!$B$22+AC111*Pesos!$B$23+AD111*Pesos!$B$24+AE111*Pesos!$B$25+AF111*Pesos!$B$26+AG111*Pesos!$B$27+AH111*Pesos!$B$28+AI111*Pesos!$B$29+AJ111*Pesos!$B$30+AK111*Pesos!$B$31+AL111*Pesos!$B$32+AM111*Pesos!$B$33+AN111*Pesos!$B$34+AO111*Pesos!$B$35+AP111*Pesos!$B$36+AQ111*Pesos!$B$37+AR111*Pesos!$B$38+AS111*Pesos!$B$39+AT111*Pesos!$B$40+AU111*Pesos!$B$41+AV111*Pesos!$B$42+AW111*Pesos!$B$43+AX111*Pesos!$B$44+AY111*Pesos!$B$45+AZ111*Pesos!$B$46+BA111*Pesos!$B$47+BB111*Pesos!$B$48+BC111*Pesos!$B$49+BD111*Pesos!$B$50+BE111*Pesos!$B$51+BF111*Pesos!$B$52+BG111*Pesos!$B$53</f>
        <v>160</v>
      </c>
      <c r="G111" s="6" t="n">
        <f aca="false">E111*F111</f>
        <v>160</v>
      </c>
      <c r="H111" s="3" t="n">
        <v>63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 t="n">
        <v>2</v>
      </c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customFormat="false" ht="15" hidden="false" customHeight="false" outlineLevel="0" collapsed="false">
      <c r="A112" s="3" t="s">
        <v>61</v>
      </c>
      <c r="B112" s="3" t="s">
        <v>92</v>
      </c>
      <c r="C112" s="3" t="s">
        <v>429</v>
      </c>
      <c r="D112" s="3" t="s">
        <v>430</v>
      </c>
      <c r="E112" s="3" t="n">
        <v>1</v>
      </c>
      <c r="F112" s="6" t="n">
        <f aca="false">H112*Pesos!$B$2+I112*Pesos!$B$3+J112*Pesos!$B$4+K112*Pesos!$B$5+L112*Pesos!$B$6+M112*Pesos!$B$7+N112*Pesos!$B$8+O112*Pesos!$B$9+P112*Pesos!$B$10+Q112*Pesos!$B$11+R112*Pesos!$B$12+S112*Pesos!$B$13+T112*Pesos!$B$14+U112*Pesos!$B$15+V112*Pesos!$B$16+W112*Pesos!$B$17+X112*Pesos!$B$18+Y112*Pesos!$B$19+Z112*Pesos!$B$20+AA112*Pesos!$B$21+AB112*Pesos!$B$22+AC112*Pesos!$B$23+AD112*Pesos!$B$24+AE112*Pesos!$B$25+AF112*Pesos!$B$26+AG112*Pesos!$B$27+AH112*Pesos!$B$28+AI112*Pesos!$B$29+AJ112*Pesos!$B$30+AK112*Pesos!$B$31+AL112*Pesos!$B$32+AM112*Pesos!$B$33+AN112*Pesos!$B$34+AO112*Pesos!$B$35+AP112*Pesos!$B$36+AQ112*Pesos!$B$37+AR112*Pesos!$B$38+AS112*Pesos!$B$39+AT112*Pesos!$B$40+AU112*Pesos!$B$41+AV112*Pesos!$B$42+AW112*Pesos!$B$43+AX112*Pesos!$B$44+AY112*Pesos!$B$45+AZ112*Pesos!$B$46+BA112*Pesos!$B$47+BB112*Pesos!$B$48+BC112*Pesos!$B$49+BD112*Pesos!$B$50+BE112*Pesos!$B$51+BF112*Pesos!$B$52+BG112*Pesos!$B$53</f>
        <v>300</v>
      </c>
      <c r="G112" s="6" t="n">
        <f aca="false">E112*F112</f>
        <v>300</v>
      </c>
      <c r="H112" s="3" t="n">
        <v>49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 t="n">
        <v>10</v>
      </c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 t="s">
        <v>431</v>
      </c>
      <c r="BI112" s="3"/>
      <c r="BJ112" s="3"/>
      <c r="BK112" s="3"/>
      <c r="BL112" s="3"/>
      <c r="BM112" s="3"/>
    </row>
    <row r="113" customFormat="false" ht="15" hidden="false" customHeight="false" outlineLevel="0" collapsed="false">
      <c r="A113" s="3" t="s">
        <v>61</v>
      </c>
      <c r="B113" s="3" t="s">
        <v>92</v>
      </c>
      <c r="C113" s="3" t="s">
        <v>432</v>
      </c>
      <c r="D113" s="3" t="s">
        <v>433</v>
      </c>
      <c r="E113" s="3" t="n">
        <v>1</v>
      </c>
      <c r="F113" s="6" t="n">
        <f aca="false">H113*Pesos!$B$2+I113*Pesos!$B$3+J113*Pesos!$B$4+K113*Pesos!$B$5+L113*Pesos!$B$6+M113*Pesos!$B$7+N113*Pesos!$B$8+O113*Pesos!$B$9+P113*Pesos!$B$10+Q113*Pesos!$B$11+R113*Pesos!$B$12+S113*Pesos!$B$13+T113*Pesos!$B$14+U113*Pesos!$B$15+V113*Pesos!$B$16+W113*Pesos!$B$17+X113*Pesos!$B$18+Y113*Pesos!$B$19+Z113*Pesos!$B$20+AA113*Pesos!$B$21+AB113*Pesos!$B$22+AC113*Pesos!$B$23+AD113*Pesos!$B$24+AE113*Pesos!$B$25+AF113*Pesos!$B$26+AG113*Pesos!$B$27+AH113*Pesos!$B$28+AI113*Pesos!$B$29+AJ113*Pesos!$B$30+AK113*Pesos!$B$31+AL113*Pesos!$B$32+AM113*Pesos!$B$33+AN113*Pesos!$B$34+AO113*Pesos!$B$35+AP113*Pesos!$B$36+AQ113*Pesos!$B$37+AR113*Pesos!$B$38+AS113*Pesos!$B$39+AT113*Pesos!$B$40+AU113*Pesos!$B$41+AV113*Pesos!$B$42+AW113*Pesos!$B$43+AX113*Pesos!$B$44+AY113*Pesos!$B$45+AZ113*Pesos!$B$46+BA113*Pesos!$B$47+BB113*Pesos!$B$48+BC113*Pesos!$B$49+BD113*Pesos!$B$50+BE113*Pesos!$B$51+BF113*Pesos!$B$52+BG113*Pesos!$B$53</f>
        <v>120</v>
      </c>
      <c r="G113" s="6" t="n">
        <f aca="false">E113*F113</f>
        <v>120</v>
      </c>
      <c r="H113" s="3" t="n">
        <v>49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 t="n">
        <v>2</v>
      </c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customFormat="false" ht="15" hidden="false" customHeight="false" outlineLevel="0" collapsed="false">
      <c r="A114" s="3" t="s">
        <v>61</v>
      </c>
      <c r="B114" s="3" t="s">
        <v>92</v>
      </c>
      <c r="C114" s="3" t="s">
        <v>434</v>
      </c>
      <c r="D114" s="3" t="s">
        <v>435</v>
      </c>
      <c r="E114" s="3" t="n">
        <v>1</v>
      </c>
      <c r="F114" s="6" t="n">
        <f aca="false">H114*Pesos!$B$2+I114*Pesos!$B$3+J114*Pesos!$B$4+K114*Pesos!$B$5+L114*Pesos!$B$6+M114*Pesos!$B$7+N114*Pesos!$B$8+O114*Pesos!$B$9+P114*Pesos!$B$10+Q114*Pesos!$B$11+R114*Pesos!$B$12+S114*Pesos!$B$13+T114*Pesos!$B$14+U114*Pesos!$B$15+V114*Pesos!$B$16+W114*Pesos!$B$17+X114*Pesos!$B$18+Y114*Pesos!$B$19+Z114*Pesos!$B$20+AA114*Pesos!$B$21+AB114*Pesos!$B$22+AC114*Pesos!$B$23+AD114*Pesos!$B$24+AE114*Pesos!$B$25+AF114*Pesos!$B$26+AG114*Pesos!$B$27+AH114*Pesos!$B$28+AI114*Pesos!$B$29+AJ114*Pesos!$B$30+AK114*Pesos!$B$31+AL114*Pesos!$B$32+AM114*Pesos!$B$33+AN114*Pesos!$B$34+AO114*Pesos!$B$35+AP114*Pesos!$B$36+AQ114*Pesos!$B$37+AR114*Pesos!$B$38+AS114*Pesos!$B$39+AT114*Pesos!$B$40+AU114*Pesos!$B$41+AV114*Pesos!$B$42+AW114*Pesos!$B$43+AX114*Pesos!$B$44+AY114*Pesos!$B$45+AZ114*Pesos!$B$46+BA114*Pesos!$B$47+BB114*Pesos!$B$48+BC114*Pesos!$B$49+BD114*Pesos!$B$50+BE114*Pesos!$B$51+BF114*Pesos!$B$52+BG114*Pesos!$B$53</f>
        <v>330</v>
      </c>
      <c r="G114" s="6" t="n">
        <f aca="false">E114*F114</f>
        <v>330</v>
      </c>
      <c r="H114" s="3" t="n">
        <v>105</v>
      </c>
      <c r="I114" s="3"/>
      <c r="J114" s="3"/>
      <c r="K114" s="3"/>
      <c r="L114" s="3"/>
      <c r="M114" s="3"/>
      <c r="N114" s="3"/>
      <c r="O114" s="3"/>
      <c r="P114" s="3" t="n">
        <v>1</v>
      </c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 t="n">
        <v>0.75</v>
      </c>
      <c r="AH114" s="3"/>
      <c r="AI114" s="3" t="n">
        <v>0.5</v>
      </c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 t="s">
        <v>336</v>
      </c>
      <c r="BK114" s="3"/>
      <c r="BL114" s="3"/>
      <c r="BM114" s="3"/>
    </row>
    <row r="115" customFormat="false" ht="15" hidden="false" customHeight="false" outlineLevel="0" collapsed="false">
      <c r="A115" s="3" t="s">
        <v>61</v>
      </c>
      <c r="B115" s="3" t="s">
        <v>93</v>
      </c>
      <c r="C115" s="3" t="s">
        <v>436</v>
      </c>
      <c r="D115" s="3" t="s">
        <v>437</v>
      </c>
      <c r="E115" s="3" t="n">
        <v>1</v>
      </c>
      <c r="F115" s="6" t="n">
        <f aca="false">H115*Pesos!$B$2+I115*Pesos!$B$3+J115*Pesos!$B$4+K115*Pesos!$B$5+L115*Pesos!$B$6+M115*Pesos!$B$7+N115*Pesos!$B$8+O115*Pesos!$B$9+P115*Pesos!$B$10+Q115*Pesos!$B$11+R115*Pesos!$B$12+S115*Pesos!$B$13+T115*Pesos!$B$14+U115*Pesos!$B$15+V115*Pesos!$B$16+W115*Pesos!$B$17+X115*Pesos!$B$18+Y115*Pesos!$B$19+Z115*Pesos!$B$20+AA115*Pesos!$B$21+AB115*Pesos!$B$22+AC115*Pesos!$B$23+AD115*Pesos!$B$24+AE115*Pesos!$B$25+AF115*Pesos!$B$26+AG115*Pesos!$B$27+AH115*Pesos!$B$28+AI115*Pesos!$B$29+AJ115*Pesos!$B$30+AK115*Pesos!$B$31+AL115*Pesos!$B$32+AM115*Pesos!$B$33+AN115*Pesos!$B$34+AO115*Pesos!$B$35+AP115*Pesos!$B$36+AQ115*Pesos!$B$37+AR115*Pesos!$B$38+AS115*Pesos!$B$39+AT115*Pesos!$B$40+AU115*Pesos!$B$41+AV115*Pesos!$B$42+AW115*Pesos!$B$43+AX115*Pesos!$B$44+AY115*Pesos!$B$45+AZ115*Pesos!$B$46+BA115*Pesos!$B$47+BB115*Pesos!$B$48+BC115*Pesos!$B$49+BD115*Pesos!$B$50+BE115*Pesos!$B$51+BF115*Pesos!$B$52+BG115*Pesos!$B$53</f>
        <v>405</v>
      </c>
      <c r="G115" s="6" t="n">
        <f aca="false">E115*F115</f>
        <v>405</v>
      </c>
      <c r="H115" s="3" t="n">
        <v>49</v>
      </c>
      <c r="I115" s="3"/>
      <c r="J115" s="3"/>
      <c r="K115" s="3"/>
      <c r="L115" s="3"/>
      <c r="M115" s="3"/>
      <c r="N115" s="3"/>
      <c r="O115" s="3"/>
      <c r="P115" s="3"/>
      <c r="Q115" s="3" t="n">
        <v>1</v>
      </c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 t="n">
        <v>10</v>
      </c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 t="n">
        <v>10</v>
      </c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 t="s">
        <v>438</v>
      </c>
      <c r="BI115" s="3"/>
      <c r="BJ115" s="3"/>
      <c r="BK115" s="3"/>
      <c r="BL115" s="3"/>
      <c r="BM115" s="3"/>
    </row>
    <row r="116" customFormat="false" ht="15" hidden="false" customHeight="false" outlineLevel="0" collapsed="false">
      <c r="A116" s="3" t="s">
        <v>61</v>
      </c>
      <c r="B116" s="3" t="s">
        <v>93</v>
      </c>
      <c r="C116" s="3" t="s">
        <v>439</v>
      </c>
      <c r="D116" s="3" t="s">
        <v>440</v>
      </c>
      <c r="E116" s="3" t="n">
        <v>1</v>
      </c>
      <c r="F116" s="6" t="n">
        <f aca="false">H116*Pesos!$B$2+I116*Pesos!$B$3+J116*Pesos!$B$4+K116*Pesos!$B$5+L116*Pesos!$B$6+M116*Pesos!$B$7+N116*Pesos!$B$8+O116*Pesos!$B$9+P116*Pesos!$B$10+Q116*Pesos!$B$11+R116*Pesos!$B$12+S116*Pesos!$B$13+T116*Pesos!$B$14+U116*Pesos!$B$15+V116*Pesos!$B$16+W116*Pesos!$B$17+X116*Pesos!$B$18+Y116*Pesos!$B$19+Z116*Pesos!$B$20+AA116*Pesos!$B$21+AB116*Pesos!$B$22+AC116*Pesos!$B$23+AD116*Pesos!$B$24+AE116*Pesos!$B$25+AF116*Pesos!$B$26+AG116*Pesos!$B$27+AH116*Pesos!$B$28+AI116*Pesos!$B$29+AJ116*Pesos!$B$30+AK116*Pesos!$B$31+AL116*Pesos!$B$32+AM116*Pesos!$B$33+AN116*Pesos!$B$34+AO116*Pesos!$B$35+AP116*Pesos!$B$36+AQ116*Pesos!$B$37+AR116*Pesos!$B$38+AS116*Pesos!$B$39+AT116*Pesos!$B$40+AU116*Pesos!$B$41+AV116*Pesos!$B$42+AW116*Pesos!$B$43+AX116*Pesos!$B$44+AY116*Pesos!$B$45+AZ116*Pesos!$B$46+BA116*Pesos!$B$47+BB116*Pesos!$B$48+BC116*Pesos!$B$49+BD116*Pesos!$B$50+BE116*Pesos!$B$51+BF116*Pesos!$B$52+BG116*Pesos!$B$53</f>
        <v>25</v>
      </c>
      <c r="G116" s="6" t="n">
        <f aca="false">E116*F116</f>
        <v>25</v>
      </c>
      <c r="H116" s="3" t="n">
        <v>49</v>
      </c>
      <c r="I116" s="3"/>
      <c r="J116" s="3"/>
      <c r="K116" s="3"/>
      <c r="L116" s="3"/>
      <c r="M116" s="3"/>
      <c r="N116" s="3"/>
      <c r="O116" s="3"/>
      <c r="P116" s="3"/>
      <c r="Q116" s="3" t="n">
        <v>1</v>
      </c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customFormat="false" ht="15" hidden="false" customHeight="false" outlineLevel="0" collapsed="false">
      <c r="A117" s="3" t="s">
        <v>61</v>
      </c>
      <c r="B117" s="3" t="s">
        <v>93</v>
      </c>
      <c r="C117" s="3" t="s">
        <v>441</v>
      </c>
      <c r="D117" s="3" t="s">
        <v>442</v>
      </c>
      <c r="E117" s="3" t="n">
        <v>1</v>
      </c>
      <c r="F117" s="6" t="n">
        <f aca="false">H117*Pesos!$B$2+I117*Pesos!$B$3+J117*Pesos!$B$4+K117*Pesos!$B$5+L117*Pesos!$B$6+M117*Pesos!$B$7+N117*Pesos!$B$8+O117*Pesos!$B$9+P117*Pesos!$B$10+Q117*Pesos!$B$11+R117*Pesos!$B$12+S117*Pesos!$B$13+T117*Pesos!$B$14+U117*Pesos!$B$15+V117*Pesos!$B$16+W117*Pesos!$B$17+X117*Pesos!$B$18+Y117*Pesos!$B$19+Z117*Pesos!$B$20+AA117*Pesos!$B$21+AB117*Pesos!$B$22+AC117*Pesos!$B$23+AD117*Pesos!$B$24+AE117*Pesos!$B$25+AF117*Pesos!$B$26+AG117*Pesos!$B$27+AH117*Pesos!$B$28+AI117*Pesos!$B$29+AJ117*Pesos!$B$30+AK117*Pesos!$B$31+AL117*Pesos!$B$32+AM117*Pesos!$B$33+AN117*Pesos!$B$34+AO117*Pesos!$B$35+AP117*Pesos!$B$36+AQ117*Pesos!$B$37+AR117*Pesos!$B$38+AS117*Pesos!$B$39+AT117*Pesos!$B$40+AU117*Pesos!$B$41+AV117*Pesos!$B$42+AW117*Pesos!$B$43+AX117*Pesos!$B$44+AY117*Pesos!$B$45+AZ117*Pesos!$B$46+BA117*Pesos!$B$47+BB117*Pesos!$B$48+BC117*Pesos!$B$49+BD117*Pesos!$B$50+BE117*Pesos!$B$51+BF117*Pesos!$B$52+BG117*Pesos!$B$53</f>
        <v>43</v>
      </c>
      <c r="G117" s="6" t="n">
        <f aca="false">E117*F117</f>
        <v>43</v>
      </c>
      <c r="H117" s="3" t="n">
        <v>63</v>
      </c>
      <c r="I117" s="3"/>
      <c r="J117" s="3"/>
      <c r="K117" s="3"/>
      <c r="L117" s="3"/>
      <c r="M117" s="3"/>
      <c r="N117" s="3"/>
      <c r="O117" s="3"/>
      <c r="P117" s="3"/>
      <c r="Q117" s="3" t="n">
        <v>1</v>
      </c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 t="n">
        <v>0.45</v>
      </c>
      <c r="AH117" s="3"/>
      <c r="AI117" s="3" t="n">
        <v>0.3</v>
      </c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 t="s">
        <v>408</v>
      </c>
      <c r="BK117" s="3"/>
      <c r="BL117" s="3"/>
      <c r="BM117" s="3"/>
    </row>
    <row r="118" customFormat="false" ht="15" hidden="false" customHeight="false" outlineLevel="0" collapsed="false">
      <c r="A118" s="3" t="s">
        <v>61</v>
      </c>
      <c r="B118" s="3" t="s">
        <v>93</v>
      </c>
      <c r="C118" s="3" t="s">
        <v>443</v>
      </c>
      <c r="D118" s="3" t="s">
        <v>444</v>
      </c>
      <c r="E118" s="3" t="n">
        <v>1</v>
      </c>
      <c r="F118" s="6" t="n">
        <f aca="false">H118*Pesos!$B$2+I118*Pesos!$B$3+J118*Pesos!$B$4+K118*Pesos!$B$5+L118*Pesos!$B$6+M118*Pesos!$B$7+N118*Pesos!$B$8+O118*Pesos!$B$9+P118*Pesos!$B$10+Q118*Pesos!$B$11+R118*Pesos!$B$12+S118*Pesos!$B$13+T118*Pesos!$B$14+U118*Pesos!$B$15+V118*Pesos!$B$16+W118*Pesos!$B$17+X118*Pesos!$B$18+Y118*Pesos!$B$19+Z118*Pesos!$B$20+AA118*Pesos!$B$21+AB118*Pesos!$B$22+AC118*Pesos!$B$23+AD118*Pesos!$B$24+AE118*Pesos!$B$25+AF118*Pesos!$B$26+AG118*Pesos!$B$27+AH118*Pesos!$B$28+AI118*Pesos!$B$29+AJ118*Pesos!$B$30+AK118*Pesos!$B$31+AL118*Pesos!$B$32+AM118*Pesos!$B$33+AN118*Pesos!$B$34+AO118*Pesos!$B$35+AP118*Pesos!$B$36+AQ118*Pesos!$B$37+AR118*Pesos!$B$38+AS118*Pesos!$B$39+AT118*Pesos!$B$40+AU118*Pesos!$B$41+AV118*Pesos!$B$42+AW118*Pesos!$B$43+AX118*Pesos!$B$44+AY118*Pesos!$B$45+AZ118*Pesos!$B$46+BA118*Pesos!$B$47+BB118*Pesos!$B$48+BC118*Pesos!$B$49+BD118*Pesos!$B$50+BE118*Pesos!$B$51+BF118*Pesos!$B$52+BG118*Pesos!$B$53</f>
        <v>160</v>
      </c>
      <c r="G118" s="6" t="n">
        <f aca="false">E118*F118</f>
        <v>160</v>
      </c>
      <c r="H118" s="3" t="n">
        <v>49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 t="n">
        <v>2</v>
      </c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customFormat="false" ht="15" hidden="false" customHeight="false" outlineLevel="0" collapsed="false">
      <c r="A119" s="3" t="s">
        <v>61</v>
      </c>
      <c r="B119" s="3" t="s">
        <v>93</v>
      </c>
      <c r="C119" s="3" t="s">
        <v>445</v>
      </c>
      <c r="D119" s="3" t="s">
        <v>446</v>
      </c>
      <c r="E119" s="3" t="n">
        <v>1</v>
      </c>
      <c r="F119" s="6" t="n">
        <f aca="false">H119*Pesos!$B$2+I119*Pesos!$B$3+J119*Pesos!$B$4+K119*Pesos!$B$5+L119*Pesos!$B$6+M119*Pesos!$B$7+N119*Pesos!$B$8+O119*Pesos!$B$9+P119*Pesos!$B$10+Q119*Pesos!$B$11+R119*Pesos!$B$12+S119*Pesos!$B$13+T119*Pesos!$B$14+U119*Pesos!$B$15+V119*Pesos!$B$16+W119*Pesos!$B$17+X119*Pesos!$B$18+Y119*Pesos!$B$19+Z119*Pesos!$B$20+AA119*Pesos!$B$21+AB119*Pesos!$B$22+AC119*Pesos!$B$23+AD119*Pesos!$B$24+AE119*Pesos!$B$25+AF119*Pesos!$B$26+AG119*Pesos!$B$27+AH119*Pesos!$B$28+AI119*Pesos!$B$29+AJ119*Pesos!$B$30+AK119*Pesos!$B$31+AL119*Pesos!$B$32+AM119*Pesos!$B$33+AN119*Pesos!$B$34+AO119*Pesos!$B$35+AP119*Pesos!$B$36+AQ119*Pesos!$B$37+AR119*Pesos!$B$38+AS119*Pesos!$B$39+AT119*Pesos!$B$40+AU119*Pesos!$B$41+AV119*Pesos!$B$42+AW119*Pesos!$B$43+AX119*Pesos!$B$44+AY119*Pesos!$B$45+AZ119*Pesos!$B$46+BA119*Pesos!$B$47+BB119*Pesos!$B$48+BC119*Pesos!$B$49+BD119*Pesos!$B$50+BE119*Pesos!$B$51+BF119*Pesos!$B$52+BG119*Pesos!$B$53</f>
        <v>50</v>
      </c>
      <c r="G119" s="6" t="n">
        <f aca="false">E119*F119</f>
        <v>50</v>
      </c>
      <c r="H119" s="3" t="n">
        <v>63</v>
      </c>
      <c r="I119" s="3"/>
      <c r="J119" s="3"/>
      <c r="K119" s="3"/>
      <c r="L119" s="3"/>
      <c r="M119" s="3"/>
      <c r="N119" s="3"/>
      <c r="O119" s="3"/>
      <c r="P119" s="3"/>
      <c r="Q119" s="3" t="n">
        <v>2</v>
      </c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customFormat="false" ht="15" hidden="false" customHeight="false" outlineLevel="0" collapsed="false">
      <c r="A120" s="3" t="s">
        <v>61</v>
      </c>
      <c r="B120" s="3" t="s">
        <v>93</v>
      </c>
      <c r="C120" s="3" t="s">
        <v>447</v>
      </c>
      <c r="D120" s="3" t="s">
        <v>448</v>
      </c>
      <c r="E120" s="3" t="n">
        <v>1</v>
      </c>
      <c r="F120" s="6" t="n">
        <f aca="false">H120*Pesos!$B$2+I120*Pesos!$B$3+J120*Pesos!$B$4+K120*Pesos!$B$5+L120*Pesos!$B$6+M120*Pesos!$B$7+N120*Pesos!$B$8+O120*Pesos!$B$9+P120*Pesos!$B$10+Q120*Pesos!$B$11+R120*Pesos!$B$12+S120*Pesos!$B$13+T120*Pesos!$B$14+U120*Pesos!$B$15+V120*Pesos!$B$16+W120*Pesos!$B$17+X120*Pesos!$B$18+Y120*Pesos!$B$19+Z120*Pesos!$B$20+AA120*Pesos!$B$21+AB120*Pesos!$B$22+AC120*Pesos!$B$23+AD120*Pesos!$B$24+AE120*Pesos!$B$25+AF120*Pesos!$B$26+AG120*Pesos!$B$27+AH120*Pesos!$B$28+AI120*Pesos!$B$29+AJ120*Pesos!$B$30+AK120*Pesos!$B$31+AL120*Pesos!$B$32+AM120*Pesos!$B$33+AN120*Pesos!$B$34+AO120*Pesos!$B$35+AP120*Pesos!$B$36+AQ120*Pesos!$B$37+AR120*Pesos!$B$38+AS120*Pesos!$B$39+AT120*Pesos!$B$40+AU120*Pesos!$B$41+AV120*Pesos!$B$42+AW120*Pesos!$B$43+AX120*Pesos!$B$44+AY120*Pesos!$B$45+AZ120*Pesos!$B$46+BA120*Pesos!$B$47+BB120*Pesos!$B$48+BC120*Pesos!$B$49+BD120*Pesos!$B$50+BE120*Pesos!$B$51+BF120*Pesos!$B$52+BG120*Pesos!$B$53</f>
        <v>250</v>
      </c>
      <c r="G120" s="6" t="n">
        <f aca="false">E120*F120</f>
        <v>250</v>
      </c>
      <c r="H120" s="3" t="n">
        <v>84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 t="n">
        <v>10</v>
      </c>
      <c r="AR120" s="3"/>
      <c r="AS120" s="3" t="n">
        <v>10</v>
      </c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 t="s">
        <v>448</v>
      </c>
      <c r="BI120" s="3"/>
      <c r="BJ120" s="3"/>
      <c r="BK120" s="3"/>
      <c r="BL120" s="3"/>
      <c r="BM120" s="3"/>
    </row>
    <row r="121" customFormat="false" ht="15" hidden="false" customHeight="false" outlineLevel="0" collapsed="false">
      <c r="A121" s="3" t="s">
        <v>61</v>
      </c>
      <c r="B121" s="3" t="s">
        <v>94</v>
      </c>
      <c r="C121" s="3" t="s">
        <v>449</v>
      </c>
      <c r="D121" s="3" t="s">
        <v>450</v>
      </c>
      <c r="E121" s="3" t="n">
        <v>1</v>
      </c>
      <c r="F121" s="6" t="n">
        <f aca="false">H121*Pesos!$B$2+I121*Pesos!$B$3+J121*Pesos!$B$4+K121*Pesos!$B$5+L121*Pesos!$B$6+M121*Pesos!$B$7+N121*Pesos!$B$8+O121*Pesos!$B$9+P121*Pesos!$B$10+Q121*Pesos!$B$11+R121*Pesos!$B$12+S121*Pesos!$B$13+T121*Pesos!$B$14+U121*Pesos!$B$15+V121*Pesos!$B$16+W121*Pesos!$B$17+X121*Pesos!$B$18+Y121*Pesos!$B$19+Z121*Pesos!$B$20+AA121*Pesos!$B$21+AB121*Pesos!$B$22+AC121*Pesos!$B$23+AD121*Pesos!$B$24+AE121*Pesos!$B$25+AF121*Pesos!$B$26+AG121*Pesos!$B$27+AH121*Pesos!$B$28+AI121*Pesos!$B$29+AJ121*Pesos!$B$30+AK121*Pesos!$B$31+AL121*Pesos!$B$32+AM121*Pesos!$B$33+AN121*Pesos!$B$34+AO121*Pesos!$B$35+AP121*Pesos!$B$36+AQ121*Pesos!$B$37+AR121*Pesos!$B$38+AS121*Pesos!$B$39+AT121*Pesos!$B$40+AU121*Pesos!$B$41+AV121*Pesos!$B$42+AW121*Pesos!$B$43+AX121*Pesos!$B$44+AY121*Pesos!$B$45+AZ121*Pesos!$B$46+BA121*Pesos!$B$47+BB121*Pesos!$B$48+BC121*Pesos!$B$49+BD121*Pesos!$B$50+BE121*Pesos!$B$51+BF121*Pesos!$B$52+BG121*Pesos!$B$53</f>
        <v>25</v>
      </c>
      <c r="G121" s="6" t="n">
        <f aca="false">E121*F121</f>
        <v>25</v>
      </c>
      <c r="H121" s="3" t="n">
        <v>49</v>
      </c>
      <c r="I121" s="3"/>
      <c r="J121" s="3"/>
      <c r="K121" s="3"/>
      <c r="L121" s="3"/>
      <c r="M121" s="3"/>
      <c r="N121" s="3"/>
      <c r="O121" s="3"/>
      <c r="P121" s="3"/>
      <c r="Q121" s="3" t="n">
        <v>1</v>
      </c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customFormat="false" ht="15" hidden="false" customHeight="false" outlineLevel="0" collapsed="false">
      <c r="A122" s="3" t="s">
        <v>61</v>
      </c>
      <c r="B122" s="3" t="s">
        <v>94</v>
      </c>
      <c r="C122" s="3" t="s">
        <v>451</v>
      </c>
      <c r="D122" s="3" t="s">
        <v>452</v>
      </c>
      <c r="E122" s="3" t="n">
        <v>1</v>
      </c>
      <c r="F122" s="6" t="n">
        <f aca="false">H122*Pesos!$B$2+I122*Pesos!$B$3+J122*Pesos!$B$4+K122*Pesos!$B$5+L122*Pesos!$B$6+M122*Pesos!$B$7+N122*Pesos!$B$8+O122*Pesos!$B$9+P122*Pesos!$B$10+Q122*Pesos!$B$11+R122*Pesos!$B$12+S122*Pesos!$B$13+T122*Pesos!$B$14+U122*Pesos!$B$15+V122*Pesos!$B$16+W122*Pesos!$B$17+X122*Pesos!$B$18+Y122*Pesos!$B$19+Z122*Pesos!$B$20+AA122*Pesos!$B$21+AB122*Pesos!$B$22+AC122*Pesos!$B$23+AD122*Pesos!$B$24+AE122*Pesos!$B$25+AF122*Pesos!$B$26+AG122*Pesos!$B$27+AH122*Pesos!$B$28+AI122*Pesos!$B$29+AJ122*Pesos!$B$30+AK122*Pesos!$B$31+AL122*Pesos!$B$32+AM122*Pesos!$B$33+AN122*Pesos!$B$34+AO122*Pesos!$B$35+AP122*Pesos!$B$36+AQ122*Pesos!$B$37+AR122*Pesos!$B$38+AS122*Pesos!$B$39+AT122*Pesos!$B$40+AU122*Pesos!$B$41+AV122*Pesos!$B$42+AW122*Pesos!$B$43+AX122*Pesos!$B$44+AY122*Pesos!$B$45+AZ122*Pesos!$B$46+BA122*Pesos!$B$47+BB122*Pesos!$B$48+BC122*Pesos!$B$49+BD122*Pesos!$B$50+BE122*Pesos!$B$51+BF122*Pesos!$B$52+BG122*Pesos!$B$53</f>
        <v>120</v>
      </c>
      <c r="G122" s="6" t="n">
        <f aca="false">E122*F122</f>
        <v>120</v>
      </c>
      <c r="H122" s="3" t="n">
        <v>49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 t="n">
        <v>2</v>
      </c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customFormat="false" ht="15" hidden="false" customHeight="false" outlineLevel="0" collapsed="false">
      <c r="A123" s="3" t="s">
        <v>61</v>
      </c>
      <c r="B123" s="3" t="s">
        <v>94</v>
      </c>
      <c r="C123" s="3" t="s">
        <v>453</v>
      </c>
      <c r="D123" s="3" t="s">
        <v>454</v>
      </c>
      <c r="E123" s="3" t="n">
        <v>1</v>
      </c>
      <c r="F123" s="6" t="n">
        <f aca="false">H123*Pesos!$B$2+I123*Pesos!$B$3+J123*Pesos!$B$4+K123*Pesos!$B$5+L123*Pesos!$B$6+M123*Pesos!$B$7+N123*Pesos!$B$8+O123*Pesos!$B$9+P123*Pesos!$B$10+Q123*Pesos!$B$11+R123*Pesos!$B$12+S123*Pesos!$B$13+T123*Pesos!$B$14+U123*Pesos!$B$15+V123*Pesos!$B$16+W123*Pesos!$B$17+X123*Pesos!$B$18+Y123*Pesos!$B$19+Z123*Pesos!$B$20+AA123*Pesos!$B$21+AB123*Pesos!$B$22+AC123*Pesos!$B$23+AD123*Pesos!$B$24+AE123*Pesos!$B$25+AF123*Pesos!$B$26+AG123*Pesos!$B$27+AH123*Pesos!$B$28+AI123*Pesos!$B$29+AJ123*Pesos!$B$30+AK123*Pesos!$B$31+AL123*Pesos!$B$32+AM123*Pesos!$B$33+AN123*Pesos!$B$34+AO123*Pesos!$B$35+AP123*Pesos!$B$36+AQ123*Pesos!$B$37+AR123*Pesos!$B$38+AS123*Pesos!$B$39+AT123*Pesos!$B$40+AU123*Pesos!$B$41+AV123*Pesos!$B$42+AW123*Pesos!$B$43+AX123*Pesos!$B$44+AY123*Pesos!$B$45+AZ123*Pesos!$B$46+BA123*Pesos!$B$47+BB123*Pesos!$B$48+BC123*Pesos!$B$49+BD123*Pesos!$B$50+BE123*Pesos!$B$51+BF123*Pesos!$B$52+BG123*Pesos!$B$53</f>
        <v>100</v>
      </c>
      <c r="G123" s="6" t="n">
        <f aca="false">E123*F123</f>
        <v>100</v>
      </c>
      <c r="H123" s="3" t="n">
        <v>63</v>
      </c>
      <c r="I123" s="3"/>
      <c r="J123" s="3"/>
      <c r="K123" s="3"/>
      <c r="L123" s="3"/>
      <c r="M123" s="3"/>
      <c r="N123" s="3"/>
      <c r="O123" s="3"/>
      <c r="P123" s="3"/>
      <c r="Q123" s="3" t="n">
        <v>2</v>
      </c>
      <c r="R123" s="3"/>
      <c r="S123" s="3"/>
      <c r="T123" s="3"/>
      <c r="U123" s="3"/>
      <c r="V123" s="3"/>
      <c r="W123" s="3"/>
      <c r="X123" s="3"/>
      <c r="Y123" s="3" t="n">
        <v>100</v>
      </c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customFormat="false" ht="15" hidden="false" customHeight="false" outlineLevel="0" collapsed="false">
      <c r="A124" s="3" t="s">
        <v>61</v>
      </c>
      <c r="B124" s="3" t="s">
        <v>94</v>
      </c>
      <c r="C124" s="3" t="s">
        <v>455</v>
      </c>
      <c r="D124" s="3" t="s">
        <v>456</v>
      </c>
      <c r="E124" s="3" t="n">
        <v>1</v>
      </c>
      <c r="F124" s="6" t="n">
        <f aca="false">H124*Pesos!$B$2+I124*Pesos!$B$3+J124*Pesos!$B$4+K124*Pesos!$B$5+L124*Pesos!$B$6+M124*Pesos!$B$7+N124*Pesos!$B$8+O124*Pesos!$B$9+P124*Pesos!$B$10+Q124*Pesos!$B$11+R124*Pesos!$B$12+S124*Pesos!$B$13+T124*Pesos!$B$14+U124*Pesos!$B$15+V124*Pesos!$B$16+W124*Pesos!$B$17+X124*Pesos!$B$18+Y124*Pesos!$B$19+Z124*Pesos!$B$20+AA124*Pesos!$B$21+AB124*Pesos!$B$22+AC124*Pesos!$B$23+AD124*Pesos!$B$24+AE124*Pesos!$B$25+AF124*Pesos!$B$26+AG124*Pesos!$B$27+AH124*Pesos!$B$28+AI124*Pesos!$B$29+AJ124*Pesos!$B$30+AK124*Pesos!$B$31+AL124*Pesos!$B$32+AM124*Pesos!$B$33+AN124*Pesos!$B$34+AO124*Pesos!$B$35+AP124*Pesos!$B$36+AQ124*Pesos!$B$37+AR124*Pesos!$B$38+AS124*Pesos!$B$39+AT124*Pesos!$B$40+AU124*Pesos!$B$41+AV124*Pesos!$B$42+AW124*Pesos!$B$43+AX124*Pesos!$B$44+AY124*Pesos!$B$45+AZ124*Pesos!$B$46+BA124*Pesos!$B$47+BB124*Pesos!$B$48+BC124*Pesos!$B$49+BD124*Pesos!$B$50+BE124*Pesos!$B$51+BF124*Pesos!$B$52+BG124*Pesos!$B$53</f>
        <v>180</v>
      </c>
      <c r="G124" s="6" t="n">
        <f aca="false">E124*F124</f>
        <v>180</v>
      </c>
      <c r="H124" s="3" t="n">
        <v>84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 t="n">
        <v>3</v>
      </c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customFormat="false" ht="15" hidden="false" customHeight="false" outlineLevel="0" collapsed="false">
      <c r="A125" s="3" t="s">
        <v>61</v>
      </c>
      <c r="B125" s="3" t="s">
        <v>94</v>
      </c>
      <c r="C125" s="3" t="s">
        <v>457</v>
      </c>
      <c r="D125" s="3" t="s">
        <v>458</v>
      </c>
      <c r="E125" s="3" t="n">
        <v>1</v>
      </c>
      <c r="F125" s="6" t="n">
        <f aca="false">H125*Pesos!$B$2+I125*Pesos!$B$3+J125*Pesos!$B$4+K125*Pesos!$B$5+L125*Pesos!$B$6+M125*Pesos!$B$7+N125*Pesos!$B$8+O125*Pesos!$B$9+P125*Pesos!$B$10+Q125*Pesos!$B$11+R125*Pesos!$B$12+S125*Pesos!$B$13+T125*Pesos!$B$14+U125*Pesos!$B$15+V125*Pesos!$B$16+W125*Pesos!$B$17+X125*Pesos!$B$18+Y125*Pesos!$B$19+Z125*Pesos!$B$20+AA125*Pesos!$B$21+AB125*Pesos!$B$22+AC125*Pesos!$B$23+AD125*Pesos!$B$24+AE125*Pesos!$B$25+AF125*Pesos!$B$26+AG125*Pesos!$B$27+AH125*Pesos!$B$28+AI125*Pesos!$B$29+AJ125*Pesos!$B$30+AK125*Pesos!$B$31+AL125*Pesos!$B$32+AM125*Pesos!$B$33+AN125*Pesos!$B$34+AO125*Pesos!$B$35+AP125*Pesos!$B$36+AQ125*Pesos!$B$37+AR125*Pesos!$B$38+AS125*Pesos!$B$39+AT125*Pesos!$B$40+AU125*Pesos!$B$41+AV125*Pesos!$B$42+AW125*Pesos!$B$43+AX125*Pesos!$B$44+AY125*Pesos!$B$45+AZ125*Pesos!$B$46+BA125*Pesos!$B$47+BB125*Pesos!$B$48+BC125*Pesos!$B$49+BD125*Pesos!$B$50+BE125*Pesos!$B$51+BF125*Pesos!$B$52+BG125*Pesos!$B$53</f>
        <v>150</v>
      </c>
      <c r="G125" s="6" t="n">
        <f aca="false">E125*F125</f>
        <v>150</v>
      </c>
      <c r="H125" s="3" t="n">
        <v>63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 t="n">
        <v>10</v>
      </c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 t="s">
        <v>459</v>
      </c>
      <c r="BI125" s="3"/>
      <c r="BJ125" s="3"/>
      <c r="BK125" s="3"/>
      <c r="BL125" s="3"/>
      <c r="BM125" s="3"/>
    </row>
    <row r="126" customFormat="false" ht="15" hidden="false" customHeight="false" outlineLevel="0" collapsed="false">
      <c r="A126" s="3" t="s">
        <v>61</v>
      </c>
      <c r="B126" s="3" t="s">
        <v>94</v>
      </c>
      <c r="C126" s="3" t="s">
        <v>460</v>
      </c>
      <c r="D126" s="3" t="s">
        <v>461</v>
      </c>
      <c r="E126" s="3" t="n">
        <v>1</v>
      </c>
      <c r="F126" s="6" t="n">
        <f aca="false">H126*Pesos!$B$2+I126*Pesos!$B$3+J126*Pesos!$B$4+K126*Pesos!$B$5+L126*Pesos!$B$6+M126*Pesos!$B$7+N126*Pesos!$B$8+O126*Pesos!$B$9+P126*Pesos!$B$10+Q126*Pesos!$B$11+R126*Pesos!$B$12+S126*Pesos!$B$13+T126*Pesos!$B$14+U126*Pesos!$B$15+V126*Pesos!$B$16+W126*Pesos!$B$17+X126*Pesos!$B$18+Y126*Pesos!$B$19+Z126*Pesos!$B$20+AA126*Pesos!$B$21+AB126*Pesos!$B$22+AC126*Pesos!$B$23+AD126*Pesos!$B$24+AE126*Pesos!$B$25+AF126*Pesos!$B$26+AG126*Pesos!$B$27+AH126*Pesos!$B$28+AI126*Pesos!$B$29+AJ126*Pesos!$B$30+AK126*Pesos!$B$31+AL126*Pesos!$B$32+AM126*Pesos!$B$33+AN126*Pesos!$B$34+AO126*Pesos!$B$35+AP126*Pesos!$B$36+AQ126*Pesos!$B$37+AR126*Pesos!$B$38+AS126*Pesos!$B$39+AT126*Pesos!$B$40+AU126*Pesos!$B$41+AV126*Pesos!$B$42+AW126*Pesos!$B$43+AX126*Pesos!$B$44+AY126*Pesos!$B$45+AZ126*Pesos!$B$46+BA126*Pesos!$B$47+BB126*Pesos!$B$48+BC126*Pesos!$B$49+BD126*Pesos!$B$50+BE126*Pesos!$B$51+BF126*Pesos!$B$52+BG126*Pesos!$B$53</f>
        <v>43</v>
      </c>
      <c r="G126" s="6" t="n">
        <f aca="false">E126*F126</f>
        <v>43</v>
      </c>
      <c r="H126" s="3" t="n">
        <v>49</v>
      </c>
      <c r="I126" s="3"/>
      <c r="J126" s="3"/>
      <c r="K126" s="3"/>
      <c r="L126" s="3"/>
      <c r="M126" s="3"/>
      <c r="N126" s="3"/>
      <c r="O126" s="3"/>
      <c r="P126" s="3"/>
      <c r="Q126" s="3" t="n">
        <v>1</v>
      </c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 t="n">
        <v>0.45</v>
      </c>
      <c r="AH126" s="3"/>
      <c r="AI126" s="3" t="n">
        <v>0.3</v>
      </c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 t="s">
        <v>408</v>
      </c>
      <c r="BK126" s="3"/>
      <c r="BL126" s="3"/>
      <c r="BM126" s="3"/>
    </row>
    <row r="127" customFormat="false" ht="15" hidden="false" customHeight="false" outlineLevel="0" collapsed="false">
      <c r="A127" s="3" t="s">
        <v>61</v>
      </c>
      <c r="B127" s="3" t="s">
        <v>95</v>
      </c>
      <c r="C127" s="3" t="s">
        <v>462</v>
      </c>
      <c r="D127" s="3" t="s">
        <v>463</v>
      </c>
      <c r="E127" s="3" t="n">
        <v>1</v>
      </c>
      <c r="F127" s="6" t="n">
        <f aca="false">H127*Pesos!$B$2+I127*Pesos!$B$3+J127*Pesos!$B$4+K127*Pesos!$B$5+L127*Pesos!$B$6+M127*Pesos!$B$7+N127*Pesos!$B$8+O127*Pesos!$B$9+P127*Pesos!$B$10+Q127*Pesos!$B$11+R127*Pesos!$B$12+S127*Pesos!$B$13+T127*Pesos!$B$14+U127*Pesos!$B$15+V127*Pesos!$B$16+W127*Pesos!$B$17+X127*Pesos!$B$18+Y127*Pesos!$B$19+Z127*Pesos!$B$20+AA127*Pesos!$B$21+AB127*Pesos!$B$22+AC127*Pesos!$B$23+AD127*Pesos!$B$24+AE127*Pesos!$B$25+AF127*Pesos!$B$26+AG127*Pesos!$B$27+AH127*Pesos!$B$28+AI127*Pesos!$B$29+AJ127*Pesos!$B$30+AK127*Pesos!$B$31+AL127*Pesos!$B$32+AM127*Pesos!$B$33+AN127*Pesos!$B$34+AO127*Pesos!$B$35+AP127*Pesos!$B$36+AQ127*Pesos!$B$37+AR127*Pesos!$B$38+AS127*Pesos!$B$39+AT127*Pesos!$B$40+AU127*Pesos!$B$41+AV127*Pesos!$B$42+AW127*Pesos!$B$43+AX127*Pesos!$B$44+AY127*Pesos!$B$45+AZ127*Pesos!$B$46+BA127*Pesos!$B$47+BB127*Pesos!$B$48+BC127*Pesos!$B$49+BD127*Pesos!$B$50+BE127*Pesos!$B$51+BF127*Pesos!$B$52+BG127*Pesos!$B$53</f>
        <v>60</v>
      </c>
      <c r="G127" s="6" t="n">
        <f aca="false">E127*F127</f>
        <v>60</v>
      </c>
      <c r="H127" s="3" t="n">
        <v>63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 t="n">
        <v>1.5</v>
      </c>
      <c r="AH127" s="3"/>
      <c r="AI127" s="3" t="n">
        <v>1</v>
      </c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 t="s">
        <v>361</v>
      </c>
      <c r="BK127" s="3"/>
      <c r="BL127" s="3"/>
      <c r="BM127" s="3"/>
    </row>
    <row r="128" customFormat="false" ht="15" hidden="false" customHeight="false" outlineLevel="0" collapsed="false">
      <c r="A128" s="3" t="s">
        <v>61</v>
      </c>
      <c r="B128" s="3" t="s">
        <v>95</v>
      </c>
      <c r="C128" s="3" t="s">
        <v>464</v>
      </c>
      <c r="D128" s="3" t="s">
        <v>465</v>
      </c>
      <c r="E128" s="3" t="n">
        <v>1</v>
      </c>
      <c r="F128" s="6" t="n">
        <f aca="false">H128*Pesos!$B$2+I128*Pesos!$B$3+J128*Pesos!$B$4+K128*Pesos!$B$5+L128*Pesos!$B$6+M128*Pesos!$B$7+N128*Pesos!$B$8+O128*Pesos!$B$9+P128*Pesos!$B$10+Q128*Pesos!$B$11+R128*Pesos!$B$12+S128*Pesos!$B$13+T128*Pesos!$B$14+U128*Pesos!$B$15+V128*Pesos!$B$16+W128*Pesos!$B$17+X128*Pesos!$B$18+Y128*Pesos!$B$19+Z128*Pesos!$B$20+AA128*Pesos!$B$21+AB128*Pesos!$B$22+AC128*Pesos!$B$23+AD128*Pesos!$B$24+AE128*Pesos!$B$25+AF128*Pesos!$B$26+AG128*Pesos!$B$27+AH128*Pesos!$B$28+AI128*Pesos!$B$29+AJ128*Pesos!$B$30+AK128*Pesos!$B$31+AL128*Pesos!$B$32+AM128*Pesos!$B$33+AN128*Pesos!$B$34+AO128*Pesos!$B$35+AP128*Pesos!$B$36+AQ128*Pesos!$B$37+AR128*Pesos!$B$38+AS128*Pesos!$B$39+AT128*Pesos!$B$40+AU128*Pesos!$B$41+AV128*Pesos!$B$42+AW128*Pesos!$B$43+AX128*Pesos!$B$44+AY128*Pesos!$B$45+AZ128*Pesos!$B$46+BA128*Pesos!$B$47+BB128*Pesos!$B$48+BC128*Pesos!$B$49+BD128*Pesos!$B$50+BE128*Pesos!$B$51+BF128*Pesos!$B$52+BG128*Pesos!$B$53</f>
        <v>153</v>
      </c>
      <c r="G128" s="6" t="n">
        <f aca="false">E128*F128</f>
        <v>153</v>
      </c>
      <c r="H128" s="3" t="n">
        <v>49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 t="n">
        <v>3</v>
      </c>
      <c r="AC128" s="3"/>
      <c r="AD128" s="3"/>
      <c r="AE128" s="3"/>
      <c r="AF128" s="3"/>
      <c r="AG128" s="3" t="n">
        <v>1.2</v>
      </c>
      <c r="AH128" s="3"/>
      <c r="AI128" s="3" t="n">
        <v>0.8</v>
      </c>
      <c r="AJ128" s="3"/>
      <c r="AK128" s="3"/>
      <c r="AL128" s="3"/>
      <c r="AM128" s="3"/>
      <c r="AN128" s="3" t="n">
        <v>5</v>
      </c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 t="s">
        <v>466</v>
      </c>
      <c r="BI128" s="3"/>
      <c r="BJ128" s="3" t="s">
        <v>413</v>
      </c>
      <c r="BK128" s="3"/>
      <c r="BL128" s="3"/>
      <c r="BM128" s="3"/>
    </row>
    <row r="129" customFormat="false" ht="15" hidden="false" customHeight="false" outlineLevel="0" collapsed="false">
      <c r="A129" s="3" t="s">
        <v>61</v>
      </c>
      <c r="B129" s="3" t="s">
        <v>95</v>
      </c>
      <c r="C129" s="3" t="s">
        <v>467</v>
      </c>
      <c r="D129" s="3" t="s">
        <v>468</v>
      </c>
      <c r="E129" s="3" t="n">
        <v>1</v>
      </c>
      <c r="F129" s="6" t="n">
        <f aca="false">H129*Pesos!$B$2+I129*Pesos!$B$3+J129*Pesos!$B$4+K129*Pesos!$B$5+L129*Pesos!$B$6+M129*Pesos!$B$7+N129*Pesos!$B$8+O129*Pesos!$B$9+P129*Pesos!$B$10+Q129*Pesos!$B$11+R129*Pesos!$B$12+S129*Pesos!$B$13+T129*Pesos!$B$14+U129*Pesos!$B$15+V129*Pesos!$B$16+W129*Pesos!$B$17+X129*Pesos!$B$18+Y129*Pesos!$B$19+Z129*Pesos!$B$20+AA129*Pesos!$B$21+AB129*Pesos!$B$22+AC129*Pesos!$B$23+AD129*Pesos!$B$24+AE129*Pesos!$B$25+AF129*Pesos!$B$26+AG129*Pesos!$B$27+AH129*Pesos!$B$28+AI129*Pesos!$B$29+AJ129*Pesos!$B$30+AK129*Pesos!$B$31+AL129*Pesos!$B$32+AM129*Pesos!$B$33+AN129*Pesos!$B$34+AO129*Pesos!$B$35+AP129*Pesos!$B$36+AQ129*Pesos!$B$37+AR129*Pesos!$B$38+AS129*Pesos!$B$39+AT129*Pesos!$B$40+AU129*Pesos!$B$41+AV129*Pesos!$B$42+AW129*Pesos!$B$43+AX129*Pesos!$B$44+AY129*Pesos!$B$45+AZ129*Pesos!$B$46+BA129*Pesos!$B$47+BB129*Pesos!$B$48+BC129*Pesos!$B$49+BD129*Pesos!$B$50+BE129*Pesos!$B$51+BF129*Pesos!$B$52+BG129*Pesos!$B$53</f>
        <v>45</v>
      </c>
      <c r="G129" s="6" t="n">
        <f aca="false">E129*F129</f>
        <v>45</v>
      </c>
      <c r="H129" s="3" t="n">
        <v>49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 t="n">
        <v>1</v>
      </c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 t="n">
        <v>0.75</v>
      </c>
      <c r="AH129" s="3"/>
      <c r="AI129" s="3" t="n">
        <v>0.5</v>
      </c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 t="s">
        <v>336</v>
      </c>
      <c r="BK129" s="3"/>
      <c r="BL129" s="3"/>
      <c r="BM129" s="3"/>
    </row>
    <row r="130" customFormat="false" ht="15" hidden="false" customHeight="false" outlineLevel="0" collapsed="false">
      <c r="A130" s="3" t="s">
        <v>61</v>
      </c>
      <c r="B130" s="3" t="s">
        <v>95</v>
      </c>
      <c r="C130" s="3" t="s">
        <v>469</v>
      </c>
      <c r="D130" s="3" t="s">
        <v>470</v>
      </c>
      <c r="E130" s="3" t="n">
        <v>1</v>
      </c>
      <c r="F130" s="6" t="n">
        <f aca="false">H130*Pesos!$B$2+I130*Pesos!$B$3+J130*Pesos!$B$4+K130*Pesos!$B$5+L130*Pesos!$B$6+M130*Pesos!$B$7+N130*Pesos!$B$8+O130*Pesos!$B$9+P130*Pesos!$B$10+Q130*Pesos!$B$11+R130*Pesos!$B$12+S130*Pesos!$B$13+T130*Pesos!$B$14+U130*Pesos!$B$15+V130*Pesos!$B$16+W130*Pesos!$B$17+X130*Pesos!$B$18+Y130*Pesos!$B$19+Z130*Pesos!$B$20+AA130*Pesos!$B$21+AB130*Pesos!$B$22+AC130*Pesos!$B$23+AD130*Pesos!$B$24+AE130*Pesos!$B$25+AF130*Pesos!$B$26+AG130*Pesos!$B$27+AH130*Pesos!$B$28+AI130*Pesos!$B$29+AJ130*Pesos!$B$30+AK130*Pesos!$B$31+AL130*Pesos!$B$32+AM130*Pesos!$B$33+AN130*Pesos!$B$34+AO130*Pesos!$B$35+AP130*Pesos!$B$36+AQ130*Pesos!$B$37+AR130*Pesos!$B$38+AS130*Pesos!$B$39+AT130*Pesos!$B$40+AU130*Pesos!$B$41+AV130*Pesos!$B$42+AW130*Pesos!$B$43+AX130*Pesos!$B$44+AY130*Pesos!$B$45+AZ130*Pesos!$B$46+BA130*Pesos!$B$47+BB130*Pesos!$B$48+BC130*Pesos!$B$49+BD130*Pesos!$B$50+BE130*Pesos!$B$51+BF130*Pesos!$B$52+BG130*Pesos!$B$53</f>
        <v>40</v>
      </c>
      <c r="G130" s="6" t="n">
        <f aca="false">E130*F130</f>
        <v>40</v>
      </c>
      <c r="H130" s="3" t="n">
        <v>63</v>
      </c>
      <c r="I130" s="3" t="n">
        <v>10</v>
      </c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 t="n">
        <v>0.75</v>
      </c>
      <c r="AH130" s="3"/>
      <c r="AI130" s="3" t="n">
        <v>0.5</v>
      </c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 t="s">
        <v>361</v>
      </c>
      <c r="BK130" s="3"/>
      <c r="BL130" s="3"/>
      <c r="BM130" s="3"/>
    </row>
    <row r="131" customFormat="false" ht="15" hidden="false" customHeight="false" outlineLevel="0" collapsed="false">
      <c r="A131" s="3" t="s">
        <v>61</v>
      </c>
      <c r="B131" s="3" t="s">
        <v>95</v>
      </c>
      <c r="C131" s="3" t="s">
        <v>471</v>
      </c>
      <c r="D131" s="3" t="s">
        <v>472</v>
      </c>
      <c r="E131" s="3" t="n">
        <v>1</v>
      </c>
      <c r="F131" s="6" t="n">
        <f aca="false">H131*Pesos!$B$2+I131*Pesos!$B$3+J131*Pesos!$B$4+K131*Pesos!$B$5+L131*Pesos!$B$6+M131*Pesos!$B$7+N131*Pesos!$B$8+O131*Pesos!$B$9+P131*Pesos!$B$10+Q131*Pesos!$B$11+R131*Pesos!$B$12+S131*Pesos!$B$13+T131*Pesos!$B$14+U131*Pesos!$B$15+V131*Pesos!$B$16+W131*Pesos!$B$17+X131*Pesos!$B$18+Y131*Pesos!$B$19+Z131*Pesos!$B$20+AA131*Pesos!$B$21+AB131*Pesos!$B$22+AC131*Pesos!$B$23+AD131*Pesos!$B$24+AE131*Pesos!$B$25+AF131*Pesos!$B$26+AG131*Pesos!$B$27+AH131*Pesos!$B$28+AI131*Pesos!$B$29+AJ131*Pesos!$B$30+AK131*Pesos!$B$31+AL131*Pesos!$B$32+AM131*Pesos!$B$33+AN131*Pesos!$B$34+AO131*Pesos!$B$35+AP131*Pesos!$B$36+AQ131*Pesos!$B$37+AR131*Pesos!$B$38+AS131*Pesos!$B$39+AT131*Pesos!$B$40+AU131*Pesos!$B$41+AV131*Pesos!$B$42+AW131*Pesos!$B$43+AX131*Pesos!$B$44+AY131*Pesos!$B$45+AZ131*Pesos!$B$46+BA131*Pesos!$B$47+BB131*Pesos!$B$48+BC131*Pesos!$B$49+BD131*Pesos!$B$50+BE131*Pesos!$B$51+BF131*Pesos!$B$52+BG131*Pesos!$B$53</f>
        <v>60</v>
      </c>
      <c r="G131" s="6" t="n">
        <f aca="false">E131*F131</f>
        <v>60</v>
      </c>
      <c r="H131" s="3" t="n">
        <v>49</v>
      </c>
      <c r="I131" s="3" t="n">
        <v>60</v>
      </c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 t="s">
        <v>336</v>
      </c>
      <c r="BK131" s="3"/>
      <c r="BL131" s="3"/>
      <c r="BM131" s="3"/>
    </row>
    <row r="132" customFormat="false" ht="15" hidden="false" customHeight="false" outlineLevel="0" collapsed="false">
      <c r="A132" s="3" t="s">
        <v>61</v>
      </c>
      <c r="B132" s="3" t="s">
        <v>95</v>
      </c>
      <c r="C132" s="3" t="s">
        <v>473</v>
      </c>
      <c r="D132" s="3" t="s">
        <v>474</v>
      </c>
      <c r="E132" s="3" t="n">
        <v>1</v>
      </c>
      <c r="F132" s="6" t="n">
        <f aca="false">H132*Pesos!$B$2+I132*Pesos!$B$3+J132*Pesos!$B$4+K132*Pesos!$B$5+L132*Pesos!$B$6+M132*Pesos!$B$7+N132*Pesos!$B$8+O132*Pesos!$B$9+P132*Pesos!$B$10+Q132*Pesos!$B$11+R132*Pesos!$B$12+S132*Pesos!$B$13+T132*Pesos!$B$14+U132*Pesos!$B$15+V132*Pesos!$B$16+W132*Pesos!$B$17+X132*Pesos!$B$18+Y132*Pesos!$B$19+Z132*Pesos!$B$20+AA132*Pesos!$B$21+AB132*Pesos!$B$22+AC132*Pesos!$B$23+AD132*Pesos!$B$24+AE132*Pesos!$B$25+AF132*Pesos!$B$26+AG132*Pesos!$B$27+AH132*Pesos!$B$28+AI132*Pesos!$B$29+AJ132*Pesos!$B$30+AK132*Pesos!$B$31+AL132*Pesos!$B$32+AM132*Pesos!$B$33+AN132*Pesos!$B$34+AO132*Pesos!$B$35+AP132*Pesos!$B$36+AQ132*Pesos!$B$37+AR132*Pesos!$B$38+AS132*Pesos!$B$39+AT132*Pesos!$B$40+AU132*Pesos!$B$41+AV132*Pesos!$B$42+AW132*Pesos!$B$43+AX132*Pesos!$B$44+AY132*Pesos!$B$45+AZ132*Pesos!$B$46+BA132*Pesos!$B$47+BB132*Pesos!$B$48+BC132*Pesos!$B$49+BD132*Pesos!$B$50+BE132*Pesos!$B$51+BF132*Pesos!$B$52+BG132*Pesos!$B$53</f>
        <v>10</v>
      </c>
      <c r="G132" s="6" t="n">
        <f aca="false">E132*F132</f>
        <v>10</v>
      </c>
      <c r="H132" s="3" t="n">
        <v>49</v>
      </c>
      <c r="I132" s="3" t="n">
        <v>10</v>
      </c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 t="s">
        <v>413</v>
      </c>
      <c r="BK132" s="3"/>
      <c r="BL132" s="3"/>
      <c r="BM132" s="3"/>
    </row>
    <row r="133" customFormat="false" ht="15" hidden="false" customHeight="false" outlineLevel="0" collapsed="false">
      <c r="A133" s="3" t="s">
        <v>61</v>
      </c>
      <c r="B133" s="3" t="s">
        <v>95</v>
      </c>
      <c r="C133" s="3" t="s">
        <v>475</v>
      </c>
      <c r="D133" s="3" t="s">
        <v>476</v>
      </c>
      <c r="E133" s="3" t="n">
        <v>1</v>
      </c>
      <c r="F133" s="6" t="n">
        <f aca="false">H133*Pesos!$B$2+I133*Pesos!$B$3+J133*Pesos!$B$4+K133*Pesos!$B$5+L133*Pesos!$B$6+M133*Pesos!$B$7+N133*Pesos!$B$8+O133*Pesos!$B$9+P133*Pesos!$B$10+Q133*Pesos!$B$11+R133*Pesos!$B$12+S133*Pesos!$B$13+T133*Pesos!$B$14+U133*Pesos!$B$15+V133*Pesos!$B$16+W133*Pesos!$B$17+X133*Pesos!$B$18+Y133*Pesos!$B$19+Z133*Pesos!$B$20+AA133*Pesos!$B$21+AB133*Pesos!$B$22+AC133*Pesos!$B$23+AD133*Pesos!$B$24+AE133*Pesos!$B$25+AF133*Pesos!$B$26+AG133*Pesos!$B$27+AH133*Pesos!$B$28+AI133*Pesos!$B$29+AJ133*Pesos!$B$30+AK133*Pesos!$B$31+AL133*Pesos!$B$32+AM133*Pesos!$B$33+AN133*Pesos!$B$34+AO133*Pesos!$B$35+AP133*Pesos!$B$36+AQ133*Pesos!$B$37+AR133*Pesos!$B$38+AS133*Pesos!$B$39+AT133*Pesos!$B$40+AU133*Pesos!$B$41+AV133*Pesos!$B$42+AW133*Pesos!$B$43+AX133*Pesos!$B$44+AY133*Pesos!$B$45+AZ133*Pesos!$B$46+BA133*Pesos!$B$47+BB133*Pesos!$B$48+BC133*Pesos!$B$49+BD133*Pesos!$B$50+BE133*Pesos!$B$51+BF133*Pesos!$B$52+BG133*Pesos!$B$53</f>
        <v>100</v>
      </c>
      <c r="G133" s="6" t="n">
        <f aca="false">E133*F133</f>
        <v>100</v>
      </c>
      <c r="H133" s="3" t="n">
        <v>63</v>
      </c>
      <c r="I133" s="3" t="n">
        <v>100</v>
      </c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customFormat="false" ht="15" hidden="false" customHeight="false" outlineLevel="0" collapsed="false">
      <c r="A134" s="3" t="s">
        <v>61</v>
      </c>
      <c r="B134" s="3" t="s">
        <v>95</v>
      </c>
      <c r="C134" s="3" t="s">
        <v>477</v>
      </c>
      <c r="D134" s="3" t="s">
        <v>478</v>
      </c>
      <c r="E134" s="3" t="n">
        <v>1</v>
      </c>
      <c r="F134" s="6" t="n">
        <f aca="false">H134*Pesos!$B$2+I134*Pesos!$B$3+J134*Pesos!$B$4+K134*Pesos!$B$5+L134*Pesos!$B$6+M134*Pesos!$B$7+N134*Pesos!$B$8+O134*Pesos!$B$9+P134*Pesos!$B$10+Q134*Pesos!$B$11+R134*Pesos!$B$12+S134*Pesos!$B$13+T134*Pesos!$B$14+U134*Pesos!$B$15+V134*Pesos!$B$16+W134*Pesos!$B$17+X134*Pesos!$B$18+Y134*Pesos!$B$19+Z134*Pesos!$B$20+AA134*Pesos!$B$21+AB134*Pesos!$B$22+AC134*Pesos!$B$23+AD134*Pesos!$B$24+AE134*Pesos!$B$25+AF134*Pesos!$B$26+AG134*Pesos!$B$27+AH134*Pesos!$B$28+AI134*Pesos!$B$29+AJ134*Pesos!$B$30+AK134*Pesos!$B$31+AL134*Pesos!$B$32+AM134*Pesos!$B$33+AN134*Pesos!$B$34+AO134*Pesos!$B$35+AP134*Pesos!$B$36+AQ134*Pesos!$B$37+AR134*Pesos!$B$38+AS134*Pesos!$B$39+AT134*Pesos!$B$40+AU134*Pesos!$B$41+AV134*Pesos!$B$42+AW134*Pesos!$B$43+AX134*Pesos!$B$44+AY134*Pesos!$B$45+AZ134*Pesos!$B$46+BA134*Pesos!$B$47+BB134*Pesos!$B$48+BC134*Pesos!$B$49+BD134*Pesos!$B$50+BE134*Pesos!$B$51+BF134*Pesos!$B$52+BG134*Pesos!$B$53</f>
        <v>340</v>
      </c>
      <c r="G134" s="6" t="n">
        <f aca="false">E134*F134</f>
        <v>340</v>
      </c>
      <c r="H134" s="3" t="n">
        <v>105</v>
      </c>
      <c r="I134" s="3" t="n">
        <v>40</v>
      </c>
      <c r="J134" s="3"/>
      <c r="K134" s="3"/>
      <c r="L134" s="3"/>
      <c r="M134" s="3"/>
      <c r="N134" s="3"/>
      <c r="O134" s="3"/>
      <c r="P134" s="3" t="n">
        <v>1</v>
      </c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 t="s">
        <v>479</v>
      </c>
      <c r="BK134" s="3"/>
      <c r="BL134" s="3"/>
      <c r="BM134" s="3"/>
    </row>
    <row r="135" customFormat="false" ht="15" hidden="false" customHeight="false" outlineLevel="0" collapsed="false">
      <c r="A135" s="3" t="s">
        <v>61</v>
      </c>
      <c r="B135" s="3" t="s">
        <v>96</v>
      </c>
      <c r="C135" s="3" t="s">
        <v>480</v>
      </c>
      <c r="D135" s="3" t="s">
        <v>481</v>
      </c>
      <c r="E135" s="3" t="n">
        <v>1</v>
      </c>
      <c r="F135" s="6" t="n">
        <f aca="false">H135*Pesos!$B$2+I135*Pesos!$B$3+J135*Pesos!$B$4+K135*Pesos!$B$5+L135*Pesos!$B$6+M135*Pesos!$B$7+N135*Pesos!$B$8+O135*Pesos!$B$9+P135*Pesos!$B$10+Q135*Pesos!$B$11+R135*Pesos!$B$12+S135*Pesos!$B$13+T135*Pesos!$B$14+U135*Pesos!$B$15+V135*Pesos!$B$16+W135*Pesos!$B$17+X135*Pesos!$B$18+Y135*Pesos!$B$19+Z135*Pesos!$B$20+AA135*Pesos!$B$21+AB135*Pesos!$B$22+AC135*Pesos!$B$23+AD135*Pesos!$B$24+AE135*Pesos!$B$25+AF135*Pesos!$B$26+AG135*Pesos!$B$27+AH135*Pesos!$B$28+AI135*Pesos!$B$29+AJ135*Pesos!$B$30+AK135*Pesos!$B$31+AL135*Pesos!$B$32+AM135*Pesos!$B$33+AN135*Pesos!$B$34+AO135*Pesos!$B$35+AP135*Pesos!$B$36+AQ135*Pesos!$B$37+AR135*Pesos!$B$38+AS135*Pesos!$B$39+AT135*Pesos!$B$40+AU135*Pesos!$B$41+AV135*Pesos!$B$42+AW135*Pesos!$B$43+AX135*Pesos!$B$44+AY135*Pesos!$B$45+AZ135*Pesos!$B$46+BA135*Pesos!$B$47+BB135*Pesos!$B$48+BC135*Pesos!$B$49+BD135*Pesos!$B$50+BE135*Pesos!$B$51+BF135*Pesos!$B$52+BG135*Pesos!$B$53</f>
        <v>90</v>
      </c>
      <c r="G135" s="6" t="n">
        <f aca="false">E135*F135</f>
        <v>90</v>
      </c>
      <c r="H135" s="3" t="n">
        <v>49</v>
      </c>
      <c r="I135" s="3" t="n">
        <v>50</v>
      </c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 t="n">
        <v>4</v>
      </c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 t="s">
        <v>466</v>
      </c>
      <c r="BI135" s="3"/>
      <c r="BJ135" s="3" t="s">
        <v>482</v>
      </c>
      <c r="BK135" s="3"/>
      <c r="BL135" s="3"/>
      <c r="BM135" s="3"/>
    </row>
    <row r="136" customFormat="false" ht="15" hidden="false" customHeight="false" outlineLevel="0" collapsed="false">
      <c r="A136" s="3" t="s">
        <v>61</v>
      </c>
      <c r="B136" s="3" t="s">
        <v>96</v>
      </c>
      <c r="C136" s="3" t="s">
        <v>483</v>
      </c>
      <c r="D136" s="3" t="s">
        <v>484</v>
      </c>
      <c r="E136" s="3" t="n">
        <v>1</v>
      </c>
      <c r="F136" s="6" t="n">
        <f aca="false">H136*Pesos!$B$2+I136*Pesos!$B$3+J136*Pesos!$B$4+K136*Pesos!$B$5+L136*Pesos!$B$6+M136*Pesos!$B$7+N136*Pesos!$B$8+O136*Pesos!$B$9+P136*Pesos!$B$10+Q136*Pesos!$B$11+R136*Pesos!$B$12+S136*Pesos!$B$13+T136*Pesos!$B$14+U136*Pesos!$B$15+V136*Pesos!$B$16+W136*Pesos!$B$17+X136*Pesos!$B$18+Y136*Pesos!$B$19+Z136*Pesos!$B$20+AA136*Pesos!$B$21+AB136*Pesos!$B$22+AC136*Pesos!$B$23+AD136*Pesos!$B$24+AE136*Pesos!$B$25+AF136*Pesos!$B$26+AG136*Pesos!$B$27+AH136*Pesos!$B$28+AI136*Pesos!$B$29+AJ136*Pesos!$B$30+AK136*Pesos!$B$31+AL136*Pesos!$B$32+AM136*Pesos!$B$33+AN136*Pesos!$B$34+AO136*Pesos!$B$35+AP136*Pesos!$B$36+AQ136*Pesos!$B$37+AR136*Pesos!$B$38+AS136*Pesos!$B$39+AT136*Pesos!$B$40+AU136*Pesos!$B$41+AV136*Pesos!$B$42+AW136*Pesos!$B$43+AX136*Pesos!$B$44+AY136*Pesos!$B$45+AZ136*Pesos!$B$46+BA136*Pesos!$B$47+BB136*Pesos!$B$48+BC136*Pesos!$B$49+BD136*Pesos!$B$50+BE136*Pesos!$B$51+BF136*Pesos!$B$52+BG136*Pesos!$B$53</f>
        <v>225</v>
      </c>
      <c r="G136" s="6" t="n">
        <f aca="false">E136*F136</f>
        <v>225</v>
      </c>
      <c r="H136" s="3" t="n">
        <v>49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 t="n">
        <v>5</v>
      </c>
      <c r="AH136" s="3"/>
      <c r="AI136" s="3"/>
      <c r="AJ136" s="3"/>
      <c r="AK136" s="3"/>
      <c r="AL136" s="3"/>
      <c r="AM136" s="3"/>
      <c r="AN136" s="3" t="n">
        <v>5</v>
      </c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 t="s">
        <v>484</v>
      </c>
      <c r="BI136" s="3"/>
      <c r="BJ136" s="3"/>
      <c r="BK136" s="3"/>
      <c r="BL136" s="3"/>
      <c r="BM136" s="3"/>
    </row>
    <row r="137" customFormat="false" ht="15" hidden="false" customHeight="false" outlineLevel="0" collapsed="false">
      <c r="A137" s="3" t="s">
        <v>61</v>
      </c>
      <c r="B137" s="3" t="s">
        <v>96</v>
      </c>
      <c r="C137" s="3" t="s">
        <v>485</v>
      </c>
      <c r="D137" s="3" t="s">
        <v>486</v>
      </c>
      <c r="E137" s="3" t="n">
        <v>1</v>
      </c>
      <c r="F137" s="6" t="n">
        <f aca="false">H137*Pesos!$B$2+I137*Pesos!$B$3+J137*Pesos!$B$4+K137*Pesos!$B$5+L137*Pesos!$B$6+M137*Pesos!$B$7+N137*Pesos!$B$8+O137*Pesos!$B$9+P137*Pesos!$B$10+Q137*Pesos!$B$11+R137*Pesos!$B$12+S137*Pesos!$B$13+T137*Pesos!$B$14+U137*Pesos!$B$15+V137*Pesos!$B$16+W137*Pesos!$B$17+X137*Pesos!$B$18+Y137*Pesos!$B$19+Z137*Pesos!$B$20+AA137*Pesos!$B$21+AB137*Pesos!$B$22+AC137*Pesos!$B$23+AD137*Pesos!$B$24+AE137*Pesos!$B$25+AF137*Pesos!$B$26+AG137*Pesos!$B$27+AH137*Pesos!$B$28+AI137*Pesos!$B$29+AJ137*Pesos!$B$30+AK137*Pesos!$B$31+AL137*Pesos!$B$32+AM137*Pesos!$B$33+AN137*Pesos!$B$34+AO137*Pesos!$B$35+AP137*Pesos!$B$36+AQ137*Pesos!$B$37+AR137*Pesos!$B$38+AS137*Pesos!$B$39+AT137*Pesos!$B$40+AU137*Pesos!$B$41+AV137*Pesos!$B$42+AW137*Pesos!$B$43+AX137*Pesos!$B$44+AY137*Pesos!$B$45+AZ137*Pesos!$B$46+BA137*Pesos!$B$47+BB137*Pesos!$B$48+BC137*Pesos!$B$49+BD137*Pesos!$B$50+BE137*Pesos!$B$51+BF137*Pesos!$B$52+BG137*Pesos!$B$53</f>
        <v>20</v>
      </c>
      <c r="G137" s="6" t="n">
        <f aca="false">E137*F137</f>
        <v>20</v>
      </c>
      <c r="H137" s="3" t="n">
        <v>63</v>
      </c>
      <c r="I137" s="3" t="n">
        <v>20</v>
      </c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 t="s">
        <v>487</v>
      </c>
      <c r="BK137" s="3"/>
      <c r="BL137" s="3"/>
      <c r="BM137" s="3"/>
    </row>
    <row r="138" customFormat="false" ht="15" hidden="false" customHeight="false" outlineLevel="0" collapsed="false">
      <c r="A138" s="3" t="s">
        <v>61</v>
      </c>
      <c r="B138" s="3" t="s">
        <v>96</v>
      </c>
      <c r="C138" s="3" t="s">
        <v>488</v>
      </c>
      <c r="D138" s="3" t="s">
        <v>489</v>
      </c>
      <c r="E138" s="3" t="n">
        <v>1</v>
      </c>
      <c r="F138" s="6" t="n">
        <f aca="false">H138*Pesos!$B$2+I138*Pesos!$B$3+J138*Pesos!$B$4+K138*Pesos!$B$5+L138*Pesos!$B$6+M138*Pesos!$B$7+N138*Pesos!$B$8+O138*Pesos!$B$9+P138*Pesos!$B$10+Q138*Pesos!$B$11+R138*Pesos!$B$12+S138*Pesos!$B$13+T138*Pesos!$B$14+U138*Pesos!$B$15+V138*Pesos!$B$16+W138*Pesos!$B$17+X138*Pesos!$B$18+Y138*Pesos!$B$19+Z138*Pesos!$B$20+AA138*Pesos!$B$21+AB138*Pesos!$B$22+AC138*Pesos!$B$23+AD138*Pesos!$B$24+AE138*Pesos!$B$25+AF138*Pesos!$B$26+AG138*Pesos!$B$27+AH138*Pesos!$B$28+AI138*Pesos!$B$29+AJ138*Pesos!$B$30+AK138*Pesos!$B$31+AL138*Pesos!$B$32+AM138*Pesos!$B$33+AN138*Pesos!$B$34+AO138*Pesos!$B$35+AP138*Pesos!$B$36+AQ138*Pesos!$B$37+AR138*Pesos!$B$38+AS138*Pesos!$B$39+AT138*Pesos!$B$40+AU138*Pesos!$B$41+AV138*Pesos!$B$42+AW138*Pesos!$B$43+AX138*Pesos!$B$44+AY138*Pesos!$B$45+AZ138*Pesos!$B$46+BA138*Pesos!$B$47+BB138*Pesos!$B$48+BC138*Pesos!$B$49+BD138*Pesos!$B$50+BE138*Pesos!$B$51+BF138*Pesos!$B$52+BG138*Pesos!$B$53</f>
        <v>225</v>
      </c>
      <c r="G138" s="6" t="n">
        <f aca="false">E138*F138</f>
        <v>225</v>
      </c>
      <c r="H138" s="3" t="n">
        <v>84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 t="n">
        <v>5</v>
      </c>
      <c r="AJ138" s="3"/>
      <c r="AK138" s="3"/>
      <c r="AL138" s="3"/>
      <c r="AM138" s="3"/>
      <c r="AN138" s="3" t="n">
        <v>10</v>
      </c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 t="s">
        <v>489</v>
      </c>
      <c r="BI138" s="3"/>
      <c r="BJ138" s="3"/>
      <c r="BK138" s="3"/>
      <c r="BL138" s="3"/>
      <c r="BM138" s="3"/>
    </row>
    <row r="139" customFormat="false" ht="15" hidden="false" customHeight="false" outlineLevel="0" collapsed="false">
      <c r="A139" s="3" t="s">
        <v>61</v>
      </c>
      <c r="B139" s="3" t="s">
        <v>96</v>
      </c>
      <c r="C139" s="3" t="s">
        <v>490</v>
      </c>
      <c r="D139" s="3" t="s">
        <v>491</v>
      </c>
      <c r="E139" s="3" t="n">
        <v>1</v>
      </c>
      <c r="F139" s="6" t="n">
        <f aca="false">H139*Pesos!$B$2+I139*Pesos!$B$3+J139*Pesos!$B$4+K139*Pesos!$B$5+L139*Pesos!$B$6+M139*Pesos!$B$7+N139*Pesos!$B$8+O139*Pesos!$B$9+P139*Pesos!$B$10+Q139*Pesos!$B$11+R139*Pesos!$B$12+S139*Pesos!$B$13+T139*Pesos!$B$14+U139*Pesos!$B$15+V139*Pesos!$B$16+W139*Pesos!$B$17+X139*Pesos!$B$18+Y139*Pesos!$B$19+Z139*Pesos!$B$20+AA139*Pesos!$B$21+AB139*Pesos!$B$22+AC139*Pesos!$B$23+AD139*Pesos!$B$24+AE139*Pesos!$B$25+AF139*Pesos!$B$26+AG139*Pesos!$B$27+AH139*Pesos!$B$28+AI139*Pesos!$B$29+AJ139*Pesos!$B$30+AK139*Pesos!$B$31+AL139*Pesos!$B$32+AM139*Pesos!$B$33+AN139*Pesos!$B$34+AO139*Pesos!$B$35+AP139*Pesos!$B$36+AQ139*Pesos!$B$37+AR139*Pesos!$B$38+AS139*Pesos!$B$39+AT139*Pesos!$B$40+AU139*Pesos!$B$41+AV139*Pesos!$B$42+AW139*Pesos!$B$43+AX139*Pesos!$B$44+AY139*Pesos!$B$45+AZ139*Pesos!$B$46+BA139*Pesos!$B$47+BB139*Pesos!$B$48+BC139*Pesos!$B$49+BD139*Pesos!$B$50+BE139*Pesos!$B$51+BF139*Pesos!$B$52+BG139*Pesos!$B$53</f>
        <v>100</v>
      </c>
      <c r="G139" s="6" t="n">
        <f aca="false">E139*F139</f>
        <v>100</v>
      </c>
      <c r="H139" s="3" t="n">
        <v>63</v>
      </c>
      <c r="I139" s="3" t="n">
        <v>100</v>
      </c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 t="s">
        <v>492</v>
      </c>
      <c r="BL139" s="3"/>
      <c r="BM139" s="3"/>
    </row>
    <row r="140" customFormat="false" ht="15" hidden="false" customHeight="false" outlineLevel="0" collapsed="false">
      <c r="A140" s="3" t="s">
        <v>61</v>
      </c>
      <c r="B140" s="3" t="s">
        <v>96</v>
      </c>
      <c r="C140" s="3" t="s">
        <v>493</v>
      </c>
      <c r="D140" s="3" t="s">
        <v>494</v>
      </c>
      <c r="E140" s="3" t="n">
        <v>1</v>
      </c>
      <c r="F140" s="6" t="n">
        <f aca="false">H140*Pesos!$B$2+I140*Pesos!$B$3+J140*Pesos!$B$4+K140*Pesos!$B$5+L140*Pesos!$B$6+M140*Pesos!$B$7+N140*Pesos!$B$8+O140*Pesos!$B$9+P140*Pesos!$B$10+Q140*Pesos!$B$11+R140*Pesos!$B$12+S140*Pesos!$B$13+T140*Pesos!$B$14+U140*Pesos!$B$15+V140*Pesos!$B$16+W140*Pesos!$B$17+X140*Pesos!$B$18+Y140*Pesos!$B$19+Z140*Pesos!$B$20+AA140*Pesos!$B$21+AB140*Pesos!$B$22+AC140*Pesos!$B$23+AD140*Pesos!$B$24+AE140*Pesos!$B$25+AF140*Pesos!$B$26+AG140*Pesos!$B$27+AH140*Pesos!$B$28+AI140*Pesos!$B$29+AJ140*Pesos!$B$30+AK140*Pesos!$B$31+AL140*Pesos!$B$32+AM140*Pesos!$B$33+AN140*Pesos!$B$34+AO140*Pesos!$B$35+AP140*Pesos!$B$36+AQ140*Pesos!$B$37+AR140*Pesos!$B$38+AS140*Pesos!$B$39+AT140*Pesos!$B$40+AU140*Pesos!$B$41+AV140*Pesos!$B$42+AW140*Pesos!$B$43+AX140*Pesos!$B$44+AY140*Pesos!$B$45+AZ140*Pesos!$B$46+BA140*Pesos!$B$47+BB140*Pesos!$B$48+BC140*Pesos!$B$49+BD140*Pesos!$B$50+BE140*Pesos!$B$51+BF140*Pesos!$B$52+BG140*Pesos!$B$53</f>
        <v>500</v>
      </c>
      <c r="G140" s="6" t="n">
        <f aca="false">E140*F140</f>
        <v>500</v>
      </c>
      <c r="H140" s="3" t="n">
        <v>105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 t="n">
        <v>5</v>
      </c>
      <c r="AC140" s="3"/>
      <c r="AD140" s="3"/>
      <c r="AE140" s="3"/>
      <c r="AF140" s="3"/>
      <c r="AG140" s="3" t="n">
        <v>10</v>
      </c>
      <c r="AH140" s="3"/>
      <c r="AI140" s="3"/>
      <c r="AJ140" s="3"/>
      <c r="AK140" s="3"/>
      <c r="AL140" s="3"/>
      <c r="AM140" s="3"/>
      <c r="AN140" s="3" t="n">
        <v>10</v>
      </c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 t="s">
        <v>494</v>
      </c>
      <c r="BI140" s="3"/>
      <c r="BJ140" s="3"/>
      <c r="BK140" s="3"/>
      <c r="BL140" s="3"/>
      <c r="BM140" s="3"/>
    </row>
    <row r="141" customFormat="false" ht="15" hidden="false" customHeight="false" outlineLevel="0" collapsed="false">
      <c r="A141" s="3" t="s">
        <v>62</v>
      </c>
      <c r="B141" s="3" t="s">
        <v>97</v>
      </c>
      <c r="C141" s="3" t="s">
        <v>495</v>
      </c>
      <c r="D141" s="3" t="s">
        <v>496</v>
      </c>
      <c r="E141" s="3" t="n">
        <v>1</v>
      </c>
      <c r="F141" s="6" t="n">
        <f aca="false">H141*Pesos!$B$2+I141*Pesos!$B$3+J141*Pesos!$B$4+K141*Pesos!$B$5+L141*Pesos!$B$6+M141*Pesos!$B$7+N141*Pesos!$B$8+O141*Pesos!$B$9+P141*Pesos!$B$10+Q141*Pesos!$B$11+R141*Pesos!$B$12+S141*Pesos!$B$13+T141*Pesos!$B$14+U141*Pesos!$B$15+V141*Pesos!$B$16+W141*Pesos!$B$17+X141*Pesos!$B$18+Y141*Pesos!$B$19+Z141*Pesos!$B$20+AA141*Pesos!$B$21+AB141*Pesos!$B$22+AC141*Pesos!$B$23+AD141*Pesos!$B$24+AE141*Pesos!$B$25+AF141*Pesos!$B$26+AG141*Pesos!$B$27+AH141*Pesos!$B$28+AI141*Pesos!$B$29+AJ141*Pesos!$B$30+AK141*Pesos!$B$31+AL141*Pesos!$B$32+AM141*Pesos!$B$33+AN141*Pesos!$B$34+AO141*Pesos!$B$35+AP141*Pesos!$B$36+AQ141*Pesos!$B$37+AR141*Pesos!$B$38+AS141*Pesos!$B$39+AT141*Pesos!$B$40+AU141*Pesos!$B$41+AV141*Pesos!$B$42+AW141*Pesos!$B$43+AX141*Pesos!$B$44+AY141*Pesos!$B$45+AZ141*Pesos!$B$46+BA141*Pesos!$B$47+BB141*Pesos!$B$48+BC141*Pesos!$B$49+BD141*Pesos!$B$50+BE141*Pesos!$B$51+BF141*Pesos!$B$52+BG141*Pesos!$B$53</f>
        <v>100</v>
      </c>
      <c r="G141" s="6" t="n">
        <f aca="false">E141*F141</f>
        <v>100</v>
      </c>
      <c r="H141" s="3" t="n">
        <v>49</v>
      </c>
      <c r="I141" s="3" t="n">
        <v>100</v>
      </c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customFormat="false" ht="15" hidden="false" customHeight="false" outlineLevel="0" collapsed="false">
      <c r="A142" s="3" t="s">
        <v>62</v>
      </c>
      <c r="B142" s="3" t="s">
        <v>97</v>
      </c>
      <c r="C142" s="3" t="s">
        <v>497</v>
      </c>
      <c r="D142" s="3" t="s">
        <v>498</v>
      </c>
      <c r="E142" s="3" t="n">
        <v>1</v>
      </c>
      <c r="F142" s="6" t="n">
        <f aca="false">H142*Pesos!$B$2+I142*Pesos!$B$3+J142*Pesos!$B$4+K142*Pesos!$B$5+L142*Pesos!$B$6+M142*Pesos!$B$7+N142*Pesos!$B$8+O142*Pesos!$B$9+P142*Pesos!$B$10+Q142*Pesos!$B$11+R142*Pesos!$B$12+S142*Pesos!$B$13+T142*Pesos!$B$14+U142*Pesos!$B$15+V142*Pesos!$B$16+W142*Pesos!$B$17+X142*Pesos!$B$18+Y142*Pesos!$B$19+Z142*Pesos!$B$20+AA142*Pesos!$B$21+AB142*Pesos!$B$22+AC142*Pesos!$B$23+AD142*Pesos!$B$24+AE142*Pesos!$B$25+AF142*Pesos!$B$26+AG142*Pesos!$B$27+AH142*Pesos!$B$28+AI142*Pesos!$B$29+AJ142*Pesos!$B$30+AK142*Pesos!$B$31+AL142*Pesos!$B$32+AM142*Pesos!$B$33+AN142*Pesos!$B$34+AO142*Pesos!$B$35+AP142*Pesos!$B$36+AQ142*Pesos!$B$37+AR142*Pesos!$B$38+AS142*Pesos!$B$39+AT142*Pesos!$B$40+AU142*Pesos!$B$41+AV142*Pesos!$B$42+AW142*Pesos!$B$43+AX142*Pesos!$B$44+AY142*Pesos!$B$45+AZ142*Pesos!$B$46+BA142*Pesos!$B$47+BB142*Pesos!$B$48+BC142*Pesos!$B$49+BD142*Pesos!$B$50+BE142*Pesos!$B$51+BF142*Pesos!$B$52+BG142*Pesos!$B$53</f>
        <v>100</v>
      </c>
      <c r="G142" s="6" t="n">
        <f aca="false">E142*F142</f>
        <v>100</v>
      </c>
      <c r="H142" s="3" t="n">
        <v>49</v>
      </c>
      <c r="I142" s="3" t="n">
        <v>100</v>
      </c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customFormat="false" ht="15" hidden="false" customHeight="false" outlineLevel="0" collapsed="false">
      <c r="A143" s="3" t="s">
        <v>62</v>
      </c>
      <c r="B143" s="3" t="s">
        <v>97</v>
      </c>
      <c r="C143" s="3" t="s">
        <v>499</v>
      </c>
      <c r="D143" s="3" t="s">
        <v>500</v>
      </c>
      <c r="E143" s="3" t="n">
        <v>0.5</v>
      </c>
      <c r="F143" s="6" t="n">
        <f aca="false">H143*Pesos!$B$2+I143*Pesos!$B$3+J143*Pesos!$B$4+K143*Pesos!$B$5+L143*Pesos!$B$6+M143*Pesos!$B$7+N143*Pesos!$B$8+O143*Pesos!$B$9+P143*Pesos!$B$10+Q143*Pesos!$B$11+R143*Pesos!$B$12+S143*Pesos!$B$13+T143*Pesos!$B$14+U143*Pesos!$B$15+V143*Pesos!$B$16+W143*Pesos!$B$17+X143*Pesos!$B$18+Y143*Pesos!$B$19+Z143*Pesos!$B$20+AA143*Pesos!$B$21+AB143*Pesos!$B$22+AC143*Pesos!$B$23+AD143*Pesos!$B$24+AE143*Pesos!$B$25+AF143*Pesos!$B$26+AG143*Pesos!$B$27+AH143*Pesos!$B$28+AI143*Pesos!$B$29+AJ143*Pesos!$B$30+AK143*Pesos!$B$31+AL143*Pesos!$B$32+AM143*Pesos!$B$33+AN143*Pesos!$B$34+AO143*Pesos!$B$35+AP143*Pesos!$B$36+AQ143*Pesos!$B$37+AR143*Pesos!$B$38+AS143*Pesos!$B$39+AT143*Pesos!$B$40+AU143*Pesos!$B$41+AV143*Pesos!$B$42+AW143*Pesos!$B$43+AX143*Pesos!$B$44+AY143*Pesos!$B$45+AZ143*Pesos!$B$46+BA143*Pesos!$B$47+BB143*Pesos!$B$48+BC143*Pesos!$B$49+BD143*Pesos!$B$50+BE143*Pesos!$B$51+BF143*Pesos!$B$52+BG143*Pesos!$B$53</f>
        <v>223</v>
      </c>
      <c r="G143" s="6" t="n">
        <f aca="false">E143*F143</f>
        <v>111.5</v>
      </c>
      <c r="H143" s="3" t="n">
        <v>49</v>
      </c>
      <c r="I143" s="3" t="n">
        <v>100</v>
      </c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 t="n">
        <v>0.1</v>
      </c>
      <c r="AB143" s="3" t="n">
        <v>5</v>
      </c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 t="s">
        <v>501</v>
      </c>
      <c r="BI143" s="3"/>
      <c r="BJ143" s="3"/>
      <c r="BK143" s="3"/>
      <c r="BL143" s="3"/>
      <c r="BM143" s="3" t="s">
        <v>502</v>
      </c>
    </row>
    <row r="144" customFormat="false" ht="15" hidden="false" customHeight="false" outlineLevel="0" collapsed="false">
      <c r="A144" s="3" t="s">
        <v>62</v>
      </c>
      <c r="B144" s="3" t="s">
        <v>97</v>
      </c>
      <c r="C144" s="3" t="s">
        <v>503</v>
      </c>
      <c r="D144" s="3" t="s">
        <v>504</v>
      </c>
      <c r="E144" s="3" t="n">
        <v>0.5</v>
      </c>
      <c r="F144" s="6" t="n">
        <f aca="false">H144*Pesos!$B$2+I144*Pesos!$B$3+J144*Pesos!$B$4+K144*Pesos!$B$5+L144*Pesos!$B$6+M144*Pesos!$B$7+N144*Pesos!$B$8+O144*Pesos!$B$9+P144*Pesos!$B$10+Q144*Pesos!$B$11+R144*Pesos!$B$12+S144*Pesos!$B$13+T144*Pesos!$B$14+U144*Pesos!$B$15+V144*Pesos!$B$16+W144*Pesos!$B$17+X144*Pesos!$B$18+Y144*Pesos!$B$19+Z144*Pesos!$B$20+AA144*Pesos!$B$21+AB144*Pesos!$B$22+AC144*Pesos!$B$23+AD144*Pesos!$B$24+AE144*Pesos!$B$25+AF144*Pesos!$B$26+AG144*Pesos!$B$27+AH144*Pesos!$B$28+AI144*Pesos!$B$29+AJ144*Pesos!$B$30+AK144*Pesos!$B$31+AL144*Pesos!$B$32+AM144*Pesos!$B$33+AN144*Pesos!$B$34+AO144*Pesos!$B$35+AP144*Pesos!$B$36+AQ144*Pesos!$B$37+AR144*Pesos!$B$38+AS144*Pesos!$B$39+AT144*Pesos!$B$40+AU144*Pesos!$B$41+AV144*Pesos!$B$42+AW144*Pesos!$B$43+AX144*Pesos!$B$44+AY144*Pesos!$B$45+AZ144*Pesos!$B$46+BA144*Pesos!$B$47+BB144*Pesos!$B$48+BC144*Pesos!$B$49+BD144*Pesos!$B$50+BE144*Pesos!$B$51+BF144*Pesos!$B$52+BG144*Pesos!$B$53</f>
        <v>109.5</v>
      </c>
      <c r="G144" s="6" t="n">
        <f aca="false">E144*F144</f>
        <v>54.75</v>
      </c>
      <c r="H144" s="3" t="n">
        <v>49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 t="n">
        <v>0.15</v>
      </c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 t="s">
        <v>505</v>
      </c>
      <c r="BI144" s="3"/>
      <c r="BJ144" s="3"/>
      <c r="BK144" s="3"/>
      <c r="BL144" s="3"/>
      <c r="BM144" s="3"/>
    </row>
    <row r="145" customFormat="false" ht="15" hidden="false" customHeight="false" outlineLevel="0" collapsed="false">
      <c r="A145" s="3" t="s">
        <v>62</v>
      </c>
      <c r="B145" s="3" t="s">
        <v>97</v>
      </c>
      <c r="C145" s="3" t="s">
        <v>506</v>
      </c>
      <c r="D145" s="3" t="s">
        <v>507</v>
      </c>
      <c r="E145" s="3" t="n">
        <v>0.5</v>
      </c>
      <c r="F145" s="6" t="n">
        <f aca="false">H145*Pesos!$B$2+I145*Pesos!$B$3+J145*Pesos!$B$4+K145*Pesos!$B$5+L145*Pesos!$B$6+M145*Pesos!$B$7+N145*Pesos!$B$8+O145*Pesos!$B$9+P145*Pesos!$B$10+Q145*Pesos!$B$11+R145*Pesos!$B$12+S145*Pesos!$B$13+T145*Pesos!$B$14+U145*Pesos!$B$15+V145*Pesos!$B$16+W145*Pesos!$B$17+X145*Pesos!$B$18+Y145*Pesos!$B$19+Z145*Pesos!$B$20+AA145*Pesos!$B$21+AB145*Pesos!$B$22+AC145*Pesos!$B$23+AD145*Pesos!$B$24+AE145*Pesos!$B$25+AF145*Pesos!$B$26+AG145*Pesos!$B$27+AH145*Pesos!$B$28+AI145*Pesos!$B$29+AJ145*Pesos!$B$30+AK145*Pesos!$B$31+AL145*Pesos!$B$32+AM145*Pesos!$B$33+AN145*Pesos!$B$34+AO145*Pesos!$B$35+AP145*Pesos!$B$36+AQ145*Pesos!$B$37+AR145*Pesos!$B$38+AS145*Pesos!$B$39+AT145*Pesos!$B$40+AU145*Pesos!$B$41+AV145*Pesos!$B$42+AW145*Pesos!$B$43+AX145*Pesos!$B$44+AY145*Pesos!$B$45+AZ145*Pesos!$B$46+BA145*Pesos!$B$47+BB145*Pesos!$B$48+BC145*Pesos!$B$49+BD145*Pesos!$B$50+BE145*Pesos!$B$51+BF145*Pesos!$B$52+BG145*Pesos!$B$53</f>
        <v>103.8</v>
      </c>
      <c r="G145" s="6" t="n">
        <f aca="false">E145*F145</f>
        <v>51.9</v>
      </c>
      <c r="H145" s="3" t="n">
        <v>49</v>
      </c>
      <c r="I145" s="3" t="n">
        <v>50</v>
      </c>
      <c r="J145" s="3" t="n">
        <v>5</v>
      </c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 t="n">
        <v>-0.04</v>
      </c>
      <c r="AB145" s="3" t="n">
        <v>-0.6</v>
      </c>
      <c r="AC145" s="3"/>
      <c r="AD145" s="3"/>
      <c r="AE145" s="3"/>
      <c r="AF145" s="3"/>
      <c r="AG145" s="3" t="n">
        <v>-0.8</v>
      </c>
      <c r="AH145" s="3"/>
      <c r="AI145" s="3"/>
      <c r="AJ145" s="3"/>
      <c r="AK145" s="3"/>
      <c r="AL145" s="3" t="n">
        <v>-2.1</v>
      </c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 t="s">
        <v>508</v>
      </c>
      <c r="BK145" s="3"/>
      <c r="BL145" s="3"/>
      <c r="BM145" s="3"/>
    </row>
    <row r="146" customFormat="false" ht="15" hidden="false" customHeight="false" outlineLevel="0" collapsed="false">
      <c r="A146" s="3" t="s">
        <v>62</v>
      </c>
      <c r="B146" s="3" t="s">
        <v>97</v>
      </c>
      <c r="C146" s="3" t="s">
        <v>509</v>
      </c>
      <c r="D146" s="3" t="s">
        <v>510</v>
      </c>
      <c r="E146" s="3" t="n">
        <v>0.5</v>
      </c>
      <c r="F146" s="6" t="n">
        <f aca="false">H146*Pesos!$B$2+I146*Pesos!$B$3+J146*Pesos!$B$4+K146*Pesos!$B$5+L146*Pesos!$B$6+M146*Pesos!$B$7+N146*Pesos!$B$8+O146*Pesos!$B$9+P146*Pesos!$B$10+Q146*Pesos!$B$11+R146*Pesos!$B$12+S146*Pesos!$B$13+T146*Pesos!$B$14+U146*Pesos!$B$15+V146*Pesos!$B$16+W146*Pesos!$B$17+X146*Pesos!$B$18+Y146*Pesos!$B$19+Z146*Pesos!$B$20+AA146*Pesos!$B$21+AB146*Pesos!$B$22+AC146*Pesos!$B$23+AD146*Pesos!$B$24+AE146*Pesos!$B$25+AF146*Pesos!$B$26+AG146*Pesos!$B$27+AH146*Pesos!$B$28+AI146*Pesos!$B$29+AJ146*Pesos!$B$30+AK146*Pesos!$B$31+AL146*Pesos!$B$32+AM146*Pesos!$B$33+AN146*Pesos!$B$34+AO146*Pesos!$B$35+AP146*Pesos!$B$36+AQ146*Pesos!$B$37+AR146*Pesos!$B$38+AS146*Pesos!$B$39+AT146*Pesos!$B$40+AU146*Pesos!$B$41+AV146*Pesos!$B$42+AW146*Pesos!$B$43+AX146*Pesos!$B$44+AY146*Pesos!$B$45+AZ146*Pesos!$B$46+BA146*Pesos!$B$47+BB146*Pesos!$B$48+BC146*Pesos!$B$49+BD146*Pesos!$B$50+BE146*Pesos!$B$51+BF146*Pesos!$B$52+BG146*Pesos!$B$53</f>
        <v>130.2</v>
      </c>
      <c r="G146" s="6" t="n">
        <f aca="false">E146*F146</f>
        <v>65.1</v>
      </c>
      <c r="H146" s="3" t="n">
        <v>49</v>
      </c>
      <c r="I146" s="3" t="n">
        <v>100</v>
      </c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 t="n">
        <v>0.14</v>
      </c>
      <c r="AB146" s="3" t="n">
        <v>-0.9</v>
      </c>
      <c r="AC146" s="3"/>
      <c r="AD146" s="3"/>
      <c r="AE146" s="3"/>
      <c r="AF146" s="3"/>
      <c r="AG146" s="3" t="n">
        <v>-1.2</v>
      </c>
      <c r="AH146" s="3"/>
      <c r="AI146" s="3"/>
      <c r="AJ146" s="3"/>
      <c r="AK146" s="3"/>
      <c r="AL146" s="3" t="n">
        <v>0.9</v>
      </c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 t="s">
        <v>511</v>
      </c>
      <c r="BK146" s="3"/>
      <c r="BL146" s="3"/>
      <c r="BM146" s="3"/>
    </row>
    <row r="147" customFormat="false" ht="15" hidden="false" customHeight="false" outlineLevel="0" collapsed="false">
      <c r="A147" s="3" t="s">
        <v>62</v>
      </c>
      <c r="B147" s="3" t="s">
        <v>97</v>
      </c>
      <c r="C147" s="3" t="s">
        <v>512</v>
      </c>
      <c r="D147" s="3" t="s">
        <v>513</v>
      </c>
      <c r="E147" s="3" t="n">
        <v>0.5</v>
      </c>
      <c r="F147" s="6" t="n">
        <f aca="false">H147*Pesos!$B$2+I147*Pesos!$B$3+J147*Pesos!$B$4+K147*Pesos!$B$5+L147*Pesos!$B$6+M147*Pesos!$B$7+N147*Pesos!$B$8+O147*Pesos!$B$9+P147*Pesos!$B$10+Q147*Pesos!$B$11+R147*Pesos!$B$12+S147*Pesos!$B$13+T147*Pesos!$B$14+U147*Pesos!$B$15+V147*Pesos!$B$16+W147*Pesos!$B$17+X147*Pesos!$B$18+Y147*Pesos!$B$19+Z147*Pesos!$B$20+AA147*Pesos!$B$21+AB147*Pesos!$B$22+AC147*Pesos!$B$23+AD147*Pesos!$B$24+AE147*Pesos!$B$25+AF147*Pesos!$B$26+AG147*Pesos!$B$27+AH147*Pesos!$B$28+AI147*Pesos!$B$29+AJ147*Pesos!$B$30+AK147*Pesos!$B$31+AL147*Pesos!$B$32+AM147*Pesos!$B$33+AN147*Pesos!$B$34+AO147*Pesos!$B$35+AP147*Pesos!$B$36+AQ147*Pesos!$B$37+AR147*Pesos!$B$38+AS147*Pesos!$B$39+AT147*Pesos!$B$40+AU147*Pesos!$B$41+AV147*Pesos!$B$42+AW147*Pesos!$B$43+AX147*Pesos!$B$44+AY147*Pesos!$B$45+AZ147*Pesos!$B$46+BA147*Pesos!$B$47+BB147*Pesos!$B$48+BC147*Pesos!$B$49+BD147*Pesos!$B$50+BE147*Pesos!$B$51+BF147*Pesos!$B$52+BG147*Pesos!$B$53</f>
        <v>67.8</v>
      </c>
      <c r="G147" s="6" t="n">
        <f aca="false">E147*F147</f>
        <v>33.9</v>
      </c>
      <c r="H147" s="3" t="n">
        <v>49</v>
      </c>
      <c r="I147" s="3"/>
      <c r="J147" s="3"/>
      <c r="K147" s="3"/>
      <c r="L147" s="3"/>
      <c r="M147" s="3"/>
      <c r="N147" s="3"/>
      <c r="O147" s="3"/>
      <c r="P147" s="3"/>
      <c r="Q147" s="3" t="n">
        <v>1</v>
      </c>
      <c r="R147" s="3"/>
      <c r="S147" s="3"/>
      <c r="T147" s="3"/>
      <c r="U147" s="3"/>
      <c r="V147" s="3"/>
      <c r="W147" s="3"/>
      <c r="X147" s="3"/>
      <c r="Y147" s="3"/>
      <c r="Z147" s="3"/>
      <c r="AA147" s="3" t="n">
        <v>-0.04</v>
      </c>
      <c r="AB147" s="3" t="n">
        <v>-0.6</v>
      </c>
      <c r="AC147" s="3"/>
      <c r="AD147" s="3"/>
      <c r="AE147" s="3"/>
      <c r="AF147" s="3"/>
      <c r="AG147" s="3" t="n">
        <v>3.2</v>
      </c>
      <c r="AH147" s="3"/>
      <c r="AI147" s="3"/>
      <c r="AJ147" s="3"/>
      <c r="AK147" s="3"/>
      <c r="AL147" s="3" t="n">
        <v>0.6</v>
      </c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 t="s">
        <v>514</v>
      </c>
      <c r="BK147" s="3"/>
      <c r="BL147" s="3"/>
      <c r="BM147" s="3"/>
    </row>
    <row r="148" customFormat="false" ht="15" hidden="false" customHeight="false" outlineLevel="0" collapsed="false">
      <c r="A148" s="3" t="s">
        <v>62</v>
      </c>
      <c r="B148" s="3" t="s">
        <v>97</v>
      </c>
      <c r="C148" s="3" t="s">
        <v>515</v>
      </c>
      <c r="D148" s="3" t="s">
        <v>516</v>
      </c>
      <c r="E148" s="3" t="n">
        <v>0.5</v>
      </c>
      <c r="F148" s="6" t="n">
        <f aca="false">H148*Pesos!$B$2+I148*Pesos!$B$3+J148*Pesos!$B$4+K148*Pesos!$B$5+L148*Pesos!$B$6+M148*Pesos!$B$7+N148*Pesos!$B$8+O148*Pesos!$B$9+P148*Pesos!$B$10+Q148*Pesos!$B$11+R148*Pesos!$B$12+S148*Pesos!$B$13+T148*Pesos!$B$14+U148*Pesos!$B$15+V148*Pesos!$B$16+W148*Pesos!$B$17+X148*Pesos!$B$18+Y148*Pesos!$B$19+Z148*Pesos!$B$20+AA148*Pesos!$B$21+AB148*Pesos!$B$22+AC148*Pesos!$B$23+AD148*Pesos!$B$24+AE148*Pesos!$B$25+AF148*Pesos!$B$26+AG148*Pesos!$B$27+AH148*Pesos!$B$28+AI148*Pesos!$B$29+AJ148*Pesos!$B$30+AK148*Pesos!$B$31+AL148*Pesos!$B$32+AM148*Pesos!$B$33+AN148*Pesos!$B$34+AO148*Pesos!$B$35+AP148*Pesos!$B$36+AQ148*Pesos!$B$37+AR148*Pesos!$B$38+AS148*Pesos!$B$39+AT148*Pesos!$B$40+AU148*Pesos!$B$41+AV148*Pesos!$B$42+AW148*Pesos!$B$43+AX148*Pesos!$B$44+AY148*Pesos!$B$45+AZ148*Pesos!$B$46+BA148*Pesos!$B$47+BB148*Pesos!$B$48+BC148*Pesos!$B$49+BD148*Pesos!$B$50+BE148*Pesos!$B$51+BF148*Pesos!$B$52+BG148*Pesos!$B$53</f>
        <v>114.2</v>
      </c>
      <c r="G148" s="6" t="n">
        <f aca="false">E148*F148</f>
        <v>57.1</v>
      </c>
      <c r="H148" s="3" t="n">
        <v>49</v>
      </c>
      <c r="I148" s="3"/>
      <c r="J148" s="3"/>
      <c r="K148" s="3"/>
      <c r="L148" s="3"/>
      <c r="M148" s="3"/>
      <c r="N148" s="3"/>
      <c r="O148" s="3"/>
      <c r="P148" s="3"/>
      <c r="Q148" s="3"/>
      <c r="R148" s="3" t="n">
        <v>2</v>
      </c>
      <c r="S148" s="3"/>
      <c r="T148" s="3"/>
      <c r="U148" s="3"/>
      <c r="V148" s="3"/>
      <c r="W148" s="3"/>
      <c r="X148" s="3"/>
      <c r="Y148" s="3"/>
      <c r="Z148" s="3"/>
      <c r="AA148" s="3" t="n">
        <v>-0.06</v>
      </c>
      <c r="AB148" s="3" t="n">
        <v>2.1</v>
      </c>
      <c r="AC148" s="3"/>
      <c r="AD148" s="3"/>
      <c r="AE148" s="3"/>
      <c r="AF148" s="3"/>
      <c r="AG148" s="3" t="n">
        <v>-1.2</v>
      </c>
      <c r="AH148" s="3"/>
      <c r="AI148" s="3"/>
      <c r="AJ148" s="3"/>
      <c r="AK148" s="3"/>
      <c r="AL148" s="3" t="n">
        <v>0.9</v>
      </c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 t="s">
        <v>517</v>
      </c>
      <c r="BK148" s="3"/>
      <c r="BL148" s="3"/>
      <c r="BM148" s="3"/>
    </row>
    <row r="149" customFormat="false" ht="15" hidden="false" customHeight="false" outlineLevel="0" collapsed="false">
      <c r="A149" s="3" t="s">
        <v>62</v>
      </c>
      <c r="B149" s="3" t="s">
        <v>97</v>
      </c>
      <c r="C149" s="3" t="s">
        <v>518</v>
      </c>
      <c r="D149" s="3" t="s">
        <v>519</v>
      </c>
      <c r="E149" s="3" t="n">
        <v>0.5</v>
      </c>
      <c r="F149" s="6" t="n">
        <f aca="false">H149*Pesos!$B$2+I149*Pesos!$B$3+J149*Pesos!$B$4+K149*Pesos!$B$5+L149*Pesos!$B$6+M149*Pesos!$B$7+N149*Pesos!$B$8+O149*Pesos!$B$9+P149*Pesos!$B$10+Q149*Pesos!$B$11+R149*Pesos!$B$12+S149*Pesos!$B$13+T149*Pesos!$B$14+U149*Pesos!$B$15+V149*Pesos!$B$16+W149*Pesos!$B$17+X149*Pesos!$B$18+Y149*Pesos!$B$19+Z149*Pesos!$B$20+AA149*Pesos!$B$21+AB149*Pesos!$B$22+AC149*Pesos!$B$23+AD149*Pesos!$B$24+AE149*Pesos!$B$25+AF149*Pesos!$B$26+AG149*Pesos!$B$27+AH149*Pesos!$B$28+AI149*Pesos!$B$29+AJ149*Pesos!$B$30+AK149*Pesos!$B$31+AL149*Pesos!$B$32+AM149*Pesos!$B$33+AN149*Pesos!$B$34+AO149*Pesos!$B$35+AP149*Pesos!$B$36+AQ149*Pesos!$B$37+AR149*Pesos!$B$38+AS149*Pesos!$B$39+AT149*Pesos!$B$40+AU149*Pesos!$B$41+AV149*Pesos!$B$42+AW149*Pesos!$B$43+AX149*Pesos!$B$44+AY149*Pesos!$B$45+AZ149*Pesos!$B$46+BA149*Pesos!$B$47+BB149*Pesos!$B$48+BC149*Pesos!$B$49+BD149*Pesos!$B$50+BE149*Pesos!$B$51+BF149*Pesos!$B$52+BG149*Pesos!$B$53</f>
        <v>325</v>
      </c>
      <c r="G149" s="6" t="n">
        <f aca="false">E149*F149</f>
        <v>162.5</v>
      </c>
      <c r="H149" s="3" t="n">
        <v>84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 t="n">
        <v>10</v>
      </c>
      <c r="AC149" s="3"/>
      <c r="AD149" s="3"/>
      <c r="AE149" s="3"/>
      <c r="AF149" s="3"/>
      <c r="AG149" s="3" t="n">
        <v>5</v>
      </c>
      <c r="AH149" s="3"/>
      <c r="AI149" s="3"/>
      <c r="AJ149" s="3"/>
      <c r="AK149" s="3"/>
      <c r="AL149" s="3"/>
      <c r="AM149" s="3"/>
      <c r="AN149" s="3" t="n">
        <v>5</v>
      </c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 t="s">
        <v>519</v>
      </c>
      <c r="BI149" s="3"/>
      <c r="BJ149" s="3"/>
      <c r="BK149" s="3"/>
      <c r="BL149" s="3"/>
      <c r="BM149" s="3"/>
    </row>
    <row r="150" customFormat="false" ht="15" hidden="false" customHeight="false" outlineLevel="0" collapsed="false">
      <c r="A150" s="3" t="s">
        <v>62</v>
      </c>
      <c r="B150" s="3" t="s">
        <v>97</v>
      </c>
      <c r="C150" s="3" t="s">
        <v>520</v>
      </c>
      <c r="D150" s="3" t="s">
        <v>521</v>
      </c>
      <c r="E150" s="3" t="n">
        <v>0.5</v>
      </c>
      <c r="F150" s="6" t="n">
        <f aca="false">H150*Pesos!$B$2+I150*Pesos!$B$3+J150*Pesos!$B$4+K150*Pesos!$B$5+L150*Pesos!$B$6+M150*Pesos!$B$7+N150*Pesos!$B$8+O150*Pesos!$B$9+P150*Pesos!$B$10+Q150*Pesos!$B$11+R150*Pesos!$B$12+S150*Pesos!$B$13+T150*Pesos!$B$14+U150*Pesos!$B$15+V150*Pesos!$B$16+W150*Pesos!$B$17+X150*Pesos!$B$18+Y150*Pesos!$B$19+Z150*Pesos!$B$20+AA150*Pesos!$B$21+AB150*Pesos!$B$22+AC150*Pesos!$B$23+AD150*Pesos!$B$24+AE150*Pesos!$B$25+AF150*Pesos!$B$26+AG150*Pesos!$B$27+AH150*Pesos!$B$28+AI150*Pesos!$B$29+AJ150*Pesos!$B$30+AK150*Pesos!$B$31+AL150*Pesos!$B$32+AM150*Pesos!$B$33+AN150*Pesos!$B$34+AO150*Pesos!$B$35+AP150*Pesos!$B$36+AQ150*Pesos!$B$37+AR150*Pesos!$B$38+AS150*Pesos!$B$39+AT150*Pesos!$B$40+AU150*Pesos!$B$41+AV150*Pesos!$B$42+AW150*Pesos!$B$43+AX150*Pesos!$B$44+AY150*Pesos!$B$45+AZ150*Pesos!$B$46+BA150*Pesos!$B$47+BB150*Pesos!$B$48+BC150*Pesos!$B$49+BD150*Pesos!$B$50+BE150*Pesos!$B$51+BF150*Pesos!$B$52+BG150*Pesos!$B$53</f>
        <v>76.4</v>
      </c>
      <c r="G150" s="6" t="n">
        <f aca="false">E150*F150</f>
        <v>38.2</v>
      </c>
      <c r="H150" s="3" t="n">
        <v>63</v>
      </c>
      <c r="I150" s="3" t="n">
        <v>100</v>
      </c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 t="n">
        <v>-0.02</v>
      </c>
      <c r="AB150" s="3" t="n">
        <v>1.2</v>
      </c>
      <c r="AC150" s="3"/>
      <c r="AD150" s="3"/>
      <c r="AE150" s="3"/>
      <c r="AF150" s="3"/>
      <c r="AG150" s="3" t="n">
        <v>-0.4</v>
      </c>
      <c r="AH150" s="3"/>
      <c r="AI150" s="3"/>
      <c r="AJ150" s="3"/>
      <c r="AK150" s="3"/>
      <c r="AL150" s="3" t="n">
        <v>0.3</v>
      </c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 t="s">
        <v>522</v>
      </c>
      <c r="BK150" s="3" t="s">
        <v>523</v>
      </c>
      <c r="BL150" s="3"/>
      <c r="BM150" s="3"/>
    </row>
    <row r="151" customFormat="false" ht="15" hidden="false" customHeight="false" outlineLevel="0" collapsed="false">
      <c r="A151" s="3" t="s">
        <v>62</v>
      </c>
      <c r="B151" s="3" t="s">
        <v>97</v>
      </c>
      <c r="C151" s="3" t="s">
        <v>524</v>
      </c>
      <c r="D151" s="3" t="s">
        <v>525</v>
      </c>
      <c r="E151" s="3" t="n">
        <v>0.5</v>
      </c>
      <c r="F151" s="6" t="n">
        <f aca="false">H151*Pesos!$B$2+I151*Pesos!$B$3+J151*Pesos!$B$4+K151*Pesos!$B$5+L151*Pesos!$B$6+M151*Pesos!$B$7+N151*Pesos!$B$8+O151*Pesos!$B$9+P151*Pesos!$B$10+Q151*Pesos!$B$11+R151*Pesos!$B$12+S151*Pesos!$B$13+T151*Pesos!$B$14+U151*Pesos!$B$15+V151*Pesos!$B$16+W151*Pesos!$B$17+X151*Pesos!$B$18+Y151*Pesos!$B$19+Z151*Pesos!$B$20+AA151*Pesos!$B$21+AB151*Pesos!$B$22+AC151*Pesos!$B$23+AD151*Pesos!$B$24+AE151*Pesos!$B$25+AF151*Pesos!$B$26+AG151*Pesos!$B$27+AH151*Pesos!$B$28+AI151*Pesos!$B$29+AJ151*Pesos!$B$30+AK151*Pesos!$B$31+AL151*Pesos!$B$32+AM151*Pesos!$B$33+AN151*Pesos!$B$34+AO151*Pesos!$B$35+AP151*Pesos!$B$36+AQ151*Pesos!$B$37+AR151*Pesos!$B$38+AS151*Pesos!$B$39+AT151*Pesos!$B$40+AU151*Pesos!$B$41+AV151*Pesos!$B$42+AW151*Pesos!$B$43+AX151*Pesos!$B$44+AY151*Pesos!$B$45+AZ151*Pesos!$B$46+BA151*Pesos!$B$47+BB151*Pesos!$B$48+BC151*Pesos!$B$49+BD151*Pesos!$B$50+BE151*Pesos!$B$51+BF151*Pesos!$B$52+BG151*Pesos!$B$53</f>
        <v>40</v>
      </c>
      <c r="G151" s="6" t="n">
        <f aca="false">E151*F151</f>
        <v>20</v>
      </c>
      <c r="H151" s="3" t="n">
        <v>105</v>
      </c>
      <c r="I151" s="3"/>
      <c r="J151" s="3"/>
      <c r="K151" s="3" t="n">
        <v>5</v>
      </c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 t="s">
        <v>526</v>
      </c>
      <c r="BL151" s="3"/>
      <c r="BM151" s="3"/>
    </row>
    <row r="152" customFormat="false" ht="15" hidden="false" customHeight="false" outlineLevel="0" collapsed="false">
      <c r="A152" s="3" t="s">
        <v>62</v>
      </c>
      <c r="B152" s="3" t="s">
        <v>98</v>
      </c>
      <c r="C152" s="3" t="s">
        <v>502</v>
      </c>
      <c r="D152" s="3" t="s">
        <v>527</v>
      </c>
      <c r="E152" s="3" t="n">
        <v>0.5</v>
      </c>
      <c r="F152" s="6" t="n">
        <f aca="false">H152*Pesos!$B$2+I152*Pesos!$B$3+J152*Pesos!$B$4+K152*Pesos!$B$5+L152*Pesos!$B$6+M152*Pesos!$B$7+N152*Pesos!$B$8+O152*Pesos!$B$9+P152*Pesos!$B$10+Q152*Pesos!$B$11+R152*Pesos!$B$12+S152*Pesos!$B$13+T152*Pesos!$B$14+U152*Pesos!$B$15+V152*Pesos!$B$16+W152*Pesos!$B$17+X152*Pesos!$B$18+Y152*Pesos!$B$19+Z152*Pesos!$B$20+AA152*Pesos!$B$21+AB152*Pesos!$B$22+AC152*Pesos!$B$23+AD152*Pesos!$B$24+AE152*Pesos!$B$25+AF152*Pesos!$B$26+AG152*Pesos!$B$27+AH152*Pesos!$B$28+AI152*Pesos!$B$29+AJ152*Pesos!$B$30+AK152*Pesos!$B$31+AL152*Pesos!$B$32+AM152*Pesos!$B$33+AN152*Pesos!$B$34+AO152*Pesos!$B$35+AP152*Pesos!$B$36+AQ152*Pesos!$B$37+AR152*Pesos!$B$38+AS152*Pesos!$B$39+AT152*Pesos!$B$40+AU152*Pesos!$B$41+AV152*Pesos!$B$42+AW152*Pesos!$B$43+AX152*Pesos!$B$44+AY152*Pesos!$B$45+AZ152*Pesos!$B$46+BA152*Pesos!$B$47+BB152*Pesos!$B$48+BC152*Pesos!$B$49+BD152*Pesos!$B$50+BE152*Pesos!$B$51+BF152*Pesos!$B$52+BG152*Pesos!$B$53</f>
        <v>-475</v>
      </c>
      <c r="G152" s="6" t="n">
        <f aca="false">E152*F152</f>
        <v>-237.5</v>
      </c>
      <c r="H152" s="3" t="n">
        <v>35</v>
      </c>
      <c r="I152" s="3" t="n">
        <v>50</v>
      </c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 t="n">
        <v>-10</v>
      </c>
      <c r="AH152" s="3"/>
      <c r="AI152" s="3"/>
      <c r="AJ152" s="3"/>
      <c r="AK152" s="3"/>
      <c r="AL152" s="3" t="n">
        <v>5</v>
      </c>
      <c r="AM152" s="3"/>
      <c r="AN152" s="3" t="n">
        <v>-5</v>
      </c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 t="s">
        <v>528</v>
      </c>
      <c r="BI152" s="3" t="s">
        <v>529</v>
      </c>
      <c r="BJ152" s="3"/>
      <c r="BK152" s="3" t="s">
        <v>530</v>
      </c>
      <c r="BL152" s="3"/>
      <c r="BM152" s="3" t="s">
        <v>499</v>
      </c>
    </row>
    <row r="153" customFormat="false" ht="15" hidden="false" customHeight="false" outlineLevel="0" collapsed="false">
      <c r="A153" s="3" t="s">
        <v>62</v>
      </c>
      <c r="B153" s="3" t="s">
        <v>98</v>
      </c>
      <c r="C153" s="3" t="s">
        <v>531</v>
      </c>
      <c r="D153" s="3" t="s">
        <v>532</v>
      </c>
      <c r="E153" s="3" t="n">
        <v>0.5</v>
      </c>
      <c r="F153" s="6" t="n">
        <f aca="false">H153*Pesos!$B$2+I153*Pesos!$B$3+J153*Pesos!$B$4+K153*Pesos!$B$5+L153*Pesos!$B$6+M153*Pesos!$B$7+N153*Pesos!$B$8+O153*Pesos!$B$9+P153*Pesos!$B$10+Q153*Pesos!$B$11+R153*Pesos!$B$12+S153*Pesos!$B$13+T153*Pesos!$B$14+U153*Pesos!$B$15+V153*Pesos!$B$16+W153*Pesos!$B$17+X153*Pesos!$B$18+Y153*Pesos!$B$19+Z153*Pesos!$B$20+AA153*Pesos!$B$21+AB153*Pesos!$B$22+AC153*Pesos!$B$23+AD153*Pesos!$B$24+AE153*Pesos!$B$25+AF153*Pesos!$B$26+AG153*Pesos!$B$27+AH153*Pesos!$B$28+AI153*Pesos!$B$29+AJ153*Pesos!$B$30+AK153*Pesos!$B$31+AL153*Pesos!$B$32+AM153*Pesos!$B$33+AN153*Pesos!$B$34+AO153*Pesos!$B$35+AP153*Pesos!$B$36+AQ153*Pesos!$B$37+AR153*Pesos!$B$38+AS153*Pesos!$B$39+AT153*Pesos!$B$40+AU153*Pesos!$B$41+AV153*Pesos!$B$42+AW153*Pesos!$B$43+AX153*Pesos!$B$44+AY153*Pesos!$B$45+AZ153*Pesos!$B$46+BA153*Pesos!$B$47+BB153*Pesos!$B$48+BC153*Pesos!$B$49+BD153*Pesos!$B$50+BE153*Pesos!$B$51+BF153*Pesos!$B$52+BG153*Pesos!$B$53</f>
        <v>52.4</v>
      </c>
      <c r="G153" s="6" t="n">
        <f aca="false">E153*F153</f>
        <v>26.2</v>
      </c>
      <c r="H153" s="3" t="n">
        <v>49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 t="n">
        <v>0.18</v>
      </c>
      <c r="AB153" s="3" t="n">
        <v>-2</v>
      </c>
      <c r="AC153" s="3" t="n">
        <v>5</v>
      </c>
      <c r="AD153" s="3"/>
      <c r="AE153" s="3"/>
      <c r="AF153" s="3"/>
      <c r="AG153" s="3" t="n">
        <v>10.8</v>
      </c>
      <c r="AH153" s="3"/>
      <c r="AI153" s="3"/>
      <c r="AJ153" s="3"/>
      <c r="AK153" s="3"/>
      <c r="AL153" s="3" t="n">
        <v>14.1</v>
      </c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 t="s">
        <v>533</v>
      </c>
      <c r="BI153" s="3"/>
      <c r="BJ153" s="3" t="s">
        <v>534</v>
      </c>
      <c r="BK153" s="3"/>
      <c r="BL153" s="3"/>
      <c r="BM153" s="3"/>
    </row>
    <row r="154" customFormat="false" ht="15" hidden="false" customHeight="false" outlineLevel="0" collapsed="false">
      <c r="A154" s="3" t="s">
        <v>62</v>
      </c>
      <c r="B154" s="3" t="s">
        <v>98</v>
      </c>
      <c r="C154" s="3" t="s">
        <v>535</v>
      </c>
      <c r="D154" s="3" t="s">
        <v>536</v>
      </c>
      <c r="E154" s="3" t="n">
        <v>0.5</v>
      </c>
      <c r="F154" s="6" t="n">
        <f aca="false">H154*Pesos!$B$2+I154*Pesos!$B$3+J154*Pesos!$B$4+K154*Pesos!$B$5+L154*Pesos!$B$6+M154*Pesos!$B$7+N154*Pesos!$B$8+O154*Pesos!$B$9+P154*Pesos!$B$10+Q154*Pesos!$B$11+R154*Pesos!$B$12+S154*Pesos!$B$13+T154*Pesos!$B$14+U154*Pesos!$B$15+V154*Pesos!$B$16+W154*Pesos!$B$17+X154*Pesos!$B$18+Y154*Pesos!$B$19+Z154*Pesos!$B$20+AA154*Pesos!$B$21+AB154*Pesos!$B$22+AC154*Pesos!$B$23+AD154*Pesos!$B$24+AE154*Pesos!$B$25+AF154*Pesos!$B$26+AG154*Pesos!$B$27+AH154*Pesos!$B$28+AI154*Pesos!$B$29+AJ154*Pesos!$B$30+AK154*Pesos!$B$31+AL154*Pesos!$B$32+AM154*Pesos!$B$33+AN154*Pesos!$B$34+AO154*Pesos!$B$35+AP154*Pesos!$B$36+AQ154*Pesos!$B$37+AR154*Pesos!$B$38+AS154*Pesos!$B$39+AT154*Pesos!$B$40+AU154*Pesos!$B$41+AV154*Pesos!$B$42+AW154*Pesos!$B$43+AX154*Pesos!$B$44+AY154*Pesos!$B$45+AZ154*Pesos!$B$46+BA154*Pesos!$B$47+BB154*Pesos!$B$48+BC154*Pesos!$B$49+BD154*Pesos!$B$50+BE154*Pesos!$B$51+BF154*Pesos!$B$52+BG154*Pesos!$B$53</f>
        <v>-18.1999999999999</v>
      </c>
      <c r="G154" s="6" t="n">
        <f aca="false">E154*F154</f>
        <v>-9.09999999999997</v>
      </c>
      <c r="H154" s="3" t="n">
        <v>49</v>
      </c>
      <c r="I154" s="3" t="n">
        <v>150</v>
      </c>
      <c r="J154" s="3"/>
      <c r="K154" s="3"/>
      <c r="L154" s="3"/>
      <c r="M154" s="3"/>
      <c r="N154" s="3"/>
      <c r="O154" s="3"/>
      <c r="P154" s="3"/>
      <c r="Q154" s="3"/>
      <c r="R154" s="3"/>
      <c r="S154" s="3" t="n">
        <v>2</v>
      </c>
      <c r="T154" s="3"/>
      <c r="U154" s="3"/>
      <c r="V154" s="3"/>
      <c r="W154" s="3"/>
      <c r="X154" s="3"/>
      <c r="Y154" s="3"/>
      <c r="Z154" s="3"/>
      <c r="AA154" s="3" t="n">
        <v>-1.14</v>
      </c>
      <c r="AB154" s="3" t="n">
        <v>6</v>
      </c>
      <c r="AC154" s="3"/>
      <c r="AD154" s="3"/>
      <c r="AE154" s="3"/>
      <c r="AF154" s="3"/>
      <c r="AG154" s="3" t="n">
        <v>14.8</v>
      </c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 t="s">
        <v>514</v>
      </c>
      <c r="BK154" s="3"/>
      <c r="BL154" s="3"/>
      <c r="BM154" s="3"/>
    </row>
    <row r="155" customFormat="false" ht="15" hidden="false" customHeight="false" outlineLevel="0" collapsed="false">
      <c r="A155" s="3" t="s">
        <v>62</v>
      </c>
      <c r="B155" s="3" t="s">
        <v>98</v>
      </c>
      <c r="C155" s="3" t="s">
        <v>537</v>
      </c>
      <c r="D155" s="3" t="s">
        <v>538</v>
      </c>
      <c r="E155" s="3" t="n">
        <v>0.5</v>
      </c>
      <c r="F155" s="6" t="n">
        <f aca="false">H155*Pesos!$B$2+I155*Pesos!$B$3+J155*Pesos!$B$4+K155*Pesos!$B$5+L155*Pesos!$B$6+M155*Pesos!$B$7+N155*Pesos!$B$8+O155*Pesos!$B$9+P155*Pesos!$B$10+Q155*Pesos!$B$11+R155*Pesos!$B$12+S155*Pesos!$B$13+T155*Pesos!$B$14+U155*Pesos!$B$15+V155*Pesos!$B$16+W155*Pesos!$B$17+X155*Pesos!$B$18+Y155*Pesos!$B$19+Z155*Pesos!$B$20+AA155*Pesos!$B$21+AB155*Pesos!$B$22+AC155*Pesos!$B$23+AD155*Pesos!$B$24+AE155*Pesos!$B$25+AF155*Pesos!$B$26+AG155*Pesos!$B$27+AH155*Pesos!$B$28+AI155*Pesos!$B$29+AJ155*Pesos!$B$30+AK155*Pesos!$B$31+AL155*Pesos!$B$32+AM155*Pesos!$B$33+AN155*Pesos!$B$34+AO155*Pesos!$B$35+AP155*Pesos!$B$36+AQ155*Pesos!$B$37+AR155*Pesos!$B$38+AS155*Pesos!$B$39+AT155*Pesos!$B$40+AU155*Pesos!$B$41+AV155*Pesos!$B$42+AW155*Pesos!$B$43+AX155*Pesos!$B$44+AY155*Pesos!$B$45+AZ155*Pesos!$B$46+BA155*Pesos!$B$47+BB155*Pesos!$B$48+BC155*Pesos!$B$49+BD155*Pesos!$B$50+BE155*Pesos!$B$51+BF155*Pesos!$B$52+BG155*Pesos!$B$53</f>
        <v>1022.6</v>
      </c>
      <c r="G155" s="6" t="n">
        <f aca="false">E155*F155</f>
        <v>511.3</v>
      </c>
      <c r="H155" s="3" t="n">
        <v>63</v>
      </c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 t="n">
        <v>0.12</v>
      </c>
      <c r="AB155" s="3" t="n">
        <v>-29.6</v>
      </c>
      <c r="AC155" s="3"/>
      <c r="AD155" s="3"/>
      <c r="AE155" s="3"/>
      <c r="AF155" s="3"/>
      <c r="AG155" s="3" t="n">
        <v>42.4</v>
      </c>
      <c r="AH155" s="3"/>
      <c r="AI155" s="3" t="n">
        <v>-10</v>
      </c>
      <c r="AJ155" s="3" t="n">
        <v>20</v>
      </c>
      <c r="AK155" s="3"/>
      <c r="AL155" s="3" t="n">
        <v>-0.3</v>
      </c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 t="s">
        <v>539</v>
      </c>
      <c r="BI155" s="3"/>
      <c r="BJ155" s="3"/>
      <c r="BK155" s="3"/>
      <c r="BL155" s="3"/>
      <c r="BM155" s="3"/>
    </row>
    <row r="156" customFormat="false" ht="15" hidden="false" customHeight="false" outlineLevel="0" collapsed="false">
      <c r="A156" s="3" t="s">
        <v>62</v>
      </c>
      <c r="B156" s="3" t="s">
        <v>98</v>
      </c>
      <c r="C156" s="3" t="s">
        <v>540</v>
      </c>
      <c r="D156" s="3" t="s">
        <v>541</v>
      </c>
      <c r="E156" s="3" t="n">
        <v>0.5</v>
      </c>
      <c r="F156" s="6" t="n">
        <f aca="false">H156*Pesos!$B$2+I156*Pesos!$B$3+J156*Pesos!$B$4+K156*Pesos!$B$5+L156*Pesos!$B$6+M156*Pesos!$B$7+N156*Pesos!$B$8+O156*Pesos!$B$9+P156*Pesos!$B$10+Q156*Pesos!$B$11+R156*Pesos!$B$12+S156*Pesos!$B$13+T156*Pesos!$B$14+U156*Pesos!$B$15+V156*Pesos!$B$16+W156*Pesos!$B$17+X156*Pesos!$B$18+Y156*Pesos!$B$19+Z156*Pesos!$B$20+AA156*Pesos!$B$21+AB156*Pesos!$B$22+AC156*Pesos!$B$23+AD156*Pesos!$B$24+AE156*Pesos!$B$25+AF156*Pesos!$B$26+AG156*Pesos!$B$27+AH156*Pesos!$B$28+AI156*Pesos!$B$29+AJ156*Pesos!$B$30+AK156*Pesos!$B$31+AL156*Pesos!$B$32+AM156*Pesos!$B$33+AN156*Pesos!$B$34+AO156*Pesos!$B$35+AP156*Pesos!$B$36+AQ156*Pesos!$B$37+AR156*Pesos!$B$38+AS156*Pesos!$B$39+AT156*Pesos!$B$40+AU156*Pesos!$B$41+AV156*Pesos!$B$42+AW156*Pesos!$B$43+AX156*Pesos!$B$44+AY156*Pesos!$B$45+AZ156*Pesos!$B$46+BA156*Pesos!$B$47+BB156*Pesos!$B$48+BC156*Pesos!$B$49+BD156*Pesos!$B$50+BE156*Pesos!$B$51+BF156*Pesos!$B$52+BG156*Pesos!$B$53</f>
        <v>256</v>
      </c>
      <c r="G156" s="6" t="n">
        <f aca="false">E156*F156</f>
        <v>128</v>
      </c>
      <c r="H156" s="3" t="n">
        <v>84</v>
      </c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 t="n">
        <v>0.2</v>
      </c>
      <c r="AB156" s="3" t="n">
        <v>1.5</v>
      </c>
      <c r="AC156" s="3" t="n">
        <v>10</v>
      </c>
      <c r="AD156" s="3"/>
      <c r="AE156" s="3"/>
      <c r="AF156" s="3"/>
      <c r="AG156" s="3" t="n">
        <v>-6</v>
      </c>
      <c r="AH156" s="3"/>
      <c r="AI156" s="3"/>
      <c r="AJ156" s="3"/>
      <c r="AK156" s="3"/>
      <c r="AL156" s="3" t="n">
        <v>-1.5</v>
      </c>
      <c r="AM156" s="3"/>
      <c r="AN156" s="3"/>
      <c r="AO156" s="3"/>
      <c r="AP156" s="3"/>
      <c r="AQ156" s="3" t="n">
        <v>10</v>
      </c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 t="s">
        <v>541</v>
      </c>
      <c r="BI156" s="3"/>
      <c r="BJ156" s="3"/>
      <c r="BK156" s="3" t="s">
        <v>542</v>
      </c>
      <c r="BL156" s="3"/>
      <c r="BM156" s="3"/>
    </row>
    <row r="157" customFormat="false" ht="15" hidden="false" customHeight="false" outlineLevel="0" collapsed="false">
      <c r="A157" s="3" t="s">
        <v>62</v>
      </c>
      <c r="B157" s="3" t="s">
        <v>98</v>
      </c>
      <c r="C157" s="3" t="s">
        <v>543</v>
      </c>
      <c r="D157" s="3" t="s">
        <v>544</v>
      </c>
      <c r="E157" s="3" t="n">
        <v>0.5</v>
      </c>
      <c r="F157" s="6" t="n">
        <f aca="false">H157*Pesos!$B$2+I157*Pesos!$B$3+J157*Pesos!$B$4+K157*Pesos!$B$5+L157*Pesos!$B$6+M157*Pesos!$B$7+N157*Pesos!$B$8+O157*Pesos!$B$9+P157*Pesos!$B$10+Q157*Pesos!$B$11+R157*Pesos!$B$12+S157*Pesos!$B$13+T157*Pesos!$B$14+U157*Pesos!$B$15+V157*Pesos!$B$16+W157*Pesos!$B$17+X157*Pesos!$B$18+Y157*Pesos!$B$19+Z157*Pesos!$B$20+AA157*Pesos!$B$21+AB157*Pesos!$B$22+AC157*Pesos!$B$23+AD157*Pesos!$B$24+AE157*Pesos!$B$25+AF157*Pesos!$B$26+AG157*Pesos!$B$27+AH157*Pesos!$B$28+AI157*Pesos!$B$29+AJ157*Pesos!$B$30+AK157*Pesos!$B$31+AL157*Pesos!$B$32+AM157*Pesos!$B$33+AN157*Pesos!$B$34+AO157*Pesos!$B$35+AP157*Pesos!$B$36+AQ157*Pesos!$B$37+AR157*Pesos!$B$38+AS157*Pesos!$B$39+AT157*Pesos!$B$40+AU157*Pesos!$B$41+AV157*Pesos!$B$42+AW157*Pesos!$B$43+AX157*Pesos!$B$44+AY157*Pesos!$B$45+AZ157*Pesos!$B$46+BA157*Pesos!$B$47+BB157*Pesos!$B$48+BC157*Pesos!$B$49+BD157*Pesos!$B$50+BE157*Pesos!$B$51+BF157*Pesos!$B$52+BG157*Pesos!$B$53</f>
        <v>129.8</v>
      </c>
      <c r="G157" s="6" t="n">
        <f aca="false">E157*F157</f>
        <v>64.9</v>
      </c>
      <c r="H157" s="3" t="n">
        <v>49</v>
      </c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 t="n">
        <v>0.06</v>
      </c>
      <c r="AB157" s="3" t="n">
        <v>0.9</v>
      </c>
      <c r="AC157" s="3" t="n">
        <v>5</v>
      </c>
      <c r="AD157" s="3"/>
      <c r="AE157" s="3"/>
      <c r="AF157" s="3"/>
      <c r="AG157" s="3" t="n">
        <v>-4</v>
      </c>
      <c r="AH157" s="3"/>
      <c r="AI157" s="3"/>
      <c r="AJ157" s="3"/>
      <c r="AK157" s="3"/>
      <c r="AL157" s="3" t="n">
        <v>-0.9</v>
      </c>
      <c r="AM157" s="3"/>
      <c r="AN157" s="3"/>
      <c r="AO157" s="3"/>
      <c r="AP157" s="3"/>
      <c r="AQ157" s="3"/>
      <c r="AR157" s="3"/>
      <c r="AS157" s="3" t="n">
        <v>10</v>
      </c>
      <c r="AT157" s="3"/>
      <c r="AU157" s="3"/>
      <c r="AV157" s="3" t="n">
        <v>10</v>
      </c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 t="s">
        <v>544</v>
      </c>
      <c r="BI157" s="3"/>
      <c r="BJ157" s="3"/>
      <c r="BK157" s="3"/>
      <c r="BL157" s="3"/>
      <c r="BM157" s="3"/>
    </row>
    <row r="158" customFormat="false" ht="15" hidden="false" customHeight="false" outlineLevel="0" collapsed="false">
      <c r="A158" s="3" t="s">
        <v>62</v>
      </c>
      <c r="B158" s="3" t="s">
        <v>98</v>
      </c>
      <c r="C158" s="3" t="s">
        <v>545</v>
      </c>
      <c r="D158" s="3" t="s">
        <v>546</v>
      </c>
      <c r="E158" s="3" t="n">
        <v>0.5</v>
      </c>
      <c r="F158" s="6" t="n">
        <f aca="false">H158*Pesos!$B$2+I158*Pesos!$B$3+J158*Pesos!$B$4+K158*Pesos!$B$5+L158*Pesos!$B$6+M158*Pesos!$B$7+N158*Pesos!$B$8+O158*Pesos!$B$9+P158*Pesos!$B$10+Q158*Pesos!$B$11+R158*Pesos!$B$12+S158*Pesos!$B$13+T158*Pesos!$B$14+U158*Pesos!$B$15+V158*Pesos!$B$16+W158*Pesos!$B$17+X158*Pesos!$B$18+Y158*Pesos!$B$19+Z158*Pesos!$B$20+AA158*Pesos!$B$21+AB158*Pesos!$B$22+AC158*Pesos!$B$23+AD158*Pesos!$B$24+AE158*Pesos!$B$25+AF158*Pesos!$B$26+AG158*Pesos!$B$27+AH158*Pesos!$B$28+AI158*Pesos!$B$29+AJ158*Pesos!$B$30+AK158*Pesos!$B$31+AL158*Pesos!$B$32+AM158*Pesos!$B$33+AN158*Pesos!$B$34+AO158*Pesos!$B$35+AP158*Pesos!$B$36+AQ158*Pesos!$B$37+AR158*Pesos!$B$38+AS158*Pesos!$B$39+AT158*Pesos!$B$40+AU158*Pesos!$B$41+AV158*Pesos!$B$42+AW158*Pesos!$B$43+AX158*Pesos!$B$44+AY158*Pesos!$B$45+AZ158*Pesos!$B$46+BA158*Pesos!$B$47+BB158*Pesos!$B$48+BC158*Pesos!$B$49+BD158*Pesos!$B$50+BE158*Pesos!$B$51+BF158*Pesos!$B$52+BG158*Pesos!$B$53</f>
        <v>125</v>
      </c>
      <c r="G158" s="6" t="n">
        <f aca="false">E158*F158</f>
        <v>62.5</v>
      </c>
      <c r="H158" s="3" t="n">
        <v>105</v>
      </c>
      <c r="I158" s="3"/>
      <c r="J158" s="3"/>
      <c r="K158" s="3" t="n">
        <v>5</v>
      </c>
      <c r="L158" s="3"/>
      <c r="M158" s="3"/>
      <c r="N158" s="3"/>
      <c r="O158" s="3"/>
      <c r="P158" s="3"/>
      <c r="Q158" s="3"/>
      <c r="R158" s="3"/>
      <c r="S158" s="3"/>
      <c r="T158" s="3" t="n">
        <v>2</v>
      </c>
      <c r="U158" s="3"/>
      <c r="V158" s="3"/>
      <c r="W158" s="3"/>
      <c r="X158" s="3"/>
      <c r="Y158" s="3"/>
      <c r="Z158" s="3"/>
      <c r="AA158" s="3" t="n">
        <v>0.1</v>
      </c>
      <c r="AB158" s="3" t="n">
        <v>1.5</v>
      </c>
      <c r="AC158" s="3"/>
      <c r="AD158" s="3"/>
      <c r="AE158" s="3"/>
      <c r="AF158" s="3"/>
      <c r="AG158" s="3" t="n">
        <v>-5.6</v>
      </c>
      <c r="AH158" s="3"/>
      <c r="AI158" s="3"/>
      <c r="AJ158" s="3"/>
      <c r="AK158" s="3"/>
      <c r="AL158" s="3" t="n">
        <v>-1.5</v>
      </c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 t="s">
        <v>547</v>
      </c>
      <c r="BL158" s="3"/>
      <c r="BM158" s="3"/>
    </row>
    <row r="159" customFormat="false" ht="15" hidden="false" customHeight="false" outlineLevel="0" collapsed="false">
      <c r="A159" s="3" t="s">
        <v>62</v>
      </c>
      <c r="B159" s="3" t="s">
        <v>80</v>
      </c>
      <c r="C159" s="3" t="s">
        <v>548</v>
      </c>
      <c r="D159" s="3" t="s">
        <v>549</v>
      </c>
      <c r="E159" s="3" t="n">
        <v>1</v>
      </c>
      <c r="F159" s="6" t="n">
        <f aca="false">H159*Pesos!$B$2+I159*Pesos!$B$3+J159*Pesos!$B$4+K159*Pesos!$B$5+L159*Pesos!$B$6+M159*Pesos!$B$7+N159*Pesos!$B$8+O159*Pesos!$B$9+P159*Pesos!$B$10+Q159*Pesos!$B$11+R159*Pesos!$B$12+S159*Pesos!$B$13+T159*Pesos!$B$14+U159*Pesos!$B$15+V159*Pesos!$B$16+W159*Pesos!$B$17+X159*Pesos!$B$18+Y159*Pesos!$B$19+Z159*Pesos!$B$20+AA159*Pesos!$B$21+AB159*Pesos!$B$22+AC159*Pesos!$B$23+AD159*Pesos!$B$24+AE159*Pesos!$B$25+AF159*Pesos!$B$26+AG159*Pesos!$B$27+AH159*Pesos!$B$28+AI159*Pesos!$B$29+AJ159*Pesos!$B$30+AK159*Pesos!$B$31+AL159*Pesos!$B$32+AM159*Pesos!$B$33+AN159*Pesos!$B$34+AO159*Pesos!$B$35+AP159*Pesos!$B$36+AQ159*Pesos!$B$37+AR159*Pesos!$B$38+AS159*Pesos!$B$39+AT159*Pesos!$B$40+AU159*Pesos!$B$41+AV159*Pesos!$B$42+AW159*Pesos!$B$43+AX159*Pesos!$B$44+AY159*Pesos!$B$45+AZ159*Pesos!$B$46+BA159*Pesos!$B$47+BB159*Pesos!$B$48+BC159*Pesos!$B$49+BD159*Pesos!$B$50+BE159*Pesos!$B$51+BF159*Pesos!$B$52+BG159*Pesos!$B$53</f>
        <v>113.6</v>
      </c>
      <c r="G159" s="6" t="n">
        <f aca="false">E159*F159</f>
        <v>113.6</v>
      </c>
      <c r="H159" s="3" t="n">
        <v>70</v>
      </c>
      <c r="I159" s="3" t="n">
        <v>120</v>
      </c>
      <c r="J159" s="3" t="n">
        <v>5</v>
      </c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 t="n">
        <v>0.12</v>
      </c>
      <c r="AB159" s="3" t="n">
        <v>1.8</v>
      </c>
      <c r="AC159" s="3"/>
      <c r="AD159" s="3"/>
      <c r="AE159" s="3"/>
      <c r="AF159" s="3"/>
      <c r="AG159" s="3" t="n">
        <v>-7.2</v>
      </c>
      <c r="AH159" s="3"/>
      <c r="AI159" s="3"/>
      <c r="AJ159" s="3"/>
      <c r="AK159" s="3"/>
      <c r="AL159" s="3" t="n">
        <v>-1.8</v>
      </c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customFormat="false" ht="15" hidden="false" customHeight="false" outlineLevel="0" collapsed="false">
      <c r="A160" s="3" t="s">
        <v>62</v>
      </c>
      <c r="B160" s="3" t="s">
        <v>80</v>
      </c>
      <c r="C160" s="3" t="s">
        <v>550</v>
      </c>
      <c r="D160" s="3" t="s">
        <v>551</v>
      </c>
      <c r="E160" s="3" t="n">
        <v>1</v>
      </c>
      <c r="F160" s="6" t="n">
        <f aca="false">H160*Pesos!$B$2+I160*Pesos!$B$3+J160*Pesos!$B$4+K160*Pesos!$B$5+L160*Pesos!$B$6+M160*Pesos!$B$7+N160*Pesos!$B$8+O160*Pesos!$B$9+P160*Pesos!$B$10+Q160*Pesos!$B$11+R160*Pesos!$B$12+S160*Pesos!$B$13+T160*Pesos!$B$14+U160*Pesos!$B$15+V160*Pesos!$B$16+W160*Pesos!$B$17+X160*Pesos!$B$18+Y160*Pesos!$B$19+Z160*Pesos!$B$20+AA160*Pesos!$B$21+AB160*Pesos!$B$22+AC160*Pesos!$B$23+AD160*Pesos!$B$24+AE160*Pesos!$B$25+AF160*Pesos!$B$26+AG160*Pesos!$B$27+AH160*Pesos!$B$28+AI160*Pesos!$B$29+AJ160*Pesos!$B$30+AK160*Pesos!$B$31+AL160*Pesos!$B$32+AM160*Pesos!$B$33+AN160*Pesos!$B$34+AO160*Pesos!$B$35+AP160*Pesos!$B$36+AQ160*Pesos!$B$37+AR160*Pesos!$B$38+AS160*Pesos!$B$39+AT160*Pesos!$B$40+AU160*Pesos!$B$41+AV160*Pesos!$B$42+AW160*Pesos!$B$43+AX160*Pesos!$B$44+AY160*Pesos!$B$45+AZ160*Pesos!$B$46+BA160*Pesos!$B$47+BB160*Pesos!$B$48+BC160*Pesos!$B$49+BD160*Pesos!$B$50+BE160*Pesos!$B$51+BF160*Pesos!$B$52+BG160*Pesos!$B$53</f>
        <v>218.5</v>
      </c>
      <c r="G160" s="6" t="n">
        <f aca="false">E160*F160</f>
        <v>218.5</v>
      </c>
      <c r="H160" s="3" t="n">
        <v>70</v>
      </c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 t="n">
        <v>0.25</v>
      </c>
      <c r="AB160" s="3" t="n">
        <v>4.5</v>
      </c>
      <c r="AC160" s="3"/>
      <c r="AD160" s="3"/>
      <c r="AE160" s="3"/>
      <c r="AF160" s="3"/>
      <c r="AG160" s="3" t="n">
        <v>-6.8</v>
      </c>
      <c r="AH160" s="3"/>
      <c r="AI160" s="3"/>
      <c r="AJ160" s="3"/>
      <c r="AK160" s="3"/>
      <c r="AL160" s="3" t="n">
        <v>-6.5</v>
      </c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 t="s">
        <v>551</v>
      </c>
      <c r="BI160" s="3"/>
      <c r="BJ160" s="3"/>
      <c r="BK160" s="3"/>
      <c r="BL160" s="3"/>
      <c r="BM160" s="3"/>
    </row>
    <row r="161" customFormat="false" ht="15" hidden="false" customHeight="false" outlineLevel="0" collapsed="false">
      <c r="A161" s="3" t="s">
        <v>62</v>
      </c>
      <c r="B161" s="3" t="s">
        <v>80</v>
      </c>
      <c r="C161" s="3" t="s">
        <v>552</v>
      </c>
      <c r="D161" s="3" t="s">
        <v>553</v>
      </c>
      <c r="E161" s="3" t="n">
        <v>1</v>
      </c>
      <c r="F161" s="6" t="n">
        <f aca="false">H161*Pesos!$B$2+I161*Pesos!$B$3+J161*Pesos!$B$4+K161*Pesos!$B$5+L161*Pesos!$B$6+M161*Pesos!$B$7+N161*Pesos!$B$8+O161*Pesos!$B$9+P161*Pesos!$B$10+Q161*Pesos!$B$11+R161*Pesos!$B$12+S161*Pesos!$B$13+T161*Pesos!$B$14+U161*Pesos!$B$15+V161*Pesos!$B$16+W161*Pesos!$B$17+X161*Pesos!$B$18+Y161*Pesos!$B$19+Z161*Pesos!$B$20+AA161*Pesos!$B$21+AB161*Pesos!$B$22+AC161*Pesos!$B$23+AD161*Pesos!$B$24+AE161*Pesos!$B$25+AF161*Pesos!$B$26+AG161*Pesos!$B$27+AH161*Pesos!$B$28+AI161*Pesos!$B$29+AJ161*Pesos!$B$30+AK161*Pesos!$B$31+AL161*Pesos!$B$32+AM161*Pesos!$B$33+AN161*Pesos!$B$34+AO161*Pesos!$B$35+AP161*Pesos!$B$36+AQ161*Pesos!$B$37+AR161*Pesos!$B$38+AS161*Pesos!$B$39+AT161*Pesos!$B$40+AU161*Pesos!$B$41+AV161*Pesos!$B$42+AW161*Pesos!$B$43+AX161*Pesos!$B$44+AY161*Pesos!$B$45+AZ161*Pesos!$B$46+BA161*Pesos!$B$47+BB161*Pesos!$B$48+BC161*Pesos!$B$49+BD161*Pesos!$B$50+BE161*Pesos!$B$51+BF161*Pesos!$B$52+BG161*Pesos!$B$53</f>
        <v>27.4</v>
      </c>
      <c r="G161" s="6" t="n">
        <f aca="false">E161*F161</f>
        <v>27.4</v>
      </c>
      <c r="H161" s="3" t="n">
        <v>70</v>
      </c>
      <c r="I161" s="3"/>
      <c r="J161" s="3"/>
      <c r="K161" s="3" t="n">
        <v>5</v>
      </c>
      <c r="L161" s="3"/>
      <c r="M161" s="3" t="n">
        <v>25</v>
      </c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 t="n">
        <v>0.08</v>
      </c>
      <c r="AB161" s="3" t="n">
        <v>1.2</v>
      </c>
      <c r="AC161" s="3"/>
      <c r="AD161" s="3"/>
      <c r="AE161" s="3"/>
      <c r="AF161" s="3"/>
      <c r="AG161" s="3" t="n">
        <v>-4.8</v>
      </c>
      <c r="AH161" s="3"/>
      <c r="AI161" s="3"/>
      <c r="AJ161" s="3"/>
      <c r="AK161" s="3"/>
      <c r="AL161" s="3" t="n">
        <v>-1.2</v>
      </c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customFormat="false" ht="15" hidden="false" customHeight="false" outlineLevel="0" collapsed="false">
      <c r="A162" s="3" t="s">
        <v>62</v>
      </c>
      <c r="B162" s="3" t="s">
        <v>80</v>
      </c>
      <c r="C162" s="3" t="s">
        <v>554</v>
      </c>
      <c r="D162" s="3" t="s">
        <v>555</v>
      </c>
      <c r="E162" s="3" t="n">
        <v>1</v>
      </c>
      <c r="F162" s="6" t="n">
        <f aca="false">H162*Pesos!$B$2+I162*Pesos!$B$3+J162*Pesos!$B$4+K162*Pesos!$B$5+L162*Pesos!$B$6+M162*Pesos!$B$7+N162*Pesos!$B$8+O162*Pesos!$B$9+P162*Pesos!$B$10+Q162*Pesos!$B$11+R162*Pesos!$B$12+S162*Pesos!$B$13+T162*Pesos!$B$14+U162*Pesos!$B$15+V162*Pesos!$B$16+W162*Pesos!$B$17+X162*Pesos!$B$18+Y162*Pesos!$B$19+Z162*Pesos!$B$20+AA162*Pesos!$B$21+AB162*Pesos!$B$22+AC162*Pesos!$B$23+AD162*Pesos!$B$24+AE162*Pesos!$B$25+AF162*Pesos!$B$26+AG162*Pesos!$B$27+AH162*Pesos!$B$28+AI162*Pesos!$B$29+AJ162*Pesos!$B$30+AK162*Pesos!$B$31+AL162*Pesos!$B$32+AM162*Pesos!$B$33+AN162*Pesos!$B$34+AO162*Pesos!$B$35+AP162*Pesos!$B$36+AQ162*Pesos!$B$37+AR162*Pesos!$B$38+AS162*Pesos!$B$39+AT162*Pesos!$B$40+AU162*Pesos!$B$41+AV162*Pesos!$B$42+AW162*Pesos!$B$43+AX162*Pesos!$B$44+AY162*Pesos!$B$45+AZ162*Pesos!$B$46+BA162*Pesos!$B$47+BB162*Pesos!$B$48+BC162*Pesos!$B$49+BD162*Pesos!$B$50+BE162*Pesos!$B$51+BF162*Pesos!$B$52+BG162*Pesos!$B$53</f>
        <v>173.8</v>
      </c>
      <c r="G162" s="6" t="n">
        <f aca="false">E162*F162</f>
        <v>173.8</v>
      </c>
      <c r="H162" s="3" t="n">
        <v>105</v>
      </c>
      <c r="I162" s="3" t="n">
        <v>50</v>
      </c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 t="n">
        <v>7</v>
      </c>
      <c r="AA162" s="3" t="n">
        <v>0.06</v>
      </c>
      <c r="AB162" s="3" t="n">
        <v>0.9</v>
      </c>
      <c r="AC162" s="3"/>
      <c r="AD162" s="3"/>
      <c r="AE162" s="3"/>
      <c r="AF162" s="3"/>
      <c r="AG162" s="3" t="n">
        <v>-3.2</v>
      </c>
      <c r="AH162" s="3"/>
      <c r="AI162" s="3"/>
      <c r="AJ162" s="3"/>
      <c r="AK162" s="3"/>
      <c r="AL162" s="3" t="n">
        <v>-0.9</v>
      </c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customFormat="false" ht="15" hidden="false" customHeight="false" outlineLevel="0" collapsed="false">
      <c r="A163" s="3" t="s">
        <v>62</v>
      </c>
      <c r="B163" s="3" t="s">
        <v>99</v>
      </c>
      <c r="C163" s="3" t="s">
        <v>556</v>
      </c>
      <c r="D163" s="3" t="s">
        <v>388</v>
      </c>
      <c r="E163" s="3" t="n">
        <v>1</v>
      </c>
      <c r="F163" s="6" t="n">
        <f aca="false">H163*Pesos!$B$2+I163*Pesos!$B$3+J163*Pesos!$B$4+K163*Pesos!$B$5+L163*Pesos!$B$6+M163*Pesos!$B$7+N163*Pesos!$B$8+O163*Pesos!$B$9+P163*Pesos!$B$10+Q163*Pesos!$B$11+R163*Pesos!$B$12+S163*Pesos!$B$13+T163*Pesos!$B$14+U163*Pesos!$B$15+V163*Pesos!$B$16+W163*Pesos!$B$17+X163*Pesos!$B$18+Y163*Pesos!$B$19+Z163*Pesos!$B$20+AA163*Pesos!$B$21+AB163*Pesos!$B$22+AC163*Pesos!$B$23+AD163*Pesos!$B$24+AE163*Pesos!$B$25+AF163*Pesos!$B$26+AG163*Pesos!$B$27+AH163*Pesos!$B$28+AI163*Pesos!$B$29+AJ163*Pesos!$B$30+AK163*Pesos!$B$31+AL163*Pesos!$B$32+AM163*Pesos!$B$33+AN163*Pesos!$B$34+AO163*Pesos!$B$35+AP163*Pesos!$B$36+AQ163*Pesos!$B$37+AR163*Pesos!$B$38+AS163*Pesos!$B$39+AT163*Pesos!$B$40+AU163*Pesos!$B$41+AV163*Pesos!$B$42+AW163*Pesos!$B$43+AX163*Pesos!$B$44+AY163*Pesos!$B$45+AZ163*Pesos!$B$46+BA163*Pesos!$B$47+BB163*Pesos!$B$48+BC163*Pesos!$B$49+BD163*Pesos!$B$50+BE163*Pesos!$B$51+BF163*Pesos!$B$52+BG163*Pesos!$B$53</f>
        <v>193.2</v>
      </c>
      <c r="G163" s="6" t="n">
        <f aca="false">E163*F163</f>
        <v>193.2</v>
      </c>
      <c r="H163" s="3" t="n">
        <v>49</v>
      </c>
      <c r="I163" s="3"/>
      <c r="J163" s="3"/>
      <c r="K163" s="3"/>
      <c r="L163" s="3"/>
      <c r="M163" s="3"/>
      <c r="N163" s="3"/>
      <c r="O163" s="3"/>
      <c r="P163" s="3"/>
      <c r="Q163" s="3"/>
      <c r="R163" s="3" t="n">
        <v>2</v>
      </c>
      <c r="S163" s="3"/>
      <c r="T163" s="3"/>
      <c r="U163" s="3"/>
      <c r="V163" s="3"/>
      <c r="W163" s="3"/>
      <c r="X163" s="3"/>
      <c r="Y163" s="3"/>
      <c r="Z163" s="3"/>
      <c r="AA163" s="3" t="n">
        <v>0.04</v>
      </c>
      <c r="AB163" s="3" t="n">
        <v>0.6</v>
      </c>
      <c r="AC163" s="3"/>
      <c r="AD163" s="3"/>
      <c r="AE163" s="3"/>
      <c r="AF163" s="3"/>
      <c r="AG163" s="3" t="n">
        <v>-2</v>
      </c>
      <c r="AH163" s="3"/>
      <c r="AI163" s="3"/>
      <c r="AJ163" s="3"/>
      <c r="AK163" s="3"/>
      <c r="AL163" s="3" t="n">
        <v>-0.6</v>
      </c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customFormat="false" ht="15" hidden="false" customHeight="false" outlineLevel="0" collapsed="false">
      <c r="A164" s="3" t="s">
        <v>62</v>
      </c>
      <c r="B164" s="3" t="s">
        <v>99</v>
      </c>
      <c r="C164" s="3" t="s">
        <v>557</v>
      </c>
      <c r="D164" s="3" t="s">
        <v>558</v>
      </c>
      <c r="E164" s="3" t="n">
        <v>0.5</v>
      </c>
      <c r="F164" s="6" t="n">
        <f aca="false">H164*Pesos!$B$2+I164*Pesos!$B$3+J164*Pesos!$B$4+K164*Pesos!$B$5+L164*Pesos!$B$6+M164*Pesos!$B$7+N164*Pesos!$B$8+O164*Pesos!$B$9+P164*Pesos!$B$10+Q164*Pesos!$B$11+R164*Pesos!$B$12+S164*Pesos!$B$13+T164*Pesos!$B$14+U164*Pesos!$B$15+V164*Pesos!$B$16+W164*Pesos!$B$17+X164*Pesos!$B$18+Y164*Pesos!$B$19+Z164*Pesos!$B$20+AA164*Pesos!$B$21+AB164*Pesos!$B$22+AC164*Pesos!$B$23+AD164*Pesos!$B$24+AE164*Pesos!$B$25+AF164*Pesos!$B$26+AG164*Pesos!$B$27+AH164*Pesos!$B$28+AI164*Pesos!$B$29+AJ164*Pesos!$B$30+AK164*Pesos!$B$31+AL164*Pesos!$B$32+AM164*Pesos!$B$33+AN164*Pesos!$B$34+AO164*Pesos!$B$35+AP164*Pesos!$B$36+AQ164*Pesos!$B$37+AR164*Pesos!$B$38+AS164*Pesos!$B$39+AT164*Pesos!$B$40+AU164*Pesos!$B$41+AV164*Pesos!$B$42+AW164*Pesos!$B$43+AX164*Pesos!$B$44+AY164*Pesos!$B$45+AZ164*Pesos!$B$46+BA164*Pesos!$B$47+BB164*Pesos!$B$48+BC164*Pesos!$B$49+BD164*Pesos!$B$50+BE164*Pesos!$B$51+BF164*Pesos!$B$52+BG164*Pesos!$B$53</f>
        <v>295</v>
      </c>
      <c r="G164" s="6" t="n">
        <f aca="false">E164*F164</f>
        <v>147.5</v>
      </c>
      <c r="H164" s="3" t="n">
        <v>63</v>
      </c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 t="n">
        <v>5</v>
      </c>
      <c r="AC164" s="3" t="n">
        <v>-5</v>
      </c>
      <c r="AD164" s="3"/>
      <c r="AE164" s="3"/>
      <c r="AF164" s="3"/>
      <c r="AG164" s="3" t="n">
        <v>-2</v>
      </c>
      <c r="AH164" s="3"/>
      <c r="AI164" s="3"/>
      <c r="AJ164" s="3"/>
      <c r="AK164" s="3"/>
      <c r="AL164" s="3" t="n">
        <v>-11.5</v>
      </c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 t="s">
        <v>559</v>
      </c>
      <c r="BI164" s="3"/>
      <c r="BJ164" s="3" t="s">
        <v>560</v>
      </c>
      <c r="BK164" s="3"/>
      <c r="BL164" s="3"/>
      <c r="BM164" s="3" t="s">
        <v>561</v>
      </c>
    </row>
    <row r="165" customFormat="false" ht="15" hidden="false" customHeight="false" outlineLevel="0" collapsed="false">
      <c r="A165" s="3" t="s">
        <v>62</v>
      </c>
      <c r="B165" s="3" t="s">
        <v>99</v>
      </c>
      <c r="C165" s="3" t="s">
        <v>562</v>
      </c>
      <c r="D165" s="3" t="s">
        <v>563</v>
      </c>
      <c r="E165" s="3" t="n">
        <v>0.5</v>
      </c>
      <c r="F165" s="6" t="n">
        <f aca="false">H165*Pesos!$B$2+I165*Pesos!$B$3+J165*Pesos!$B$4+K165*Pesos!$B$5+L165*Pesos!$B$6+M165*Pesos!$B$7+N165*Pesos!$B$8+O165*Pesos!$B$9+P165*Pesos!$B$10+Q165*Pesos!$B$11+R165*Pesos!$B$12+S165*Pesos!$B$13+T165*Pesos!$B$14+U165*Pesos!$B$15+V165*Pesos!$B$16+W165*Pesos!$B$17+X165*Pesos!$B$18+Y165*Pesos!$B$19+Z165*Pesos!$B$20+AA165*Pesos!$B$21+AB165*Pesos!$B$22+AC165*Pesos!$B$23+AD165*Pesos!$B$24+AE165*Pesos!$B$25+AF165*Pesos!$B$26+AG165*Pesos!$B$27+AH165*Pesos!$B$28+AI165*Pesos!$B$29+AJ165*Pesos!$B$30+AK165*Pesos!$B$31+AL165*Pesos!$B$32+AM165*Pesos!$B$33+AN165*Pesos!$B$34+AO165*Pesos!$B$35+AP165*Pesos!$B$36+AQ165*Pesos!$B$37+AR165*Pesos!$B$38+AS165*Pesos!$B$39+AT165*Pesos!$B$40+AU165*Pesos!$B$41+AV165*Pesos!$B$42+AW165*Pesos!$B$43+AX165*Pesos!$B$44+AY165*Pesos!$B$45+AZ165*Pesos!$B$46+BA165*Pesos!$B$47+BB165*Pesos!$B$48+BC165*Pesos!$B$49+BD165*Pesos!$B$50+BE165*Pesos!$B$51+BF165*Pesos!$B$52+BG165*Pesos!$B$53</f>
        <v>200</v>
      </c>
      <c r="G165" s="6" t="n">
        <f aca="false">E165*F165</f>
        <v>100</v>
      </c>
      <c r="H165" s="3" t="n">
        <v>49</v>
      </c>
      <c r="I165" s="3"/>
      <c r="J165" s="3"/>
      <c r="K165" s="3"/>
      <c r="L165" s="3"/>
      <c r="M165" s="3"/>
      <c r="N165" s="3"/>
      <c r="O165" s="3"/>
      <c r="P165" s="3"/>
      <c r="Q165" s="3"/>
      <c r="R165" s="3" t="n">
        <v>2</v>
      </c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customFormat="false" ht="15" hidden="false" customHeight="false" outlineLevel="0" collapsed="false">
      <c r="A166" s="3" t="s">
        <v>62</v>
      </c>
      <c r="B166" s="3" t="s">
        <v>99</v>
      </c>
      <c r="C166" s="3" t="s">
        <v>564</v>
      </c>
      <c r="D166" s="3" t="s">
        <v>565</v>
      </c>
      <c r="E166" s="3" t="n">
        <v>0.5</v>
      </c>
      <c r="F166" s="6" t="n">
        <f aca="false">H166*Pesos!$B$2+I166*Pesos!$B$3+J166*Pesos!$B$4+K166*Pesos!$B$5+L166*Pesos!$B$6+M166*Pesos!$B$7+N166*Pesos!$B$8+O166*Pesos!$B$9+P166*Pesos!$B$10+Q166*Pesos!$B$11+R166*Pesos!$B$12+S166*Pesos!$B$13+T166*Pesos!$B$14+U166*Pesos!$B$15+V166*Pesos!$B$16+W166*Pesos!$B$17+X166*Pesos!$B$18+Y166*Pesos!$B$19+Z166*Pesos!$B$20+AA166*Pesos!$B$21+AB166*Pesos!$B$22+AC166*Pesos!$B$23+AD166*Pesos!$B$24+AE166*Pesos!$B$25+AF166*Pesos!$B$26+AG166*Pesos!$B$27+AH166*Pesos!$B$28+AI166*Pesos!$B$29+AJ166*Pesos!$B$30+AK166*Pesos!$B$31+AL166*Pesos!$B$32+AM166*Pesos!$B$33+AN166*Pesos!$B$34+AO166*Pesos!$B$35+AP166*Pesos!$B$36+AQ166*Pesos!$B$37+AR166*Pesos!$B$38+AS166*Pesos!$B$39+AT166*Pesos!$B$40+AU166*Pesos!$B$41+AV166*Pesos!$B$42+AW166*Pesos!$B$43+AX166*Pesos!$B$44+AY166*Pesos!$B$45+AZ166*Pesos!$B$46+BA166*Pesos!$B$47+BB166*Pesos!$B$48+BC166*Pesos!$B$49+BD166*Pesos!$B$50+BE166*Pesos!$B$51+BF166*Pesos!$B$52+BG166*Pesos!$B$53</f>
        <v>82.4</v>
      </c>
      <c r="G166" s="6" t="n">
        <f aca="false">E166*F166</f>
        <v>41.2</v>
      </c>
      <c r="H166" s="3" t="n">
        <v>49</v>
      </c>
      <c r="I166" s="3" t="n">
        <v>100</v>
      </c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 t="n">
        <v>-0.02</v>
      </c>
      <c r="AB166" s="3" t="n">
        <v>-0.3</v>
      </c>
      <c r="AC166" s="3"/>
      <c r="AD166" s="3"/>
      <c r="AE166" s="3"/>
      <c r="AF166" s="3"/>
      <c r="AG166" s="3" t="n">
        <v>-1.2</v>
      </c>
      <c r="AH166" s="3"/>
      <c r="AI166" s="3"/>
      <c r="AJ166" s="3"/>
      <c r="AK166" s="3"/>
      <c r="AL166" s="3" t="n">
        <v>-1.2</v>
      </c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 t="s">
        <v>560</v>
      </c>
      <c r="BK166" s="3"/>
      <c r="BL166" s="3"/>
      <c r="BM166" s="3"/>
    </row>
    <row r="167" customFormat="false" ht="15" hidden="false" customHeight="false" outlineLevel="0" collapsed="false">
      <c r="A167" s="3" t="s">
        <v>62</v>
      </c>
      <c r="B167" s="3" t="s">
        <v>99</v>
      </c>
      <c r="C167" s="3" t="s">
        <v>566</v>
      </c>
      <c r="D167" s="3" t="s">
        <v>567</v>
      </c>
      <c r="E167" s="3" t="n">
        <v>0.5</v>
      </c>
      <c r="F167" s="6" t="n">
        <f aca="false">H167*Pesos!$B$2+I167*Pesos!$B$3+J167*Pesos!$B$4+K167*Pesos!$B$5+L167*Pesos!$B$6+M167*Pesos!$B$7+N167*Pesos!$B$8+O167*Pesos!$B$9+P167*Pesos!$B$10+Q167*Pesos!$B$11+R167*Pesos!$B$12+S167*Pesos!$B$13+T167*Pesos!$B$14+U167*Pesos!$B$15+V167*Pesos!$B$16+W167*Pesos!$B$17+X167*Pesos!$B$18+Y167*Pesos!$B$19+Z167*Pesos!$B$20+AA167*Pesos!$B$21+AB167*Pesos!$B$22+AC167*Pesos!$B$23+AD167*Pesos!$B$24+AE167*Pesos!$B$25+AF167*Pesos!$B$26+AG167*Pesos!$B$27+AH167*Pesos!$B$28+AI167*Pesos!$B$29+AJ167*Pesos!$B$30+AK167*Pesos!$B$31+AL167*Pesos!$B$32+AM167*Pesos!$B$33+AN167*Pesos!$B$34+AO167*Pesos!$B$35+AP167*Pesos!$B$36+AQ167*Pesos!$B$37+AR167*Pesos!$B$38+AS167*Pesos!$B$39+AT167*Pesos!$B$40+AU167*Pesos!$B$41+AV167*Pesos!$B$42+AW167*Pesos!$B$43+AX167*Pesos!$B$44+AY167*Pesos!$B$45+AZ167*Pesos!$B$46+BA167*Pesos!$B$47+BB167*Pesos!$B$48+BC167*Pesos!$B$49+BD167*Pesos!$B$50+BE167*Pesos!$B$51+BF167*Pesos!$B$52+BG167*Pesos!$B$53</f>
        <v>117.4</v>
      </c>
      <c r="G167" s="6" t="n">
        <f aca="false">E167*F167</f>
        <v>58.7</v>
      </c>
      <c r="H167" s="3" t="n">
        <v>49</v>
      </c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 t="n">
        <v>0.08</v>
      </c>
      <c r="AB167" s="3" t="n">
        <v>-0.3</v>
      </c>
      <c r="AC167" s="3"/>
      <c r="AD167" s="3"/>
      <c r="AE167" s="3" t="n">
        <v>20</v>
      </c>
      <c r="AF167" s="3"/>
      <c r="AG167" s="3" t="n">
        <v>-0.8</v>
      </c>
      <c r="AH167" s="3"/>
      <c r="AI167" s="3" t="n">
        <v>5</v>
      </c>
      <c r="AJ167" s="3"/>
      <c r="AK167" s="3"/>
      <c r="AL167" s="3" t="n">
        <v>0.3</v>
      </c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 t="s">
        <v>567</v>
      </c>
      <c r="BI167" s="3"/>
      <c r="BJ167" s="3" t="s">
        <v>568</v>
      </c>
      <c r="BK167" s="3"/>
      <c r="BL167" s="3"/>
      <c r="BM167" s="3"/>
    </row>
    <row r="168" customFormat="false" ht="15" hidden="false" customHeight="false" outlineLevel="0" collapsed="false">
      <c r="A168" s="3" t="s">
        <v>62</v>
      </c>
      <c r="B168" s="3" t="s">
        <v>99</v>
      </c>
      <c r="C168" s="3" t="s">
        <v>569</v>
      </c>
      <c r="D168" s="3" t="s">
        <v>570</v>
      </c>
      <c r="E168" s="3" t="n">
        <v>0.5</v>
      </c>
      <c r="F168" s="6" t="n">
        <f aca="false">H168*Pesos!$B$2+I168*Pesos!$B$3+J168*Pesos!$B$4+K168*Pesos!$B$5+L168*Pesos!$B$6+M168*Pesos!$B$7+N168*Pesos!$B$8+O168*Pesos!$B$9+P168*Pesos!$B$10+Q168*Pesos!$B$11+R168*Pesos!$B$12+S168*Pesos!$B$13+T168*Pesos!$B$14+U168*Pesos!$B$15+V168*Pesos!$B$16+W168*Pesos!$B$17+X168*Pesos!$B$18+Y168*Pesos!$B$19+Z168*Pesos!$B$20+AA168*Pesos!$B$21+AB168*Pesos!$B$22+AC168*Pesos!$B$23+AD168*Pesos!$B$24+AE168*Pesos!$B$25+AF168*Pesos!$B$26+AG168*Pesos!$B$27+AH168*Pesos!$B$28+AI168*Pesos!$B$29+AJ168*Pesos!$B$30+AK168*Pesos!$B$31+AL168*Pesos!$B$32+AM168*Pesos!$B$33+AN168*Pesos!$B$34+AO168*Pesos!$B$35+AP168*Pesos!$B$36+AQ168*Pesos!$B$37+AR168*Pesos!$B$38+AS168*Pesos!$B$39+AT168*Pesos!$B$40+AU168*Pesos!$B$41+AV168*Pesos!$B$42+AW168*Pesos!$B$43+AX168*Pesos!$B$44+AY168*Pesos!$B$45+AZ168*Pesos!$B$46+BA168*Pesos!$B$47+BB168*Pesos!$B$48+BC168*Pesos!$B$49+BD168*Pesos!$B$50+BE168*Pesos!$B$51+BF168*Pesos!$B$52+BG168*Pesos!$B$53</f>
        <v>240</v>
      </c>
      <c r="G168" s="6" t="n">
        <f aca="false">E168*F168</f>
        <v>120</v>
      </c>
      <c r="H168" s="3" t="n">
        <v>84</v>
      </c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 t="n">
        <v>5</v>
      </c>
      <c r="AC168" s="3" t="n">
        <v>5</v>
      </c>
      <c r="AD168" s="3"/>
      <c r="AE168" s="3"/>
      <c r="AF168" s="3"/>
      <c r="AG168" s="3" t="n">
        <v>5</v>
      </c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 t="s">
        <v>571</v>
      </c>
      <c r="BI168" s="3"/>
      <c r="BJ168" s="3"/>
      <c r="BK168" s="3"/>
      <c r="BL168" s="3"/>
      <c r="BM168" s="3"/>
    </row>
    <row r="169" customFormat="false" ht="15" hidden="false" customHeight="false" outlineLevel="0" collapsed="false">
      <c r="A169" s="3" t="s">
        <v>62</v>
      </c>
      <c r="B169" s="3" t="s">
        <v>99</v>
      </c>
      <c r="C169" s="3" t="s">
        <v>572</v>
      </c>
      <c r="D169" s="3" t="s">
        <v>573</v>
      </c>
      <c r="E169" s="3" t="n">
        <v>0.5</v>
      </c>
      <c r="F169" s="6" t="n">
        <f aca="false">H169*Pesos!$B$2+I169*Pesos!$B$3+J169*Pesos!$B$4+K169*Pesos!$B$5+L169*Pesos!$B$6+M169*Pesos!$B$7+N169*Pesos!$B$8+O169*Pesos!$B$9+P169*Pesos!$B$10+Q169*Pesos!$B$11+R169*Pesos!$B$12+S169*Pesos!$B$13+T169*Pesos!$B$14+U169*Pesos!$B$15+V169*Pesos!$B$16+W169*Pesos!$B$17+X169*Pesos!$B$18+Y169*Pesos!$B$19+Z169*Pesos!$B$20+AA169*Pesos!$B$21+AB169*Pesos!$B$22+AC169*Pesos!$B$23+AD169*Pesos!$B$24+AE169*Pesos!$B$25+AF169*Pesos!$B$26+AG169*Pesos!$B$27+AH169*Pesos!$B$28+AI169*Pesos!$B$29+AJ169*Pesos!$B$30+AK169*Pesos!$B$31+AL169*Pesos!$B$32+AM169*Pesos!$B$33+AN169*Pesos!$B$34+AO169*Pesos!$B$35+AP169*Pesos!$B$36+AQ169*Pesos!$B$37+AR169*Pesos!$B$38+AS169*Pesos!$B$39+AT169*Pesos!$B$40+AU169*Pesos!$B$41+AV169*Pesos!$B$42+AW169*Pesos!$B$43+AX169*Pesos!$B$44+AY169*Pesos!$B$45+AZ169*Pesos!$B$46+BA169*Pesos!$B$47+BB169*Pesos!$B$48+BC169*Pesos!$B$49+BD169*Pesos!$B$50+BE169*Pesos!$B$51+BF169*Pesos!$B$52+BG169*Pesos!$B$53</f>
        <v>100</v>
      </c>
      <c r="G169" s="6" t="n">
        <f aca="false">E169*F169</f>
        <v>50</v>
      </c>
      <c r="H169" s="3" t="n">
        <v>77</v>
      </c>
      <c r="I169" s="3" t="n">
        <v>50</v>
      </c>
      <c r="J169" s="3" t="n">
        <v>5</v>
      </c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customFormat="false" ht="15" hidden="false" customHeight="false" outlineLevel="0" collapsed="false">
      <c r="A170" s="3" t="s">
        <v>62</v>
      </c>
      <c r="B170" s="3" t="s">
        <v>99</v>
      </c>
      <c r="C170" s="3" t="s">
        <v>574</v>
      </c>
      <c r="D170" s="3" t="s">
        <v>575</v>
      </c>
      <c r="E170" s="3" t="n">
        <v>0.5</v>
      </c>
      <c r="F170" s="6" t="n">
        <f aca="false">H170*Pesos!$B$2+I170*Pesos!$B$3+J170*Pesos!$B$4+K170*Pesos!$B$5+L170*Pesos!$B$6+M170*Pesos!$B$7+N170*Pesos!$B$8+O170*Pesos!$B$9+P170*Pesos!$B$10+Q170*Pesos!$B$11+R170*Pesos!$B$12+S170*Pesos!$B$13+T170*Pesos!$B$14+U170*Pesos!$B$15+V170*Pesos!$B$16+W170*Pesos!$B$17+X170*Pesos!$B$18+Y170*Pesos!$B$19+Z170*Pesos!$B$20+AA170*Pesos!$B$21+AB170*Pesos!$B$22+AC170*Pesos!$B$23+AD170*Pesos!$B$24+AE170*Pesos!$B$25+AF170*Pesos!$B$26+AG170*Pesos!$B$27+AH170*Pesos!$B$28+AI170*Pesos!$B$29+AJ170*Pesos!$B$30+AK170*Pesos!$B$31+AL170*Pesos!$B$32+AM170*Pesos!$B$33+AN170*Pesos!$B$34+AO170*Pesos!$B$35+AP170*Pesos!$B$36+AQ170*Pesos!$B$37+AR170*Pesos!$B$38+AS170*Pesos!$B$39+AT170*Pesos!$B$40+AU170*Pesos!$B$41+AV170*Pesos!$B$42+AW170*Pesos!$B$43+AX170*Pesos!$B$44+AY170*Pesos!$B$45+AZ170*Pesos!$B$46+BA170*Pesos!$B$47+BB170*Pesos!$B$48+BC170*Pesos!$B$49+BD170*Pesos!$B$50+BE170*Pesos!$B$51+BF170*Pesos!$B$52+BG170*Pesos!$B$53</f>
        <v>-30</v>
      </c>
      <c r="G170" s="6" t="n">
        <f aca="false">E170*F170</f>
        <v>-15</v>
      </c>
      <c r="H170" s="3" t="n">
        <v>98</v>
      </c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 t="n">
        <v>5</v>
      </c>
      <c r="AC170" s="3" t="n">
        <v>-10</v>
      </c>
      <c r="AD170" s="3"/>
      <c r="AE170" s="3"/>
      <c r="AF170" s="3"/>
      <c r="AG170" s="3" t="n">
        <v>5</v>
      </c>
      <c r="AH170" s="3"/>
      <c r="AI170" s="3"/>
      <c r="AJ170" s="3"/>
      <c r="AK170" s="3"/>
      <c r="AL170" s="3" t="n">
        <v>-5</v>
      </c>
      <c r="AM170" s="3"/>
      <c r="AN170" s="3"/>
      <c r="AO170" s="3"/>
      <c r="AP170" s="3" t="n">
        <v>-10</v>
      </c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 t="s">
        <v>576</v>
      </c>
      <c r="BI170" s="3"/>
      <c r="BJ170" s="3"/>
      <c r="BK170" s="3"/>
      <c r="BL170" s="3"/>
      <c r="BM170" s="3"/>
    </row>
    <row r="171" customFormat="false" ht="15" hidden="false" customHeight="false" outlineLevel="0" collapsed="false">
      <c r="A171" s="3" t="s">
        <v>62</v>
      </c>
      <c r="B171" s="3" t="s">
        <v>100</v>
      </c>
      <c r="C171" s="3" t="s">
        <v>561</v>
      </c>
      <c r="D171" s="3" t="s">
        <v>577</v>
      </c>
      <c r="E171" s="3" t="n">
        <v>0.5</v>
      </c>
      <c r="F171" s="6" t="n">
        <f aca="false">H171*Pesos!$B$2+I171*Pesos!$B$3+J171*Pesos!$B$4+K171*Pesos!$B$5+L171*Pesos!$B$6+M171*Pesos!$B$7+N171*Pesos!$B$8+O171*Pesos!$B$9+P171*Pesos!$B$10+Q171*Pesos!$B$11+R171*Pesos!$B$12+S171*Pesos!$B$13+T171*Pesos!$B$14+U171*Pesos!$B$15+V171*Pesos!$B$16+W171*Pesos!$B$17+X171*Pesos!$B$18+Y171*Pesos!$B$19+Z171*Pesos!$B$20+AA171*Pesos!$B$21+AB171*Pesos!$B$22+AC171*Pesos!$B$23+AD171*Pesos!$B$24+AE171*Pesos!$B$25+AF171*Pesos!$B$26+AG171*Pesos!$B$27+AH171*Pesos!$B$28+AI171*Pesos!$B$29+AJ171*Pesos!$B$30+AK171*Pesos!$B$31+AL171*Pesos!$B$32+AM171*Pesos!$B$33+AN171*Pesos!$B$34+AO171*Pesos!$B$35+AP171*Pesos!$B$36+AQ171*Pesos!$B$37+AR171*Pesos!$B$38+AS171*Pesos!$B$39+AT171*Pesos!$B$40+AU171*Pesos!$B$41+AV171*Pesos!$B$42+AW171*Pesos!$B$43+AX171*Pesos!$B$44+AY171*Pesos!$B$45+AZ171*Pesos!$B$46+BA171*Pesos!$B$47+BB171*Pesos!$B$48+BC171*Pesos!$B$49+BD171*Pesos!$B$50+BE171*Pesos!$B$51+BF171*Pesos!$B$52+BG171*Pesos!$B$53</f>
        <v>-20.2</v>
      </c>
      <c r="G171" s="6" t="n">
        <f aca="false">E171*F171</f>
        <v>-10.1</v>
      </c>
      <c r="H171" s="3" t="n">
        <v>63</v>
      </c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 t="n">
        <v>0.06</v>
      </c>
      <c r="AB171" s="3" t="n">
        <v>2.4</v>
      </c>
      <c r="AC171" s="3"/>
      <c r="AD171" s="3"/>
      <c r="AE171" s="3" t="n">
        <v>-10</v>
      </c>
      <c r="AF171" s="3"/>
      <c r="AG171" s="3" t="n">
        <v>-2</v>
      </c>
      <c r="AH171" s="3"/>
      <c r="AI171" s="3"/>
      <c r="AJ171" s="3"/>
      <c r="AK171" s="3"/>
      <c r="AL171" s="3" t="n">
        <v>0.6</v>
      </c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 t="s">
        <v>577</v>
      </c>
      <c r="BI171" s="3"/>
      <c r="BJ171" s="3" t="s">
        <v>517</v>
      </c>
      <c r="BK171" s="3"/>
      <c r="BL171" s="3"/>
      <c r="BM171" s="3" t="s">
        <v>557</v>
      </c>
    </row>
    <row r="172" customFormat="false" ht="15" hidden="false" customHeight="false" outlineLevel="0" collapsed="false">
      <c r="A172" s="3" t="s">
        <v>62</v>
      </c>
      <c r="B172" s="3" t="s">
        <v>100</v>
      </c>
      <c r="C172" s="3" t="s">
        <v>578</v>
      </c>
      <c r="D172" s="3" t="s">
        <v>579</v>
      </c>
      <c r="E172" s="3" t="n">
        <v>0.5</v>
      </c>
      <c r="F172" s="6" t="n">
        <f aca="false">H172*Pesos!$B$2+I172*Pesos!$B$3+J172*Pesos!$B$4+K172*Pesos!$B$5+L172*Pesos!$B$6+M172*Pesos!$B$7+N172*Pesos!$B$8+O172*Pesos!$B$9+P172*Pesos!$B$10+Q172*Pesos!$B$11+R172*Pesos!$B$12+S172*Pesos!$B$13+T172*Pesos!$B$14+U172*Pesos!$B$15+V172*Pesos!$B$16+W172*Pesos!$B$17+X172*Pesos!$B$18+Y172*Pesos!$B$19+Z172*Pesos!$B$20+AA172*Pesos!$B$21+AB172*Pesos!$B$22+AC172*Pesos!$B$23+AD172*Pesos!$B$24+AE172*Pesos!$B$25+AF172*Pesos!$B$26+AG172*Pesos!$B$27+AH172*Pesos!$B$28+AI172*Pesos!$B$29+AJ172*Pesos!$B$30+AK172*Pesos!$B$31+AL172*Pesos!$B$32+AM172*Pesos!$B$33+AN172*Pesos!$B$34+AO172*Pesos!$B$35+AP172*Pesos!$B$36+AQ172*Pesos!$B$37+AR172*Pesos!$B$38+AS172*Pesos!$B$39+AT172*Pesos!$B$40+AU172*Pesos!$B$41+AV172*Pesos!$B$42+AW172*Pesos!$B$43+AX172*Pesos!$B$44+AY172*Pesos!$B$45+AZ172*Pesos!$B$46+BA172*Pesos!$B$47+BB172*Pesos!$B$48+BC172*Pesos!$B$49+BD172*Pesos!$B$50+BE172*Pesos!$B$51+BF172*Pesos!$B$52+BG172*Pesos!$B$53</f>
        <v>164.4</v>
      </c>
      <c r="G172" s="6" t="n">
        <f aca="false">E172*F172</f>
        <v>82.2</v>
      </c>
      <c r="H172" s="3" t="n">
        <v>49</v>
      </c>
      <c r="I172" s="3"/>
      <c r="J172" s="3"/>
      <c r="K172" s="3"/>
      <c r="L172" s="3"/>
      <c r="M172" s="3"/>
      <c r="N172" s="3"/>
      <c r="O172" s="3"/>
      <c r="P172" s="3"/>
      <c r="Q172" s="3"/>
      <c r="R172" s="3" t="n">
        <v>2</v>
      </c>
      <c r="S172" s="3"/>
      <c r="T172" s="3"/>
      <c r="U172" s="3"/>
      <c r="V172" s="3"/>
      <c r="W172" s="3"/>
      <c r="X172" s="3"/>
      <c r="Y172" s="3"/>
      <c r="Z172" s="3"/>
      <c r="AA172" s="3" t="n">
        <v>-0.02</v>
      </c>
      <c r="AB172" s="3" t="n">
        <v>1.2</v>
      </c>
      <c r="AC172" s="3"/>
      <c r="AD172" s="3"/>
      <c r="AE172" s="3"/>
      <c r="AF172" s="3"/>
      <c r="AG172" s="3" t="n">
        <v>-0.8</v>
      </c>
      <c r="AH172" s="3"/>
      <c r="AI172" s="3"/>
      <c r="AJ172" s="3"/>
      <c r="AK172" s="3"/>
      <c r="AL172" s="3" t="n">
        <v>0.3</v>
      </c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 t="s">
        <v>522</v>
      </c>
      <c r="BK172" s="3"/>
      <c r="BL172" s="3"/>
      <c r="BM172" s="3"/>
    </row>
    <row r="173" customFormat="false" ht="15" hidden="false" customHeight="false" outlineLevel="0" collapsed="false">
      <c r="A173" s="3" t="s">
        <v>62</v>
      </c>
      <c r="B173" s="3" t="s">
        <v>100</v>
      </c>
      <c r="C173" s="3" t="s">
        <v>580</v>
      </c>
      <c r="D173" s="3" t="s">
        <v>581</v>
      </c>
      <c r="E173" s="3" t="n">
        <v>0.5</v>
      </c>
      <c r="F173" s="6" t="n">
        <f aca="false">H173*Pesos!$B$2+I173*Pesos!$B$3+J173*Pesos!$B$4+K173*Pesos!$B$5+L173*Pesos!$B$6+M173*Pesos!$B$7+N173*Pesos!$B$8+O173*Pesos!$B$9+P173*Pesos!$B$10+Q173*Pesos!$B$11+R173*Pesos!$B$12+S173*Pesos!$B$13+T173*Pesos!$B$14+U173*Pesos!$B$15+V173*Pesos!$B$16+W173*Pesos!$B$17+X173*Pesos!$B$18+Y173*Pesos!$B$19+Z173*Pesos!$B$20+AA173*Pesos!$B$21+AB173*Pesos!$B$22+AC173*Pesos!$B$23+AD173*Pesos!$B$24+AE173*Pesos!$B$25+AF173*Pesos!$B$26+AG173*Pesos!$B$27+AH173*Pesos!$B$28+AI173*Pesos!$B$29+AJ173*Pesos!$B$30+AK173*Pesos!$B$31+AL173*Pesos!$B$32+AM173*Pesos!$B$33+AN173*Pesos!$B$34+AO173*Pesos!$B$35+AP173*Pesos!$B$36+AQ173*Pesos!$B$37+AR173*Pesos!$B$38+AS173*Pesos!$B$39+AT173*Pesos!$B$40+AU173*Pesos!$B$41+AV173*Pesos!$B$42+AW173*Pesos!$B$43+AX173*Pesos!$B$44+AY173*Pesos!$B$45+AZ173*Pesos!$B$46+BA173*Pesos!$B$47+BB173*Pesos!$B$48+BC173*Pesos!$B$49+BD173*Pesos!$B$50+BE173*Pesos!$B$51+BF173*Pesos!$B$52+BG173*Pesos!$B$53</f>
        <v>100</v>
      </c>
      <c r="G173" s="6" t="n">
        <f aca="false">E173*F173</f>
        <v>50</v>
      </c>
      <c r="H173" s="3" t="n">
        <v>49</v>
      </c>
      <c r="I173" s="3" t="n">
        <v>100</v>
      </c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 t="s">
        <v>523</v>
      </c>
      <c r="BL173" s="3"/>
      <c r="BM173" s="3"/>
    </row>
    <row r="174" customFormat="false" ht="15" hidden="false" customHeight="false" outlineLevel="0" collapsed="false">
      <c r="A174" s="3" t="s">
        <v>62</v>
      </c>
      <c r="B174" s="3" t="s">
        <v>100</v>
      </c>
      <c r="C174" s="3" t="s">
        <v>582</v>
      </c>
      <c r="D174" s="3" t="s">
        <v>583</v>
      </c>
      <c r="E174" s="3" t="n">
        <v>0.5</v>
      </c>
      <c r="F174" s="6" t="n">
        <f aca="false">H174*Pesos!$B$2+I174*Pesos!$B$3+J174*Pesos!$B$4+K174*Pesos!$B$5+L174*Pesos!$B$6+M174*Pesos!$B$7+N174*Pesos!$B$8+O174*Pesos!$B$9+P174*Pesos!$B$10+Q174*Pesos!$B$11+R174*Pesos!$B$12+S174*Pesos!$B$13+T174*Pesos!$B$14+U174*Pesos!$B$15+V174*Pesos!$B$16+W174*Pesos!$B$17+X174*Pesos!$B$18+Y174*Pesos!$B$19+Z174*Pesos!$B$20+AA174*Pesos!$B$21+AB174*Pesos!$B$22+AC174*Pesos!$B$23+AD174*Pesos!$B$24+AE174*Pesos!$B$25+AF174*Pesos!$B$26+AG174*Pesos!$B$27+AH174*Pesos!$B$28+AI174*Pesos!$B$29+AJ174*Pesos!$B$30+AK174*Pesos!$B$31+AL174*Pesos!$B$32+AM174*Pesos!$B$33+AN174*Pesos!$B$34+AO174*Pesos!$B$35+AP174*Pesos!$B$36+AQ174*Pesos!$B$37+AR174*Pesos!$B$38+AS174*Pesos!$B$39+AT174*Pesos!$B$40+AU174*Pesos!$B$41+AV174*Pesos!$B$42+AW174*Pesos!$B$43+AX174*Pesos!$B$44+AY174*Pesos!$B$45+AZ174*Pesos!$B$46+BA174*Pesos!$B$47+BB174*Pesos!$B$48+BC174*Pesos!$B$49+BD174*Pesos!$B$50+BE174*Pesos!$B$51+BF174*Pesos!$B$52+BG174*Pesos!$B$53</f>
        <v>64.4</v>
      </c>
      <c r="G174" s="6" t="n">
        <f aca="false">E174*F174</f>
        <v>32.2</v>
      </c>
      <c r="H174" s="3" t="n">
        <v>49</v>
      </c>
      <c r="I174" s="3" t="n">
        <v>100</v>
      </c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 t="n">
        <v>-0.02</v>
      </c>
      <c r="AB174" s="3" t="n">
        <v>1.2</v>
      </c>
      <c r="AC174" s="3"/>
      <c r="AD174" s="3"/>
      <c r="AE174" s="3"/>
      <c r="AF174" s="3"/>
      <c r="AG174" s="3" t="n">
        <v>-0.8</v>
      </c>
      <c r="AH174" s="3"/>
      <c r="AI174" s="3"/>
      <c r="AJ174" s="3"/>
      <c r="AK174" s="3"/>
      <c r="AL174" s="3" t="n">
        <v>0.3</v>
      </c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 t="s">
        <v>522</v>
      </c>
      <c r="BK174" s="3"/>
      <c r="BL174" s="3"/>
      <c r="BM174" s="3"/>
    </row>
    <row r="175" customFormat="false" ht="15" hidden="false" customHeight="false" outlineLevel="0" collapsed="false">
      <c r="A175" s="3" t="s">
        <v>62</v>
      </c>
      <c r="B175" s="3" t="s">
        <v>100</v>
      </c>
      <c r="C175" s="3" t="s">
        <v>584</v>
      </c>
      <c r="D175" s="3" t="s">
        <v>585</v>
      </c>
      <c r="E175" s="3" t="n">
        <v>0.5</v>
      </c>
      <c r="F175" s="6" t="n">
        <f aca="false">H175*Pesos!$B$2+I175*Pesos!$B$3+J175*Pesos!$B$4+K175*Pesos!$B$5+L175*Pesos!$B$6+M175*Pesos!$B$7+N175*Pesos!$B$8+O175*Pesos!$B$9+P175*Pesos!$B$10+Q175*Pesos!$B$11+R175*Pesos!$B$12+S175*Pesos!$B$13+T175*Pesos!$B$14+U175*Pesos!$B$15+V175*Pesos!$B$16+W175*Pesos!$B$17+X175*Pesos!$B$18+Y175*Pesos!$B$19+Z175*Pesos!$B$20+AA175*Pesos!$B$21+AB175*Pesos!$B$22+AC175*Pesos!$B$23+AD175*Pesos!$B$24+AE175*Pesos!$B$25+AF175*Pesos!$B$26+AG175*Pesos!$B$27+AH175*Pesos!$B$28+AI175*Pesos!$B$29+AJ175*Pesos!$B$30+AK175*Pesos!$B$31+AL175*Pesos!$B$32+AM175*Pesos!$B$33+AN175*Pesos!$B$34+AO175*Pesos!$B$35+AP175*Pesos!$B$36+AQ175*Pesos!$B$37+AR175*Pesos!$B$38+AS175*Pesos!$B$39+AT175*Pesos!$B$40+AU175*Pesos!$B$41+AV175*Pesos!$B$42+AW175*Pesos!$B$43+AX175*Pesos!$B$44+AY175*Pesos!$B$45+AZ175*Pesos!$B$46+BA175*Pesos!$B$47+BB175*Pesos!$B$48+BC175*Pesos!$B$49+BD175*Pesos!$B$50+BE175*Pesos!$B$51+BF175*Pesos!$B$52+BG175*Pesos!$B$53</f>
        <v>246.5</v>
      </c>
      <c r="G175" s="6" t="n">
        <f aca="false">E175*F175</f>
        <v>123.25</v>
      </c>
      <c r="H175" s="3" t="n">
        <v>84</v>
      </c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 t="n">
        <v>0.05</v>
      </c>
      <c r="AB175" s="3" t="n">
        <v>5</v>
      </c>
      <c r="AC175" s="3"/>
      <c r="AD175" s="3"/>
      <c r="AE175" s="3" t="n">
        <v>10</v>
      </c>
      <c r="AF175" s="3"/>
      <c r="AG175" s="3"/>
      <c r="AH175" s="3"/>
      <c r="AI175" s="3" t="n">
        <v>10</v>
      </c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 t="s">
        <v>586</v>
      </c>
      <c r="BI175" s="3"/>
      <c r="BJ175" s="3"/>
      <c r="BK175" s="3"/>
      <c r="BL175" s="3"/>
      <c r="BM175" s="3"/>
    </row>
    <row r="176" customFormat="false" ht="15" hidden="false" customHeight="false" outlineLevel="0" collapsed="false">
      <c r="A176" s="3" t="s">
        <v>62</v>
      </c>
      <c r="B176" s="3" t="s">
        <v>100</v>
      </c>
      <c r="C176" s="3" t="s">
        <v>587</v>
      </c>
      <c r="D176" s="3" t="s">
        <v>588</v>
      </c>
      <c r="E176" s="3" t="n">
        <v>0.5</v>
      </c>
      <c r="F176" s="6" t="n">
        <f aca="false">H176*Pesos!$B$2+I176*Pesos!$B$3+J176*Pesos!$B$4+K176*Pesos!$B$5+L176*Pesos!$B$6+M176*Pesos!$B$7+N176*Pesos!$B$8+O176*Pesos!$B$9+P176*Pesos!$B$10+Q176*Pesos!$B$11+R176*Pesos!$B$12+S176*Pesos!$B$13+T176*Pesos!$B$14+U176*Pesos!$B$15+V176*Pesos!$B$16+W176*Pesos!$B$17+X176*Pesos!$B$18+Y176*Pesos!$B$19+Z176*Pesos!$B$20+AA176*Pesos!$B$21+AB176*Pesos!$B$22+AC176*Pesos!$B$23+AD176*Pesos!$B$24+AE176*Pesos!$B$25+AF176*Pesos!$B$26+AG176*Pesos!$B$27+AH176*Pesos!$B$28+AI176*Pesos!$B$29+AJ176*Pesos!$B$30+AK176*Pesos!$B$31+AL176*Pesos!$B$32+AM176*Pesos!$B$33+AN176*Pesos!$B$34+AO176*Pesos!$B$35+AP176*Pesos!$B$36+AQ176*Pesos!$B$37+AR176*Pesos!$B$38+AS176*Pesos!$B$39+AT176*Pesos!$B$40+AU176*Pesos!$B$41+AV176*Pesos!$B$42+AW176*Pesos!$B$43+AX176*Pesos!$B$44+AY176*Pesos!$B$45+AZ176*Pesos!$B$46+BA176*Pesos!$B$47+BB176*Pesos!$B$48+BC176*Pesos!$B$49+BD176*Pesos!$B$50+BE176*Pesos!$B$51+BF176*Pesos!$B$52+BG176*Pesos!$B$53</f>
        <v>300</v>
      </c>
      <c r="G176" s="6" t="n">
        <f aca="false">E176*F176</f>
        <v>150</v>
      </c>
      <c r="H176" s="3" t="n">
        <v>77</v>
      </c>
      <c r="I176" s="3" t="n">
        <v>100</v>
      </c>
      <c r="J176" s="3"/>
      <c r="K176" s="3"/>
      <c r="L176" s="3"/>
      <c r="M176" s="3"/>
      <c r="N176" s="3"/>
      <c r="O176" s="3"/>
      <c r="P176" s="3"/>
      <c r="Q176" s="3"/>
      <c r="R176" s="3" t="n">
        <v>2</v>
      </c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customFormat="false" ht="15" hidden="false" customHeight="false" outlineLevel="0" collapsed="false">
      <c r="A177" s="3" t="s">
        <v>62</v>
      </c>
      <c r="B177" s="3" t="s">
        <v>100</v>
      </c>
      <c r="C177" s="3" t="s">
        <v>589</v>
      </c>
      <c r="D177" s="3" t="s">
        <v>590</v>
      </c>
      <c r="E177" s="3" t="n">
        <v>0.5</v>
      </c>
      <c r="F177" s="6" t="n">
        <f aca="false">H177*Pesos!$B$2+I177*Pesos!$B$3+J177*Pesos!$B$4+K177*Pesos!$B$5+L177*Pesos!$B$6+M177*Pesos!$B$7+N177*Pesos!$B$8+O177*Pesos!$B$9+P177*Pesos!$B$10+Q177*Pesos!$B$11+R177*Pesos!$B$12+S177*Pesos!$B$13+T177*Pesos!$B$14+U177*Pesos!$B$15+V177*Pesos!$B$16+W177*Pesos!$B$17+X177*Pesos!$B$18+Y177*Pesos!$B$19+Z177*Pesos!$B$20+AA177*Pesos!$B$21+AB177*Pesos!$B$22+AC177*Pesos!$B$23+AD177*Pesos!$B$24+AE177*Pesos!$B$25+AF177*Pesos!$B$26+AG177*Pesos!$B$27+AH177*Pesos!$B$28+AI177*Pesos!$B$29+AJ177*Pesos!$B$30+AK177*Pesos!$B$31+AL177*Pesos!$B$32+AM177*Pesos!$B$33+AN177*Pesos!$B$34+AO177*Pesos!$B$35+AP177*Pesos!$B$36+AQ177*Pesos!$B$37+AR177*Pesos!$B$38+AS177*Pesos!$B$39+AT177*Pesos!$B$40+AU177*Pesos!$B$41+AV177*Pesos!$B$42+AW177*Pesos!$B$43+AX177*Pesos!$B$44+AY177*Pesos!$B$45+AZ177*Pesos!$B$46+BA177*Pesos!$B$47+BB177*Pesos!$B$48+BC177*Pesos!$B$49+BD177*Pesos!$B$50+BE177*Pesos!$B$51+BF177*Pesos!$B$52+BG177*Pesos!$B$53</f>
        <v>43</v>
      </c>
      <c r="G177" s="6" t="n">
        <f aca="false">E177*F177</f>
        <v>21.5</v>
      </c>
      <c r="H177" s="3" t="n">
        <v>98</v>
      </c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 t="n">
        <v>0.1</v>
      </c>
      <c r="AB177" s="3" t="n">
        <v>-10</v>
      </c>
      <c r="AC177" s="3"/>
      <c r="AD177" s="3"/>
      <c r="AE177" s="3" t="n">
        <v>-30</v>
      </c>
      <c r="AF177" s="3"/>
      <c r="AG177" s="3"/>
      <c r="AH177" s="3"/>
      <c r="AI177" s="3"/>
      <c r="AJ177" s="3"/>
      <c r="AK177" s="3"/>
      <c r="AL177" s="3"/>
      <c r="AM177" s="3" t="n">
        <v>10</v>
      </c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 t="s">
        <v>591</v>
      </c>
      <c r="BI177" s="3"/>
      <c r="BJ177" s="3"/>
      <c r="BK177" s="3"/>
      <c r="BL177" s="3"/>
      <c r="BM177" s="3"/>
    </row>
    <row r="178" customFormat="false" ht="15" hidden="false" customHeight="false" outlineLevel="0" collapsed="false">
      <c r="A178" s="3" t="s">
        <v>62</v>
      </c>
      <c r="B178" s="3" t="s">
        <v>101</v>
      </c>
      <c r="C178" s="3" t="s">
        <v>592</v>
      </c>
      <c r="D178" s="3" t="s">
        <v>593</v>
      </c>
      <c r="E178" s="3" t="n">
        <v>1</v>
      </c>
      <c r="F178" s="6" t="n">
        <f aca="false">H178*Pesos!$B$2+I178*Pesos!$B$3+J178*Pesos!$B$4+K178*Pesos!$B$5+L178*Pesos!$B$6+M178*Pesos!$B$7+N178*Pesos!$B$8+O178*Pesos!$B$9+P178*Pesos!$B$10+Q178*Pesos!$B$11+R178*Pesos!$B$12+S178*Pesos!$B$13+T178*Pesos!$B$14+U178*Pesos!$B$15+V178*Pesos!$B$16+W178*Pesos!$B$17+X178*Pesos!$B$18+Y178*Pesos!$B$19+Z178*Pesos!$B$20+AA178*Pesos!$B$21+AB178*Pesos!$B$22+AC178*Pesos!$B$23+AD178*Pesos!$B$24+AE178*Pesos!$B$25+AF178*Pesos!$B$26+AG178*Pesos!$B$27+AH178*Pesos!$B$28+AI178*Pesos!$B$29+AJ178*Pesos!$B$30+AK178*Pesos!$B$31+AL178*Pesos!$B$32+AM178*Pesos!$B$33+AN178*Pesos!$B$34+AO178*Pesos!$B$35+AP178*Pesos!$B$36+AQ178*Pesos!$B$37+AR178*Pesos!$B$38+AS178*Pesos!$B$39+AT178*Pesos!$B$40+AU178*Pesos!$B$41+AV178*Pesos!$B$42+AW178*Pesos!$B$43+AX178*Pesos!$B$44+AY178*Pesos!$B$45+AZ178*Pesos!$B$46+BA178*Pesos!$B$47+BB178*Pesos!$B$48+BC178*Pesos!$B$49+BD178*Pesos!$B$50+BE178*Pesos!$B$51+BF178*Pesos!$B$52+BG178*Pesos!$B$53</f>
        <v>380</v>
      </c>
      <c r="G178" s="6" t="n">
        <f aca="false">E178*F178</f>
        <v>380</v>
      </c>
      <c r="H178" s="3" t="n">
        <v>49</v>
      </c>
      <c r="I178" s="3"/>
      <c r="J178" s="3"/>
      <c r="K178" s="3"/>
      <c r="L178" s="3"/>
      <c r="M178" s="3"/>
      <c r="N178" s="3"/>
      <c r="O178" s="3"/>
      <c r="P178" s="3"/>
      <c r="Q178" s="3"/>
      <c r="R178" s="3" t="n">
        <v>2</v>
      </c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 t="n">
        <v>10</v>
      </c>
      <c r="AJ178" s="3"/>
      <c r="AK178" s="3" t="n">
        <v>10</v>
      </c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 t="s">
        <v>594</v>
      </c>
      <c r="BI178" s="3"/>
      <c r="BJ178" s="3"/>
      <c r="BK178" s="3"/>
      <c r="BL178" s="3"/>
      <c r="BM178" s="3"/>
    </row>
    <row r="179" customFormat="false" ht="15" hidden="false" customHeight="false" outlineLevel="0" collapsed="false">
      <c r="A179" s="3" t="s">
        <v>62</v>
      </c>
      <c r="B179" s="3" t="s">
        <v>101</v>
      </c>
      <c r="C179" s="3" t="s">
        <v>595</v>
      </c>
      <c r="D179" s="3" t="s">
        <v>596</v>
      </c>
      <c r="E179" s="3" t="n">
        <v>1</v>
      </c>
      <c r="F179" s="6" t="n">
        <f aca="false">H179*Pesos!$B$2+I179*Pesos!$B$3+J179*Pesos!$B$4+K179*Pesos!$B$5+L179*Pesos!$B$6+M179*Pesos!$B$7+N179*Pesos!$B$8+O179*Pesos!$B$9+P179*Pesos!$B$10+Q179*Pesos!$B$11+R179*Pesos!$B$12+S179*Pesos!$B$13+T179*Pesos!$B$14+U179*Pesos!$B$15+V179*Pesos!$B$16+W179*Pesos!$B$17+X179*Pesos!$B$18+Y179*Pesos!$B$19+Z179*Pesos!$B$20+AA179*Pesos!$B$21+AB179*Pesos!$B$22+AC179*Pesos!$B$23+AD179*Pesos!$B$24+AE179*Pesos!$B$25+AF179*Pesos!$B$26+AG179*Pesos!$B$27+AH179*Pesos!$B$28+AI179*Pesos!$B$29+AJ179*Pesos!$B$30+AK179*Pesos!$B$31+AL179*Pesos!$B$32+AM179*Pesos!$B$33+AN179*Pesos!$B$34+AO179*Pesos!$B$35+AP179*Pesos!$B$36+AQ179*Pesos!$B$37+AR179*Pesos!$B$38+AS179*Pesos!$B$39+AT179*Pesos!$B$40+AU179*Pesos!$B$41+AV179*Pesos!$B$42+AW179*Pesos!$B$43+AX179*Pesos!$B$44+AY179*Pesos!$B$45+AZ179*Pesos!$B$46+BA179*Pesos!$B$47+BB179*Pesos!$B$48+BC179*Pesos!$B$49+BD179*Pesos!$B$50+BE179*Pesos!$B$51+BF179*Pesos!$B$52+BG179*Pesos!$B$53</f>
        <v>194.4</v>
      </c>
      <c r="G179" s="6" t="n">
        <f aca="false">E179*F179</f>
        <v>194.4</v>
      </c>
      <c r="H179" s="3" t="n">
        <v>49</v>
      </c>
      <c r="I179" s="3"/>
      <c r="J179" s="3"/>
      <c r="K179" s="3"/>
      <c r="L179" s="3"/>
      <c r="M179" s="3"/>
      <c r="N179" s="3"/>
      <c r="O179" s="3"/>
      <c r="P179" s="3"/>
      <c r="Q179" s="3" t="n">
        <v>1</v>
      </c>
      <c r="R179" s="3"/>
      <c r="S179" s="3" t="n">
        <v>2</v>
      </c>
      <c r="T179" s="3"/>
      <c r="U179" s="3"/>
      <c r="V179" s="3"/>
      <c r="W179" s="3"/>
      <c r="X179" s="3"/>
      <c r="Y179" s="3"/>
      <c r="Z179" s="3"/>
      <c r="AA179" s="3" t="n">
        <v>-0.02</v>
      </c>
      <c r="AB179" s="3" t="n">
        <v>-0.3</v>
      </c>
      <c r="AC179" s="3"/>
      <c r="AD179" s="3"/>
      <c r="AE179" s="3"/>
      <c r="AF179" s="3"/>
      <c r="AG179" s="3" t="n">
        <v>1.2</v>
      </c>
      <c r="AH179" s="3"/>
      <c r="AI179" s="3"/>
      <c r="AJ179" s="3"/>
      <c r="AK179" s="3"/>
      <c r="AL179" s="3" t="n">
        <v>0.3</v>
      </c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 t="s">
        <v>597</v>
      </c>
      <c r="BK179" s="3"/>
      <c r="BL179" s="3"/>
      <c r="BM179" s="3"/>
    </row>
    <row r="180" customFormat="false" ht="15" hidden="false" customHeight="false" outlineLevel="0" collapsed="false">
      <c r="A180" s="3" t="s">
        <v>62</v>
      </c>
      <c r="B180" s="3" t="s">
        <v>101</v>
      </c>
      <c r="C180" s="3" t="s">
        <v>598</v>
      </c>
      <c r="D180" s="3" t="s">
        <v>599</v>
      </c>
      <c r="E180" s="3" t="n">
        <v>1</v>
      </c>
      <c r="F180" s="6" t="n">
        <f aca="false">H180*Pesos!$B$2+I180*Pesos!$B$3+J180*Pesos!$B$4+K180*Pesos!$B$5+L180*Pesos!$B$6+M180*Pesos!$B$7+N180*Pesos!$B$8+O180*Pesos!$B$9+P180*Pesos!$B$10+Q180*Pesos!$B$11+R180*Pesos!$B$12+S180*Pesos!$B$13+T180*Pesos!$B$14+U180*Pesos!$B$15+V180*Pesos!$B$16+W180*Pesos!$B$17+X180*Pesos!$B$18+Y180*Pesos!$B$19+Z180*Pesos!$B$20+AA180*Pesos!$B$21+AB180*Pesos!$B$22+AC180*Pesos!$B$23+AD180*Pesos!$B$24+AE180*Pesos!$B$25+AF180*Pesos!$B$26+AG180*Pesos!$B$27+AH180*Pesos!$B$28+AI180*Pesos!$B$29+AJ180*Pesos!$B$30+AK180*Pesos!$B$31+AL180*Pesos!$B$32+AM180*Pesos!$B$33+AN180*Pesos!$B$34+AO180*Pesos!$B$35+AP180*Pesos!$B$36+AQ180*Pesos!$B$37+AR180*Pesos!$B$38+AS180*Pesos!$B$39+AT180*Pesos!$B$40+AU180*Pesos!$B$41+AV180*Pesos!$B$42+AW180*Pesos!$B$43+AX180*Pesos!$B$44+AY180*Pesos!$B$45+AZ180*Pesos!$B$46+BA180*Pesos!$B$47+BB180*Pesos!$B$48+BC180*Pesos!$B$49+BD180*Pesos!$B$50+BE180*Pesos!$B$51+BF180*Pesos!$B$52+BG180*Pesos!$B$53</f>
        <v>434.4</v>
      </c>
      <c r="G180" s="6" t="n">
        <f aca="false">E180*F180</f>
        <v>434.4</v>
      </c>
      <c r="H180" s="3" t="n">
        <v>63</v>
      </c>
      <c r="I180" s="3"/>
      <c r="J180" s="3"/>
      <c r="K180" s="3"/>
      <c r="L180" s="3"/>
      <c r="M180" s="3"/>
      <c r="N180" s="3"/>
      <c r="O180" s="3"/>
      <c r="P180" s="3"/>
      <c r="Q180" s="3" t="n">
        <v>2</v>
      </c>
      <c r="R180" s="3"/>
      <c r="S180" s="3"/>
      <c r="T180" s="3"/>
      <c r="U180" s="3"/>
      <c r="V180" s="3"/>
      <c r="W180" s="3"/>
      <c r="X180" s="3"/>
      <c r="Y180" s="3"/>
      <c r="Z180" s="3"/>
      <c r="AA180" s="3" t="n">
        <v>-0.02</v>
      </c>
      <c r="AB180" s="3" t="n">
        <v>-0.3</v>
      </c>
      <c r="AC180" s="3"/>
      <c r="AD180" s="3"/>
      <c r="AE180" s="3"/>
      <c r="AF180" s="3"/>
      <c r="AG180" s="3" t="n">
        <v>6.2</v>
      </c>
      <c r="AH180" s="3"/>
      <c r="AI180" s="3" t="n">
        <v>10</v>
      </c>
      <c r="AJ180" s="3"/>
      <c r="AK180" s="3"/>
      <c r="AL180" s="3" t="n">
        <v>0.3</v>
      </c>
      <c r="AM180" s="3"/>
      <c r="AN180" s="3" t="n">
        <v>5</v>
      </c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 t="s">
        <v>600</v>
      </c>
      <c r="BI180" s="3"/>
      <c r="BJ180" s="3" t="s">
        <v>597</v>
      </c>
      <c r="BK180" s="3"/>
      <c r="BL180" s="3"/>
      <c r="BM180" s="3"/>
    </row>
    <row r="181" customFormat="false" ht="15" hidden="false" customHeight="false" outlineLevel="0" collapsed="false">
      <c r="A181" s="3" t="s">
        <v>62</v>
      </c>
      <c r="B181" s="3" t="s">
        <v>101</v>
      </c>
      <c r="C181" s="3" t="s">
        <v>601</v>
      </c>
      <c r="D181" s="3" t="s">
        <v>602</v>
      </c>
      <c r="E181" s="3" t="n">
        <v>1</v>
      </c>
      <c r="F181" s="6" t="n">
        <f aca="false">H181*Pesos!$B$2+I181*Pesos!$B$3+J181*Pesos!$B$4+K181*Pesos!$B$5+L181*Pesos!$B$6+M181*Pesos!$B$7+N181*Pesos!$B$8+O181*Pesos!$B$9+P181*Pesos!$B$10+Q181*Pesos!$B$11+R181*Pesos!$B$12+S181*Pesos!$B$13+T181*Pesos!$B$14+U181*Pesos!$B$15+V181*Pesos!$B$16+W181*Pesos!$B$17+X181*Pesos!$B$18+Y181*Pesos!$B$19+Z181*Pesos!$B$20+AA181*Pesos!$B$21+AB181*Pesos!$B$22+AC181*Pesos!$B$23+AD181*Pesos!$B$24+AE181*Pesos!$B$25+AF181*Pesos!$B$26+AG181*Pesos!$B$27+AH181*Pesos!$B$28+AI181*Pesos!$B$29+AJ181*Pesos!$B$30+AK181*Pesos!$B$31+AL181*Pesos!$B$32+AM181*Pesos!$B$33+AN181*Pesos!$B$34+AO181*Pesos!$B$35+AP181*Pesos!$B$36+AQ181*Pesos!$B$37+AR181*Pesos!$B$38+AS181*Pesos!$B$39+AT181*Pesos!$B$40+AU181*Pesos!$B$41+AV181*Pesos!$B$42+AW181*Pesos!$B$43+AX181*Pesos!$B$44+AY181*Pesos!$B$45+AZ181*Pesos!$B$46+BA181*Pesos!$B$47+BB181*Pesos!$B$48+BC181*Pesos!$B$49+BD181*Pesos!$B$50+BE181*Pesos!$B$51+BF181*Pesos!$B$52+BG181*Pesos!$B$53</f>
        <v>82.4</v>
      </c>
      <c r="G181" s="6" t="n">
        <f aca="false">E181*F181</f>
        <v>82.4</v>
      </c>
      <c r="H181" s="3" t="n">
        <v>49</v>
      </c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 t="n">
        <v>4</v>
      </c>
      <c r="V181" s="3"/>
      <c r="W181" s="3"/>
      <c r="X181" s="3"/>
      <c r="Y181" s="3"/>
      <c r="Z181" s="3"/>
      <c r="AA181" s="3" t="n">
        <v>0.08</v>
      </c>
      <c r="AB181" s="3" t="n">
        <v>-0.3</v>
      </c>
      <c r="AC181" s="3"/>
      <c r="AD181" s="3"/>
      <c r="AE181" s="3"/>
      <c r="AF181" s="3"/>
      <c r="AG181" s="3" t="n">
        <v>-0.8</v>
      </c>
      <c r="AH181" s="3"/>
      <c r="AI181" s="3"/>
      <c r="AJ181" s="3"/>
      <c r="AK181" s="3"/>
      <c r="AL181" s="3" t="n">
        <v>0.3</v>
      </c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 t="s">
        <v>568</v>
      </c>
      <c r="BK181" s="3"/>
      <c r="BL181" s="3"/>
      <c r="BM181" s="3"/>
    </row>
    <row r="182" customFormat="false" ht="15" hidden="false" customHeight="false" outlineLevel="0" collapsed="false">
      <c r="A182" s="3" t="s">
        <v>62</v>
      </c>
      <c r="B182" s="3" t="s">
        <v>101</v>
      </c>
      <c r="C182" s="3" t="s">
        <v>603</v>
      </c>
      <c r="D182" s="3" t="s">
        <v>604</v>
      </c>
      <c r="E182" s="3" t="n">
        <v>1</v>
      </c>
      <c r="F182" s="6" t="n">
        <f aca="false">H182*Pesos!$B$2+I182*Pesos!$B$3+J182*Pesos!$B$4+K182*Pesos!$B$5+L182*Pesos!$B$6+M182*Pesos!$B$7+N182*Pesos!$B$8+O182*Pesos!$B$9+P182*Pesos!$B$10+Q182*Pesos!$B$11+R182*Pesos!$B$12+S182*Pesos!$B$13+T182*Pesos!$B$14+U182*Pesos!$B$15+V182*Pesos!$B$16+W182*Pesos!$B$17+X182*Pesos!$B$18+Y182*Pesos!$B$19+Z182*Pesos!$B$20+AA182*Pesos!$B$21+AB182*Pesos!$B$22+AC182*Pesos!$B$23+AD182*Pesos!$B$24+AE182*Pesos!$B$25+AF182*Pesos!$B$26+AG182*Pesos!$B$27+AH182*Pesos!$B$28+AI182*Pesos!$B$29+AJ182*Pesos!$B$30+AK182*Pesos!$B$31+AL182*Pesos!$B$32+AM182*Pesos!$B$33+AN182*Pesos!$B$34+AO182*Pesos!$B$35+AP182*Pesos!$B$36+AQ182*Pesos!$B$37+AR182*Pesos!$B$38+AS182*Pesos!$B$39+AT182*Pesos!$B$40+AU182*Pesos!$B$41+AV182*Pesos!$B$42+AW182*Pesos!$B$43+AX182*Pesos!$B$44+AY182*Pesos!$B$45+AZ182*Pesos!$B$46+BA182*Pesos!$B$47+BB182*Pesos!$B$48+BC182*Pesos!$B$49+BD182*Pesos!$B$50+BE182*Pesos!$B$51+BF182*Pesos!$B$52+BG182*Pesos!$B$53</f>
        <v>120</v>
      </c>
      <c r="G182" s="6" t="n">
        <f aca="false">E182*F182</f>
        <v>120</v>
      </c>
      <c r="H182" s="3" t="n">
        <v>49</v>
      </c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 t="n">
        <v>2</v>
      </c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customFormat="false" ht="15" hidden="false" customHeight="false" outlineLevel="0" collapsed="false">
      <c r="A183" s="3" t="s">
        <v>62</v>
      </c>
      <c r="B183" s="3" t="s">
        <v>101</v>
      </c>
      <c r="C183" s="3" t="s">
        <v>605</v>
      </c>
      <c r="D183" s="3" t="s">
        <v>606</v>
      </c>
      <c r="E183" s="3" t="n">
        <v>1</v>
      </c>
      <c r="F183" s="6" t="n">
        <f aca="false">H183*Pesos!$B$2+I183*Pesos!$B$3+J183*Pesos!$B$4+K183*Pesos!$B$5+L183*Pesos!$B$6+M183*Pesos!$B$7+N183*Pesos!$B$8+O183*Pesos!$B$9+P183*Pesos!$B$10+Q183*Pesos!$B$11+R183*Pesos!$B$12+S183*Pesos!$B$13+T183*Pesos!$B$14+U183*Pesos!$B$15+V183*Pesos!$B$16+W183*Pesos!$B$17+X183*Pesos!$B$18+Y183*Pesos!$B$19+Z183*Pesos!$B$20+AA183*Pesos!$B$21+AB183*Pesos!$B$22+AC183*Pesos!$B$23+AD183*Pesos!$B$24+AE183*Pesos!$B$25+AF183*Pesos!$B$26+AG183*Pesos!$B$27+AH183*Pesos!$B$28+AI183*Pesos!$B$29+AJ183*Pesos!$B$30+AK183*Pesos!$B$31+AL183*Pesos!$B$32+AM183*Pesos!$B$33+AN183*Pesos!$B$34+AO183*Pesos!$B$35+AP183*Pesos!$B$36+AQ183*Pesos!$B$37+AR183*Pesos!$B$38+AS183*Pesos!$B$39+AT183*Pesos!$B$40+AU183*Pesos!$B$41+AV183*Pesos!$B$42+AW183*Pesos!$B$43+AX183*Pesos!$B$44+AY183*Pesos!$B$45+AZ183*Pesos!$B$46+BA183*Pesos!$B$47+BB183*Pesos!$B$48+BC183*Pesos!$B$49+BD183*Pesos!$B$50+BE183*Pesos!$B$51+BF183*Pesos!$B$52+BG183*Pesos!$B$53</f>
        <v>300</v>
      </c>
      <c r="G183" s="6" t="n">
        <f aca="false">E183*F183</f>
        <v>300</v>
      </c>
      <c r="H183" s="3" t="n">
        <v>105</v>
      </c>
      <c r="I183" s="3"/>
      <c r="J183" s="3"/>
      <c r="K183" s="3"/>
      <c r="L183" s="3"/>
      <c r="M183" s="3"/>
      <c r="N183" s="3"/>
      <c r="O183" s="3"/>
      <c r="P183" s="3" t="n">
        <v>1</v>
      </c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customFormat="false" ht="15" hidden="false" customHeight="false" outlineLevel="0" collapsed="false">
      <c r="A184" s="3" t="s">
        <v>62</v>
      </c>
      <c r="B184" s="3" t="s">
        <v>102</v>
      </c>
      <c r="C184" s="3" t="s">
        <v>607</v>
      </c>
      <c r="D184" s="3" t="s">
        <v>608</v>
      </c>
      <c r="E184" s="3" t="n">
        <v>1</v>
      </c>
      <c r="F184" s="6" t="n">
        <f aca="false">H184*Pesos!$B$2+I184*Pesos!$B$3+J184*Pesos!$B$4+K184*Pesos!$B$5+L184*Pesos!$B$6+M184*Pesos!$B$7+N184*Pesos!$B$8+O184*Pesos!$B$9+P184*Pesos!$B$10+Q184*Pesos!$B$11+R184*Pesos!$B$12+S184*Pesos!$B$13+T184*Pesos!$B$14+U184*Pesos!$B$15+V184*Pesos!$B$16+W184*Pesos!$B$17+X184*Pesos!$B$18+Y184*Pesos!$B$19+Z184*Pesos!$B$20+AA184*Pesos!$B$21+AB184*Pesos!$B$22+AC184*Pesos!$B$23+AD184*Pesos!$B$24+AE184*Pesos!$B$25+AF184*Pesos!$B$26+AG184*Pesos!$B$27+AH184*Pesos!$B$28+AI184*Pesos!$B$29+AJ184*Pesos!$B$30+AK184*Pesos!$B$31+AL184*Pesos!$B$32+AM184*Pesos!$B$33+AN184*Pesos!$B$34+AO184*Pesos!$B$35+AP184*Pesos!$B$36+AQ184*Pesos!$B$37+AR184*Pesos!$B$38+AS184*Pesos!$B$39+AT184*Pesos!$B$40+AU184*Pesos!$B$41+AV184*Pesos!$B$42+AW184*Pesos!$B$43+AX184*Pesos!$B$44+AY184*Pesos!$B$45+AZ184*Pesos!$B$46+BA184*Pesos!$B$47+BB184*Pesos!$B$48+BC184*Pesos!$B$49+BD184*Pesos!$B$50+BE184*Pesos!$B$51+BF184*Pesos!$B$52+BG184*Pesos!$B$53</f>
        <v>25</v>
      </c>
      <c r="G184" s="6" t="n">
        <f aca="false">E184*F184</f>
        <v>25</v>
      </c>
      <c r="H184" s="3" t="n">
        <v>49</v>
      </c>
      <c r="I184" s="3"/>
      <c r="J184" s="3"/>
      <c r="K184" s="3"/>
      <c r="L184" s="3"/>
      <c r="M184" s="3"/>
      <c r="N184" s="3"/>
      <c r="O184" s="3"/>
      <c r="P184" s="3"/>
      <c r="Q184" s="3" t="n">
        <v>1</v>
      </c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customFormat="false" ht="15" hidden="false" customHeight="false" outlineLevel="0" collapsed="false">
      <c r="A185" s="3" t="s">
        <v>62</v>
      </c>
      <c r="B185" s="3" t="s">
        <v>102</v>
      </c>
      <c r="C185" s="3" t="s">
        <v>609</v>
      </c>
      <c r="D185" s="3" t="s">
        <v>610</v>
      </c>
      <c r="E185" s="3" t="n">
        <v>1</v>
      </c>
      <c r="F185" s="6" t="n">
        <f aca="false">H185*Pesos!$B$2+I185*Pesos!$B$3+J185*Pesos!$B$4+K185*Pesos!$B$5+L185*Pesos!$B$6+M185*Pesos!$B$7+N185*Pesos!$B$8+O185*Pesos!$B$9+P185*Pesos!$B$10+Q185*Pesos!$B$11+R185*Pesos!$B$12+S185*Pesos!$B$13+T185*Pesos!$B$14+U185*Pesos!$B$15+V185*Pesos!$B$16+W185*Pesos!$B$17+X185*Pesos!$B$18+Y185*Pesos!$B$19+Z185*Pesos!$B$20+AA185*Pesos!$B$21+AB185*Pesos!$B$22+AC185*Pesos!$B$23+AD185*Pesos!$B$24+AE185*Pesos!$B$25+AF185*Pesos!$B$26+AG185*Pesos!$B$27+AH185*Pesos!$B$28+AI185*Pesos!$B$29+AJ185*Pesos!$B$30+AK185*Pesos!$B$31+AL185*Pesos!$B$32+AM185*Pesos!$B$33+AN185*Pesos!$B$34+AO185*Pesos!$B$35+AP185*Pesos!$B$36+AQ185*Pesos!$B$37+AR185*Pesos!$B$38+AS185*Pesos!$B$39+AT185*Pesos!$B$40+AU185*Pesos!$B$41+AV185*Pesos!$B$42+AW185*Pesos!$B$43+AX185*Pesos!$B$44+AY185*Pesos!$B$45+AZ185*Pesos!$B$46+BA185*Pesos!$B$47+BB185*Pesos!$B$48+BC185*Pesos!$B$49+BD185*Pesos!$B$50+BE185*Pesos!$B$51+BF185*Pesos!$B$52+BG185*Pesos!$B$53</f>
        <v>200</v>
      </c>
      <c r="G185" s="6" t="n">
        <f aca="false">E185*F185</f>
        <v>200</v>
      </c>
      <c r="H185" s="3" t="n">
        <v>49</v>
      </c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 t="n">
        <v>5</v>
      </c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 t="n">
        <v>13</v>
      </c>
      <c r="AT185" s="3"/>
      <c r="AU185" s="3"/>
      <c r="AV185" s="3" t="n">
        <v>10</v>
      </c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 t="s">
        <v>611</v>
      </c>
      <c r="BI185" s="3"/>
      <c r="BJ185" s="3"/>
      <c r="BK185" s="3"/>
      <c r="BL185" s="3"/>
      <c r="BM185" s="3"/>
    </row>
    <row r="186" customFormat="false" ht="15" hidden="false" customHeight="false" outlineLevel="0" collapsed="false">
      <c r="A186" s="3" t="s">
        <v>62</v>
      </c>
      <c r="B186" s="3" t="s">
        <v>102</v>
      </c>
      <c r="C186" s="3" t="s">
        <v>612</v>
      </c>
      <c r="D186" s="3" t="s">
        <v>613</v>
      </c>
      <c r="E186" s="3" t="n">
        <v>1</v>
      </c>
      <c r="F186" s="6" t="n">
        <f aca="false">H186*Pesos!$B$2+I186*Pesos!$B$3+J186*Pesos!$B$4+K186*Pesos!$B$5+L186*Pesos!$B$6+M186*Pesos!$B$7+N186*Pesos!$B$8+O186*Pesos!$B$9+P186*Pesos!$B$10+Q186*Pesos!$B$11+R186*Pesos!$B$12+S186*Pesos!$B$13+T186*Pesos!$B$14+U186*Pesos!$B$15+V186*Pesos!$B$16+W186*Pesos!$B$17+X186*Pesos!$B$18+Y186*Pesos!$B$19+Z186*Pesos!$B$20+AA186*Pesos!$B$21+AB186*Pesos!$B$22+AC186*Pesos!$B$23+AD186*Pesos!$B$24+AE186*Pesos!$B$25+AF186*Pesos!$B$26+AG186*Pesos!$B$27+AH186*Pesos!$B$28+AI186*Pesos!$B$29+AJ186*Pesos!$B$30+AK186*Pesos!$B$31+AL186*Pesos!$B$32+AM186*Pesos!$B$33+AN186*Pesos!$B$34+AO186*Pesos!$B$35+AP186*Pesos!$B$36+AQ186*Pesos!$B$37+AR186*Pesos!$B$38+AS186*Pesos!$B$39+AT186*Pesos!$B$40+AU186*Pesos!$B$41+AV186*Pesos!$B$42+AW186*Pesos!$B$43+AX186*Pesos!$B$44+AY186*Pesos!$B$45+AZ186*Pesos!$B$46+BA186*Pesos!$B$47+BB186*Pesos!$B$48+BC186*Pesos!$B$49+BD186*Pesos!$B$50+BE186*Pesos!$B$51+BF186*Pesos!$B$52+BG186*Pesos!$B$53</f>
        <v>169.4</v>
      </c>
      <c r="G186" s="6" t="n">
        <f aca="false">E186*F186</f>
        <v>169.4</v>
      </c>
      <c r="H186" s="3" t="n">
        <v>63</v>
      </c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 t="n">
        <v>2</v>
      </c>
      <c r="T186" s="3"/>
      <c r="U186" s="3"/>
      <c r="V186" s="3"/>
      <c r="W186" s="3"/>
      <c r="X186" s="3"/>
      <c r="Y186" s="3"/>
      <c r="Z186" s="3"/>
      <c r="AA186" s="3" t="n">
        <v>-0.02</v>
      </c>
      <c r="AB186" s="3" t="n">
        <v>-0.3</v>
      </c>
      <c r="AC186" s="3"/>
      <c r="AD186" s="3"/>
      <c r="AE186" s="3"/>
      <c r="AF186" s="3"/>
      <c r="AG186" s="3" t="n">
        <v>1.2</v>
      </c>
      <c r="AH186" s="3"/>
      <c r="AI186" s="3"/>
      <c r="AJ186" s="3"/>
      <c r="AK186" s="3"/>
      <c r="AL186" s="3" t="n">
        <v>0.3</v>
      </c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 t="s">
        <v>597</v>
      </c>
      <c r="BK186" s="3"/>
      <c r="BL186" s="3"/>
      <c r="BM186" s="3"/>
    </row>
    <row r="187" customFormat="false" ht="15" hidden="false" customHeight="false" outlineLevel="0" collapsed="false">
      <c r="A187" s="3" t="s">
        <v>62</v>
      </c>
      <c r="B187" s="3" t="s">
        <v>102</v>
      </c>
      <c r="C187" s="3" t="s">
        <v>614</v>
      </c>
      <c r="D187" s="3" t="s">
        <v>615</v>
      </c>
      <c r="E187" s="3" t="n">
        <v>1</v>
      </c>
      <c r="F187" s="6" t="n">
        <f aca="false">H187*Pesos!$B$2+I187*Pesos!$B$3+J187*Pesos!$B$4+K187*Pesos!$B$5+L187*Pesos!$B$6+M187*Pesos!$B$7+N187*Pesos!$B$8+O187*Pesos!$B$9+P187*Pesos!$B$10+Q187*Pesos!$B$11+R187*Pesos!$B$12+S187*Pesos!$B$13+T187*Pesos!$B$14+U187*Pesos!$B$15+V187*Pesos!$B$16+W187*Pesos!$B$17+X187*Pesos!$B$18+Y187*Pesos!$B$19+Z187*Pesos!$B$20+AA187*Pesos!$B$21+AB187*Pesos!$B$22+AC187*Pesos!$B$23+AD187*Pesos!$B$24+AE187*Pesos!$B$25+AF187*Pesos!$B$26+AG187*Pesos!$B$27+AH187*Pesos!$B$28+AI187*Pesos!$B$29+AJ187*Pesos!$B$30+AK187*Pesos!$B$31+AL187*Pesos!$B$32+AM187*Pesos!$B$33+AN187*Pesos!$B$34+AO187*Pesos!$B$35+AP187*Pesos!$B$36+AQ187*Pesos!$B$37+AR187*Pesos!$B$38+AS187*Pesos!$B$39+AT187*Pesos!$B$40+AU187*Pesos!$B$41+AV187*Pesos!$B$42+AW187*Pesos!$B$43+AX187*Pesos!$B$44+AY187*Pesos!$B$45+AZ187*Pesos!$B$46+BA187*Pesos!$B$47+BB187*Pesos!$B$48+BC187*Pesos!$B$49+BD187*Pesos!$B$50+BE187*Pesos!$B$51+BF187*Pesos!$B$52+BG187*Pesos!$B$53</f>
        <v>200</v>
      </c>
      <c r="G187" s="6" t="n">
        <f aca="false">E187*F187</f>
        <v>200</v>
      </c>
      <c r="H187" s="3" t="n">
        <v>49</v>
      </c>
      <c r="I187" s="3"/>
      <c r="J187" s="3"/>
      <c r="K187" s="3"/>
      <c r="L187" s="3" t="n">
        <v>100000</v>
      </c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customFormat="false" ht="15" hidden="false" customHeight="false" outlineLevel="0" collapsed="false">
      <c r="A188" s="3" t="s">
        <v>62</v>
      </c>
      <c r="B188" s="3" t="s">
        <v>102</v>
      </c>
      <c r="C188" s="3" t="s">
        <v>616</v>
      </c>
      <c r="D188" s="3" t="s">
        <v>617</v>
      </c>
      <c r="E188" s="3" t="n">
        <v>1</v>
      </c>
      <c r="F188" s="6" t="n">
        <f aca="false">H188*Pesos!$B$2+I188*Pesos!$B$3+J188*Pesos!$B$4+K188*Pesos!$B$5+L188*Pesos!$B$6+M188*Pesos!$B$7+N188*Pesos!$B$8+O188*Pesos!$B$9+P188*Pesos!$B$10+Q188*Pesos!$B$11+R188*Pesos!$B$12+S188*Pesos!$B$13+T188*Pesos!$B$14+U188*Pesos!$B$15+V188*Pesos!$B$16+W188*Pesos!$B$17+X188*Pesos!$B$18+Y188*Pesos!$B$19+Z188*Pesos!$B$20+AA188*Pesos!$B$21+AB188*Pesos!$B$22+AC188*Pesos!$B$23+AD188*Pesos!$B$24+AE188*Pesos!$B$25+AF188*Pesos!$B$26+AG188*Pesos!$B$27+AH188*Pesos!$B$28+AI188*Pesos!$B$29+AJ188*Pesos!$B$30+AK188*Pesos!$B$31+AL188*Pesos!$B$32+AM188*Pesos!$B$33+AN188*Pesos!$B$34+AO188*Pesos!$B$35+AP188*Pesos!$B$36+AQ188*Pesos!$B$37+AR188*Pesos!$B$38+AS188*Pesos!$B$39+AT188*Pesos!$B$40+AU188*Pesos!$B$41+AV188*Pesos!$B$42+AW188*Pesos!$B$43+AX188*Pesos!$B$44+AY188*Pesos!$B$45+AZ188*Pesos!$B$46+BA188*Pesos!$B$47+BB188*Pesos!$B$48+BC188*Pesos!$B$49+BD188*Pesos!$B$50+BE188*Pesos!$B$51+BF188*Pesos!$B$52+BG188*Pesos!$B$53</f>
        <v>270</v>
      </c>
      <c r="G188" s="6" t="n">
        <f aca="false">E188*F188</f>
        <v>270</v>
      </c>
      <c r="H188" s="3" t="n">
        <v>63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 t="n">
        <v>10</v>
      </c>
      <c r="AR188" s="3" t="n">
        <v>10</v>
      </c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 t="s">
        <v>617</v>
      </c>
      <c r="BI188" s="3"/>
      <c r="BJ188" s="3"/>
      <c r="BK188" s="3"/>
      <c r="BL188" s="3"/>
      <c r="BM188" s="3"/>
    </row>
    <row r="189" customFormat="false" ht="15" hidden="false" customHeight="false" outlineLevel="0" collapsed="false">
      <c r="A189" s="3" t="s">
        <v>62</v>
      </c>
      <c r="B189" s="3" t="s">
        <v>102</v>
      </c>
      <c r="C189" s="3" t="s">
        <v>618</v>
      </c>
      <c r="D189" s="3" t="s">
        <v>619</v>
      </c>
      <c r="E189" s="3" t="n">
        <v>1</v>
      </c>
      <c r="F189" s="6" t="n">
        <f aca="false">H189*Pesos!$B$2+I189*Pesos!$B$3+J189*Pesos!$B$4+K189*Pesos!$B$5+L189*Pesos!$B$6+M189*Pesos!$B$7+N189*Pesos!$B$8+O189*Pesos!$B$9+P189*Pesos!$B$10+Q189*Pesos!$B$11+R189*Pesos!$B$12+S189*Pesos!$B$13+T189*Pesos!$B$14+U189*Pesos!$B$15+V189*Pesos!$B$16+W189*Pesos!$B$17+X189*Pesos!$B$18+Y189*Pesos!$B$19+Z189*Pesos!$B$20+AA189*Pesos!$B$21+AB189*Pesos!$B$22+AC189*Pesos!$B$23+AD189*Pesos!$B$24+AE189*Pesos!$B$25+AF189*Pesos!$B$26+AG189*Pesos!$B$27+AH189*Pesos!$B$28+AI189*Pesos!$B$29+AJ189*Pesos!$B$30+AK189*Pesos!$B$31+AL189*Pesos!$B$32+AM189*Pesos!$B$33+AN189*Pesos!$B$34+AO189*Pesos!$B$35+AP189*Pesos!$B$36+AQ189*Pesos!$B$37+AR189*Pesos!$B$38+AS189*Pesos!$B$39+AT189*Pesos!$B$40+AU189*Pesos!$B$41+AV189*Pesos!$B$42+AW189*Pesos!$B$43+AX189*Pesos!$B$44+AY189*Pesos!$B$45+AZ189*Pesos!$B$46+BA189*Pesos!$B$47+BB189*Pesos!$B$48+BC189*Pesos!$B$49+BD189*Pesos!$B$50+BE189*Pesos!$B$51+BF189*Pesos!$B$52+BG189*Pesos!$B$53</f>
        <v>100</v>
      </c>
      <c r="G189" s="6" t="n">
        <f aca="false">E189*F189</f>
        <v>100</v>
      </c>
      <c r="H189" s="3" t="n">
        <v>84</v>
      </c>
      <c r="I189" s="3"/>
      <c r="J189" s="3"/>
      <c r="K189" s="3"/>
      <c r="L189" s="3"/>
      <c r="M189" s="3" t="n">
        <v>50</v>
      </c>
      <c r="N189" s="3"/>
      <c r="O189" s="3"/>
      <c r="P189" s="3"/>
      <c r="Q189" s="3" t="n">
        <v>2</v>
      </c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customFormat="false" ht="15" hidden="false" customHeight="false" outlineLevel="0" collapsed="false">
      <c r="A190" s="3" t="s">
        <v>62</v>
      </c>
      <c r="B190" s="3" t="s">
        <v>103</v>
      </c>
      <c r="C190" s="3" t="s">
        <v>620</v>
      </c>
      <c r="D190" s="3" t="s">
        <v>621</v>
      </c>
      <c r="E190" s="3" t="n">
        <v>1</v>
      </c>
      <c r="F190" s="6" t="n">
        <f aca="false">H190*Pesos!$B$2+I190*Pesos!$B$3+J190*Pesos!$B$4+K190*Pesos!$B$5+L190*Pesos!$B$6+M190*Pesos!$B$7+N190*Pesos!$B$8+O190*Pesos!$B$9+P190*Pesos!$B$10+Q190*Pesos!$B$11+R190*Pesos!$B$12+S190*Pesos!$B$13+T190*Pesos!$B$14+U190*Pesos!$B$15+V190*Pesos!$B$16+W190*Pesos!$B$17+X190*Pesos!$B$18+Y190*Pesos!$B$19+Z190*Pesos!$B$20+AA190*Pesos!$B$21+AB190*Pesos!$B$22+AC190*Pesos!$B$23+AD190*Pesos!$B$24+AE190*Pesos!$B$25+AF190*Pesos!$B$26+AG190*Pesos!$B$27+AH190*Pesos!$B$28+AI190*Pesos!$B$29+AJ190*Pesos!$B$30+AK190*Pesos!$B$31+AL190*Pesos!$B$32+AM190*Pesos!$B$33+AN190*Pesos!$B$34+AO190*Pesos!$B$35+AP190*Pesos!$B$36+AQ190*Pesos!$B$37+AR190*Pesos!$B$38+AS190*Pesos!$B$39+AT190*Pesos!$B$40+AU190*Pesos!$B$41+AV190*Pesos!$B$42+AW190*Pesos!$B$43+AX190*Pesos!$B$44+AY190*Pesos!$B$45+AZ190*Pesos!$B$46+BA190*Pesos!$B$47+BB190*Pesos!$B$48+BC190*Pesos!$B$49+BD190*Pesos!$B$50+BE190*Pesos!$B$51+BF190*Pesos!$B$52+BG190*Pesos!$B$53</f>
        <v>120</v>
      </c>
      <c r="G190" s="6" t="n">
        <f aca="false">E190*F190</f>
        <v>120</v>
      </c>
      <c r="H190" s="3" t="n">
        <v>49</v>
      </c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 t="n">
        <v>2</v>
      </c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customFormat="false" ht="15" hidden="false" customHeight="false" outlineLevel="0" collapsed="false">
      <c r="A191" s="3" t="s">
        <v>62</v>
      </c>
      <c r="B191" s="3" t="s">
        <v>103</v>
      </c>
      <c r="C191" s="3" t="s">
        <v>622</v>
      </c>
      <c r="D191" s="3" t="s">
        <v>623</v>
      </c>
      <c r="E191" s="3" t="n">
        <v>1</v>
      </c>
      <c r="F191" s="6" t="n">
        <f aca="false">H191*Pesos!$B$2+I191*Pesos!$B$3+J191*Pesos!$B$4+K191*Pesos!$B$5+L191*Pesos!$B$6+M191*Pesos!$B$7+N191*Pesos!$B$8+O191*Pesos!$B$9+P191*Pesos!$B$10+Q191*Pesos!$B$11+R191*Pesos!$B$12+S191*Pesos!$B$13+T191*Pesos!$B$14+U191*Pesos!$B$15+V191*Pesos!$B$16+W191*Pesos!$B$17+X191*Pesos!$B$18+Y191*Pesos!$B$19+Z191*Pesos!$B$20+AA191*Pesos!$B$21+AB191*Pesos!$B$22+AC191*Pesos!$B$23+AD191*Pesos!$B$24+AE191*Pesos!$B$25+AF191*Pesos!$B$26+AG191*Pesos!$B$27+AH191*Pesos!$B$28+AI191*Pesos!$B$29+AJ191*Pesos!$B$30+AK191*Pesos!$B$31+AL191*Pesos!$B$32+AM191*Pesos!$B$33+AN191*Pesos!$B$34+AO191*Pesos!$B$35+AP191*Pesos!$B$36+AQ191*Pesos!$B$37+AR191*Pesos!$B$38+AS191*Pesos!$B$39+AT191*Pesos!$B$40+AU191*Pesos!$B$41+AV191*Pesos!$B$42+AW191*Pesos!$B$43+AX191*Pesos!$B$44+AY191*Pesos!$B$45+AZ191*Pesos!$B$46+BA191*Pesos!$B$47+BB191*Pesos!$B$48+BC191*Pesos!$B$49+BD191*Pesos!$B$50+BE191*Pesos!$B$51+BF191*Pesos!$B$52+BG191*Pesos!$B$53</f>
        <v>25</v>
      </c>
      <c r="G191" s="6" t="n">
        <f aca="false">E191*F191</f>
        <v>25</v>
      </c>
      <c r="H191" s="3" t="n">
        <v>49</v>
      </c>
      <c r="I191" s="3"/>
      <c r="J191" s="3"/>
      <c r="K191" s="3"/>
      <c r="L191" s="3"/>
      <c r="M191" s="3"/>
      <c r="N191" s="3"/>
      <c r="O191" s="3"/>
      <c r="P191" s="3"/>
      <c r="Q191" s="3" t="n">
        <v>1</v>
      </c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customFormat="false" ht="15" hidden="false" customHeight="false" outlineLevel="0" collapsed="false">
      <c r="A192" s="3" t="s">
        <v>62</v>
      </c>
      <c r="B192" s="3" t="s">
        <v>103</v>
      </c>
      <c r="C192" s="3" t="s">
        <v>624</v>
      </c>
      <c r="D192" s="3" t="s">
        <v>625</v>
      </c>
      <c r="E192" s="3" t="n">
        <v>1</v>
      </c>
      <c r="F192" s="6" t="n">
        <f aca="false">H192*Pesos!$B$2+I192*Pesos!$B$3+J192*Pesos!$B$4+K192*Pesos!$B$5+L192*Pesos!$B$6+M192*Pesos!$B$7+N192*Pesos!$B$8+O192*Pesos!$B$9+P192*Pesos!$B$10+Q192*Pesos!$B$11+R192*Pesos!$B$12+S192*Pesos!$B$13+T192*Pesos!$B$14+U192*Pesos!$B$15+V192*Pesos!$B$16+W192*Pesos!$B$17+X192*Pesos!$B$18+Y192*Pesos!$B$19+Z192*Pesos!$B$20+AA192*Pesos!$B$21+AB192*Pesos!$B$22+AC192*Pesos!$B$23+AD192*Pesos!$B$24+AE192*Pesos!$B$25+AF192*Pesos!$B$26+AG192*Pesos!$B$27+AH192*Pesos!$B$28+AI192*Pesos!$B$29+AJ192*Pesos!$B$30+AK192*Pesos!$B$31+AL192*Pesos!$B$32+AM192*Pesos!$B$33+AN192*Pesos!$B$34+AO192*Pesos!$B$35+AP192*Pesos!$B$36+AQ192*Pesos!$B$37+AR192*Pesos!$B$38+AS192*Pesos!$B$39+AT192*Pesos!$B$40+AU192*Pesos!$B$41+AV192*Pesos!$B$42+AW192*Pesos!$B$43+AX192*Pesos!$B$44+AY192*Pesos!$B$45+AZ192*Pesos!$B$46+BA192*Pesos!$B$47+BB192*Pesos!$B$48+BC192*Pesos!$B$49+BD192*Pesos!$B$50+BE192*Pesos!$B$51+BF192*Pesos!$B$52+BG192*Pesos!$B$53</f>
        <v>50</v>
      </c>
      <c r="G192" s="6" t="n">
        <f aca="false">E192*F192</f>
        <v>50</v>
      </c>
      <c r="H192" s="3" t="n">
        <v>49</v>
      </c>
      <c r="I192" s="3"/>
      <c r="J192" s="3"/>
      <c r="K192" s="3"/>
      <c r="L192" s="3"/>
      <c r="M192" s="3"/>
      <c r="N192" s="3" t="n">
        <v>50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customFormat="false" ht="15" hidden="false" customHeight="false" outlineLevel="0" collapsed="false">
      <c r="A193" s="3" t="s">
        <v>62</v>
      </c>
      <c r="B193" s="3" t="s">
        <v>103</v>
      </c>
      <c r="C193" s="3" t="s">
        <v>626</v>
      </c>
      <c r="D193" s="3" t="s">
        <v>627</v>
      </c>
      <c r="E193" s="3" t="n">
        <v>1</v>
      </c>
      <c r="F193" s="6" t="n">
        <f aca="false">H193*Pesos!$B$2+I193*Pesos!$B$3+J193*Pesos!$B$4+K193*Pesos!$B$5+L193*Pesos!$B$6+M193*Pesos!$B$7+N193*Pesos!$B$8+O193*Pesos!$B$9+P193*Pesos!$B$10+Q193*Pesos!$B$11+R193*Pesos!$B$12+S193*Pesos!$B$13+T193*Pesos!$B$14+U193*Pesos!$B$15+V193*Pesos!$B$16+W193*Pesos!$B$17+X193*Pesos!$B$18+Y193*Pesos!$B$19+Z193*Pesos!$B$20+AA193*Pesos!$B$21+AB193*Pesos!$B$22+AC193*Pesos!$B$23+AD193*Pesos!$B$24+AE193*Pesos!$B$25+AF193*Pesos!$B$26+AG193*Pesos!$B$27+AH193*Pesos!$B$28+AI193*Pesos!$B$29+AJ193*Pesos!$B$30+AK193*Pesos!$B$31+AL193*Pesos!$B$32+AM193*Pesos!$B$33+AN193*Pesos!$B$34+AO193*Pesos!$B$35+AP193*Pesos!$B$36+AQ193*Pesos!$B$37+AR193*Pesos!$B$38+AS193*Pesos!$B$39+AT193*Pesos!$B$40+AU193*Pesos!$B$41+AV193*Pesos!$B$42+AW193*Pesos!$B$43+AX193*Pesos!$B$44+AY193*Pesos!$B$45+AZ193*Pesos!$B$46+BA193*Pesos!$B$47+BB193*Pesos!$B$48+BC193*Pesos!$B$49+BD193*Pesos!$B$50+BE193*Pesos!$B$51+BF193*Pesos!$B$52+BG193*Pesos!$B$53</f>
        <v>110</v>
      </c>
      <c r="G193" s="6" t="n">
        <f aca="false">E193*F193</f>
        <v>110</v>
      </c>
      <c r="H193" s="3" t="n">
        <v>63</v>
      </c>
      <c r="I193" s="3"/>
      <c r="J193" s="3"/>
      <c r="K193" s="3"/>
      <c r="L193" s="3"/>
      <c r="M193" s="3"/>
      <c r="N193" s="3"/>
      <c r="O193" s="3"/>
      <c r="P193" s="3"/>
      <c r="Q193" s="3" t="n">
        <v>2</v>
      </c>
      <c r="R193" s="3"/>
      <c r="S193" s="3"/>
      <c r="T193" s="3"/>
      <c r="U193" s="3"/>
      <c r="V193" s="3"/>
      <c r="W193" s="3"/>
      <c r="X193" s="3"/>
      <c r="Y193" s="3" t="n">
        <v>120</v>
      </c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customFormat="false" ht="15" hidden="false" customHeight="false" outlineLevel="0" collapsed="false">
      <c r="A194" s="3" t="s">
        <v>62</v>
      </c>
      <c r="B194" s="3" t="s">
        <v>103</v>
      </c>
      <c r="C194" s="3" t="s">
        <v>628</v>
      </c>
      <c r="D194" s="3" t="s">
        <v>629</v>
      </c>
      <c r="E194" s="3" t="n">
        <v>1</v>
      </c>
      <c r="F194" s="6" t="n">
        <f aca="false">H194*Pesos!$B$2+I194*Pesos!$B$3+J194*Pesos!$B$4+K194*Pesos!$B$5+L194*Pesos!$B$6+M194*Pesos!$B$7+N194*Pesos!$B$8+O194*Pesos!$B$9+P194*Pesos!$B$10+Q194*Pesos!$B$11+R194*Pesos!$B$12+S194*Pesos!$B$13+T194*Pesos!$B$14+U194*Pesos!$B$15+V194*Pesos!$B$16+W194*Pesos!$B$17+X194*Pesos!$B$18+Y194*Pesos!$B$19+Z194*Pesos!$B$20+AA194*Pesos!$B$21+AB194*Pesos!$B$22+AC194*Pesos!$B$23+AD194*Pesos!$B$24+AE194*Pesos!$B$25+AF194*Pesos!$B$26+AG194*Pesos!$B$27+AH194*Pesos!$B$28+AI194*Pesos!$B$29+AJ194*Pesos!$B$30+AK194*Pesos!$B$31+AL194*Pesos!$B$32+AM194*Pesos!$B$33+AN194*Pesos!$B$34+AO194*Pesos!$B$35+AP194*Pesos!$B$36+AQ194*Pesos!$B$37+AR194*Pesos!$B$38+AS194*Pesos!$B$39+AT194*Pesos!$B$40+AU194*Pesos!$B$41+AV194*Pesos!$B$42+AW194*Pesos!$B$43+AX194*Pesos!$B$44+AY194*Pesos!$B$45+AZ194*Pesos!$B$46+BA194*Pesos!$B$47+BB194*Pesos!$B$48+BC194*Pesos!$B$49+BD194*Pesos!$B$50+BE194*Pesos!$B$51+BF194*Pesos!$B$52+BG194*Pesos!$B$53</f>
        <v>180</v>
      </c>
      <c r="G194" s="6" t="n">
        <f aca="false">E194*F194</f>
        <v>180</v>
      </c>
      <c r="H194" s="3" t="n">
        <v>84</v>
      </c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 t="n">
        <v>3</v>
      </c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customFormat="false" ht="15" hidden="false" customHeight="false" outlineLevel="0" collapsed="false">
      <c r="A195" s="3" t="s">
        <v>62</v>
      </c>
      <c r="B195" s="3" t="s">
        <v>103</v>
      </c>
      <c r="C195" s="3" t="s">
        <v>630</v>
      </c>
      <c r="D195" s="3" t="s">
        <v>631</v>
      </c>
      <c r="E195" s="3" t="n">
        <v>1</v>
      </c>
      <c r="F195" s="6" t="n">
        <f aca="false">H195*Pesos!$B$2+I195*Pesos!$B$3+J195*Pesos!$B$4+K195*Pesos!$B$5+L195*Pesos!$B$6+M195*Pesos!$B$7+N195*Pesos!$B$8+O195*Pesos!$B$9+P195*Pesos!$B$10+Q195*Pesos!$B$11+R195*Pesos!$B$12+S195*Pesos!$B$13+T195*Pesos!$B$14+U195*Pesos!$B$15+V195*Pesos!$B$16+W195*Pesos!$B$17+X195*Pesos!$B$18+Y195*Pesos!$B$19+Z195*Pesos!$B$20+AA195*Pesos!$B$21+AB195*Pesos!$B$22+AC195*Pesos!$B$23+AD195*Pesos!$B$24+AE195*Pesos!$B$25+AF195*Pesos!$B$26+AG195*Pesos!$B$27+AH195*Pesos!$B$28+AI195*Pesos!$B$29+AJ195*Pesos!$B$30+AK195*Pesos!$B$31+AL195*Pesos!$B$32+AM195*Pesos!$B$33+AN195*Pesos!$B$34+AO195*Pesos!$B$35+AP195*Pesos!$B$36+AQ195*Pesos!$B$37+AR195*Pesos!$B$38+AS195*Pesos!$B$39+AT195*Pesos!$B$40+AU195*Pesos!$B$41+AV195*Pesos!$B$42+AW195*Pesos!$B$43+AX195*Pesos!$B$44+AY195*Pesos!$B$45+AZ195*Pesos!$B$46+BA195*Pesos!$B$47+BB195*Pesos!$B$48+BC195*Pesos!$B$49+BD195*Pesos!$B$50+BE195*Pesos!$B$51+BF195*Pesos!$B$52+BG195*Pesos!$B$53</f>
        <v>265</v>
      </c>
      <c r="G195" s="6" t="n">
        <f aca="false">E195*F195</f>
        <v>265</v>
      </c>
      <c r="H195" s="3" t="n">
        <v>84</v>
      </c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 t="n">
        <v>5</v>
      </c>
      <c r="AD195" s="3"/>
      <c r="AE195" s="3"/>
      <c r="AF195" s="3"/>
      <c r="AG195" s="3"/>
      <c r="AH195" s="3" t="n">
        <v>15</v>
      </c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 t="s">
        <v>632</v>
      </c>
      <c r="BI195" s="3"/>
      <c r="BJ195" s="3"/>
      <c r="BK195" s="3"/>
      <c r="BL195" s="3"/>
      <c r="BM195" s="3"/>
    </row>
    <row r="196" customFormat="false" ht="15" hidden="false" customHeight="false" outlineLevel="0" collapsed="false">
      <c r="A196" s="3" t="s">
        <v>62</v>
      </c>
      <c r="B196" s="3" t="s">
        <v>104</v>
      </c>
      <c r="C196" s="3" t="s">
        <v>633</v>
      </c>
      <c r="D196" s="3" t="s">
        <v>634</v>
      </c>
      <c r="E196" s="3" t="n">
        <v>1</v>
      </c>
      <c r="F196" s="6" t="n">
        <f aca="false">H196*Pesos!$B$2+I196*Pesos!$B$3+J196*Pesos!$B$4+K196*Pesos!$B$5+L196*Pesos!$B$6+M196*Pesos!$B$7+N196*Pesos!$B$8+O196*Pesos!$B$9+P196*Pesos!$B$10+Q196*Pesos!$B$11+R196*Pesos!$B$12+S196*Pesos!$B$13+T196*Pesos!$B$14+U196*Pesos!$B$15+V196*Pesos!$B$16+W196*Pesos!$B$17+X196*Pesos!$B$18+Y196*Pesos!$B$19+Z196*Pesos!$B$20+AA196*Pesos!$B$21+AB196*Pesos!$B$22+AC196*Pesos!$B$23+AD196*Pesos!$B$24+AE196*Pesos!$B$25+AF196*Pesos!$B$26+AG196*Pesos!$B$27+AH196*Pesos!$B$28+AI196*Pesos!$B$29+AJ196*Pesos!$B$30+AK196*Pesos!$B$31+AL196*Pesos!$B$32+AM196*Pesos!$B$33+AN196*Pesos!$B$34+AO196*Pesos!$B$35+AP196*Pesos!$B$36+AQ196*Pesos!$B$37+AR196*Pesos!$B$38+AS196*Pesos!$B$39+AT196*Pesos!$B$40+AU196*Pesos!$B$41+AV196*Pesos!$B$42+AW196*Pesos!$B$43+AX196*Pesos!$B$44+AY196*Pesos!$B$45+AZ196*Pesos!$B$46+BA196*Pesos!$B$47+BB196*Pesos!$B$48+BC196*Pesos!$B$49+BD196*Pesos!$B$50+BE196*Pesos!$B$51+BF196*Pesos!$B$52+BG196*Pesos!$B$53</f>
        <v>50</v>
      </c>
      <c r="G196" s="6" t="n">
        <f aca="false">E196*F196</f>
        <v>50</v>
      </c>
      <c r="H196" s="3" t="n">
        <v>35</v>
      </c>
      <c r="I196" s="3" t="n">
        <v>50</v>
      </c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customFormat="false" ht="15" hidden="false" customHeight="false" outlineLevel="0" collapsed="false">
      <c r="A197" s="3" t="s">
        <v>62</v>
      </c>
      <c r="B197" s="3" t="s">
        <v>104</v>
      </c>
      <c r="C197" s="3" t="s">
        <v>635</v>
      </c>
      <c r="D197" s="3" t="s">
        <v>636</v>
      </c>
      <c r="E197" s="3" t="n">
        <v>1</v>
      </c>
      <c r="F197" s="6" t="n">
        <f aca="false">H197*Pesos!$B$2+I197*Pesos!$B$3+J197*Pesos!$B$4+K197*Pesos!$B$5+L197*Pesos!$B$6+M197*Pesos!$B$7+N197*Pesos!$B$8+O197*Pesos!$B$9+P197*Pesos!$B$10+Q197*Pesos!$B$11+R197*Pesos!$B$12+S197*Pesos!$B$13+T197*Pesos!$B$14+U197*Pesos!$B$15+V197*Pesos!$B$16+W197*Pesos!$B$17+X197*Pesos!$B$18+Y197*Pesos!$B$19+Z197*Pesos!$B$20+AA197*Pesos!$B$21+AB197*Pesos!$B$22+AC197*Pesos!$B$23+AD197*Pesos!$B$24+AE197*Pesos!$B$25+AF197*Pesos!$B$26+AG197*Pesos!$B$27+AH197*Pesos!$B$28+AI197*Pesos!$B$29+AJ197*Pesos!$B$30+AK197*Pesos!$B$31+AL197*Pesos!$B$32+AM197*Pesos!$B$33+AN197*Pesos!$B$34+AO197*Pesos!$B$35+AP197*Pesos!$B$36+AQ197*Pesos!$B$37+AR197*Pesos!$B$38+AS197*Pesos!$B$39+AT197*Pesos!$B$40+AU197*Pesos!$B$41+AV197*Pesos!$B$42+AW197*Pesos!$B$43+AX197*Pesos!$B$44+AY197*Pesos!$B$45+AZ197*Pesos!$B$46+BA197*Pesos!$B$47+BB197*Pesos!$B$48+BC197*Pesos!$B$49+BD197*Pesos!$B$50+BE197*Pesos!$B$51+BF197*Pesos!$B$52+BG197*Pesos!$B$53</f>
        <v>75.6</v>
      </c>
      <c r="G197" s="6" t="n">
        <f aca="false">E197*F197</f>
        <v>75.6</v>
      </c>
      <c r="H197" s="3" t="n">
        <v>49</v>
      </c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 t="n">
        <v>0.22</v>
      </c>
      <c r="AB197" s="3" t="n">
        <v>6.5</v>
      </c>
      <c r="AC197" s="3"/>
      <c r="AD197" s="3"/>
      <c r="AE197" s="3"/>
      <c r="AF197" s="3"/>
      <c r="AG197" s="3" t="n">
        <v>-6.8</v>
      </c>
      <c r="AH197" s="3"/>
      <c r="AI197" s="3"/>
      <c r="AJ197" s="3"/>
      <c r="AK197" s="3"/>
      <c r="AL197" s="3" t="n">
        <v>-1.8</v>
      </c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 t="s">
        <v>636</v>
      </c>
      <c r="BI197" s="3"/>
      <c r="BJ197" s="3"/>
      <c r="BK197" s="3"/>
      <c r="BL197" s="3"/>
      <c r="BM197" s="3"/>
    </row>
    <row r="198" customFormat="false" ht="15" hidden="false" customHeight="false" outlineLevel="0" collapsed="false">
      <c r="A198" s="3" t="s">
        <v>62</v>
      </c>
      <c r="B198" s="3" t="s">
        <v>104</v>
      </c>
      <c r="C198" s="3" t="s">
        <v>637</v>
      </c>
      <c r="D198" s="3" t="s">
        <v>638</v>
      </c>
      <c r="E198" s="3" t="n">
        <v>0.5</v>
      </c>
      <c r="F198" s="6" t="n">
        <f aca="false">H198*Pesos!$B$2+I198*Pesos!$B$3+J198*Pesos!$B$4+K198*Pesos!$B$5+L198*Pesos!$B$6+M198*Pesos!$B$7+N198*Pesos!$B$8+O198*Pesos!$B$9+P198*Pesos!$B$10+Q198*Pesos!$B$11+R198*Pesos!$B$12+S198*Pesos!$B$13+T198*Pesos!$B$14+U198*Pesos!$B$15+V198*Pesos!$B$16+W198*Pesos!$B$17+X198*Pesos!$B$18+Y198*Pesos!$B$19+Z198*Pesos!$B$20+AA198*Pesos!$B$21+AB198*Pesos!$B$22+AC198*Pesos!$B$23+AD198*Pesos!$B$24+AE198*Pesos!$B$25+AF198*Pesos!$B$26+AG198*Pesos!$B$27+AH198*Pesos!$B$28+AI198*Pesos!$B$29+AJ198*Pesos!$B$30+AK198*Pesos!$B$31+AL198*Pesos!$B$32+AM198*Pesos!$B$33+AN198*Pesos!$B$34+AO198*Pesos!$B$35+AP198*Pesos!$B$36+AQ198*Pesos!$B$37+AR198*Pesos!$B$38+AS198*Pesos!$B$39+AT198*Pesos!$B$40+AU198*Pesos!$B$41+AV198*Pesos!$B$42+AW198*Pesos!$B$43+AX198*Pesos!$B$44+AY198*Pesos!$B$45+AZ198*Pesos!$B$46+BA198*Pesos!$B$47+BB198*Pesos!$B$48+BC198*Pesos!$B$49+BD198*Pesos!$B$50+BE198*Pesos!$B$51+BF198*Pesos!$B$52+BG198*Pesos!$B$53</f>
        <v>161.4</v>
      </c>
      <c r="G198" s="6" t="n">
        <f aca="false">E198*F198</f>
        <v>80.7</v>
      </c>
      <c r="H198" s="3" t="n">
        <v>49</v>
      </c>
      <c r="I198" s="3"/>
      <c r="J198" s="3"/>
      <c r="K198" s="3"/>
      <c r="L198" s="3"/>
      <c r="M198" s="3"/>
      <c r="N198" s="3"/>
      <c r="O198" s="3"/>
      <c r="P198" s="3"/>
      <c r="Q198" s="3"/>
      <c r="R198" s="3" t="n">
        <v>2</v>
      </c>
      <c r="S198" s="3"/>
      <c r="T198" s="3"/>
      <c r="U198" s="3"/>
      <c r="V198" s="3"/>
      <c r="W198" s="3"/>
      <c r="X198" s="3"/>
      <c r="Y198" s="3"/>
      <c r="Z198" s="3"/>
      <c r="AA198" s="3" t="n">
        <v>-0.02</v>
      </c>
      <c r="AB198" s="3" t="n">
        <v>1.2</v>
      </c>
      <c r="AC198" s="3"/>
      <c r="AD198" s="3"/>
      <c r="AE198" s="3"/>
      <c r="AF198" s="3"/>
      <c r="AG198" s="3" t="n">
        <v>-2.4</v>
      </c>
      <c r="AH198" s="3"/>
      <c r="AI198" s="3"/>
      <c r="AJ198" s="3"/>
      <c r="AK198" s="3"/>
      <c r="AL198" s="3" t="n">
        <v>-1.2</v>
      </c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 t="s">
        <v>639</v>
      </c>
      <c r="BK198" s="3"/>
      <c r="BL198" s="3"/>
      <c r="BM198" s="3" t="s">
        <v>640</v>
      </c>
    </row>
    <row r="199" customFormat="false" ht="15" hidden="false" customHeight="false" outlineLevel="0" collapsed="false">
      <c r="A199" s="3" t="s">
        <v>62</v>
      </c>
      <c r="B199" s="3" t="s">
        <v>104</v>
      </c>
      <c r="C199" s="3" t="s">
        <v>640</v>
      </c>
      <c r="D199" s="3" t="s">
        <v>641</v>
      </c>
      <c r="E199" s="3" t="n">
        <v>0.5</v>
      </c>
      <c r="F199" s="6" t="n">
        <f aca="false">H199*Pesos!$B$2+I199*Pesos!$B$3+J199*Pesos!$B$4+K199*Pesos!$B$5+L199*Pesos!$B$6+M199*Pesos!$B$7+N199*Pesos!$B$8+O199*Pesos!$B$9+P199*Pesos!$B$10+Q199*Pesos!$B$11+R199*Pesos!$B$12+S199*Pesos!$B$13+T199*Pesos!$B$14+U199*Pesos!$B$15+V199*Pesos!$B$16+W199*Pesos!$B$17+X199*Pesos!$B$18+Y199*Pesos!$B$19+Z199*Pesos!$B$20+AA199*Pesos!$B$21+AB199*Pesos!$B$22+AC199*Pesos!$B$23+AD199*Pesos!$B$24+AE199*Pesos!$B$25+AF199*Pesos!$B$26+AG199*Pesos!$B$27+AH199*Pesos!$B$28+AI199*Pesos!$B$29+AJ199*Pesos!$B$30+AK199*Pesos!$B$31+AL199*Pesos!$B$32+AM199*Pesos!$B$33+AN199*Pesos!$B$34+AO199*Pesos!$B$35+AP199*Pesos!$B$36+AQ199*Pesos!$B$37+AR199*Pesos!$B$38+AS199*Pesos!$B$39+AT199*Pesos!$B$40+AU199*Pesos!$B$41+AV199*Pesos!$B$42+AW199*Pesos!$B$43+AX199*Pesos!$B$44+AY199*Pesos!$B$45+AZ199*Pesos!$B$46+BA199*Pesos!$B$47+BB199*Pesos!$B$48+BC199*Pesos!$B$49+BD199*Pesos!$B$50+BE199*Pesos!$B$51+BF199*Pesos!$B$52+BG199*Pesos!$B$53</f>
        <v>156.4</v>
      </c>
      <c r="G199" s="6" t="n">
        <f aca="false">E199*F199</f>
        <v>78.2</v>
      </c>
      <c r="H199" s="3" t="n">
        <v>49</v>
      </c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 t="n">
        <v>2</v>
      </c>
      <c r="T199" s="3"/>
      <c r="U199" s="3"/>
      <c r="V199" s="3"/>
      <c r="W199" s="3"/>
      <c r="X199" s="3"/>
      <c r="Y199" s="3"/>
      <c r="Z199" s="3"/>
      <c r="AA199" s="3" t="n">
        <v>-0.12</v>
      </c>
      <c r="AB199" s="3" t="n">
        <v>-0.3</v>
      </c>
      <c r="AC199" s="3"/>
      <c r="AD199" s="3"/>
      <c r="AE199" s="3"/>
      <c r="AF199" s="3"/>
      <c r="AG199" s="3" t="n">
        <v>3.2</v>
      </c>
      <c r="AH199" s="3"/>
      <c r="AI199" s="3"/>
      <c r="AJ199" s="3"/>
      <c r="AK199" s="3"/>
      <c r="AL199" s="3" t="n">
        <v>0.3</v>
      </c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 t="s">
        <v>642</v>
      </c>
      <c r="BK199" s="3"/>
      <c r="BL199" s="3"/>
      <c r="BM199" s="3" t="s">
        <v>637</v>
      </c>
    </row>
    <row r="200" customFormat="false" ht="15" hidden="false" customHeight="false" outlineLevel="0" collapsed="false">
      <c r="A200" s="3" t="s">
        <v>62</v>
      </c>
      <c r="B200" s="3" t="s">
        <v>104</v>
      </c>
      <c r="C200" s="3" t="s">
        <v>643</v>
      </c>
      <c r="D200" s="3" t="s">
        <v>644</v>
      </c>
      <c r="E200" s="3" t="n">
        <v>1</v>
      </c>
      <c r="F200" s="6" t="n">
        <f aca="false">H200*Pesos!$B$2+I200*Pesos!$B$3+J200*Pesos!$B$4+K200*Pesos!$B$5+L200*Pesos!$B$6+M200*Pesos!$B$7+N200*Pesos!$B$8+O200*Pesos!$B$9+P200*Pesos!$B$10+Q200*Pesos!$B$11+R200*Pesos!$B$12+S200*Pesos!$B$13+T200*Pesos!$B$14+U200*Pesos!$B$15+V200*Pesos!$B$16+W200*Pesos!$B$17+X200*Pesos!$B$18+Y200*Pesos!$B$19+Z200*Pesos!$B$20+AA200*Pesos!$B$21+AB200*Pesos!$B$22+AC200*Pesos!$B$23+AD200*Pesos!$B$24+AE200*Pesos!$B$25+AF200*Pesos!$B$26+AG200*Pesos!$B$27+AH200*Pesos!$B$28+AI200*Pesos!$B$29+AJ200*Pesos!$B$30+AK200*Pesos!$B$31+AL200*Pesos!$B$32+AM200*Pesos!$B$33+AN200*Pesos!$B$34+AO200*Pesos!$B$35+AP200*Pesos!$B$36+AQ200*Pesos!$B$37+AR200*Pesos!$B$38+AS200*Pesos!$B$39+AT200*Pesos!$B$40+AU200*Pesos!$B$41+AV200*Pesos!$B$42+AW200*Pesos!$B$43+AX200*Pesos!$B$44+AY200*Pesos!$B$45+AZ200*Pesos!$B$46+BA200*Pesos!$B$47+BB200*Pesos!$B$48+BC200*Pesos!$B$49+BD200*Pesos!$B$50+BE200*Pesos!$B$51+BF200*Pesos!$B$52+BG200*Pesos!$B$53</f>
        <v>144.8</v>
      </c>
      <c r="G200" s="6" t="n">
        <f aca="false">E200*F200</f>
        <v>144.8</v>
      </c>
      <c r="H200" s="3" t="n">
        <v>63</v>
      </c>
      <c r="I200" s="3" t="n">
        <v>100</v>
      </c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 t="n">
        <v>0.16</v>
      </c>
      <c r="AB200" s="3" t="n">
        <v>-0.6</v>
      </c>
      <c r="AC200" s="3"/>
      <c r="AD200" s="3"/>
      <c r="AE200" s="3"/>
      <c r="AF200" s="3"/>
      <c r="AG200" s="3" t="n">
        <v>-1.6</v>
      </c>
      <c r="AH200" s="3"/>
      <c r="AI200" s="3"/>
      <c r="AJ200" s="3"/>
      <c r="AK200" s="3"/>
      <c r="AL200" s="3" t="n">
        <v>0.6</v>
      </c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 t="s">
        <v>511</v>
      </c>
      <c r="BK200" s="3"/>
      <c r="BL200" s="3"/>
      <c r="BM200" s="3"/>
    </row>
    <row r="201" customFormat="false" ht="15" hidden="false" customHeight="false" outlineLevel="0" collapsed="false">
      <c r="A201" s="3" t="s">
        <v>62</v>
      </c>
      <c r="B201" s="3" t="s">
        <v>104</v>
      </c>
      <c r="C201" s="3" t="s">
        <v>645</v>
      </c>
      <c r="D201" s="3" t="s">
        <v>646</v>
      </c>
      <c r="E201" s="3" t="n">
        <v>1</v>
      </c>
      <c r="F201" s="6" t="n">
        <f aca="false">H201*Pesos!$B$2+I201*Pesos!$B$3+J201*Pesos!$B$4+K201*Pesos!$B$5+L201*Pesos!$B$6+M201*Pesos!$B$7+N201*Pesos!$B$8+O201*Pesos!$B$9+P201*Pesos!$B$10+Q201*Pesos!$B$11+R201*Pesos!$B$12+S201*Pesos!$B$13+T201*Pesos!$B$14+U201*Pesos!$B$15+V201*Pesos!$B$16+W201*Pesos!$B$17+X201*Pesos!$B$18+Y201*Pesos!$B$19+Z201*Pesos!$B$20+AA201*Pesos!$B$21+AB201*Pesos!$B$22+AC201*Pesos!$B$23+AD201*Pesos!$B$24+AE201*Pesos!$B$25+AF201*Pesos!$B$26+AG201*Pesos!$B$27+AH201*Pesos!$B$28+AI201*Pesos!$B$29+AJ201*Pesos!$B$30+AK201*Pesos!$B$31+AL201*Pesos!$B$32+AM201*Pesos!$B$33+AN201*Pesos!$B$34+AO201*Pesos!$B$35+AP201*Pesos!$B$36+AQ201*Pesos!$B$37+AR201*Pesos!$B$38+AS201*Pesos!$B$39+AT201*Pesos!$B$40+AU201*Pesos!$B$41+AV201*Pesos!$B$42+AW201*Pesos!$B$43+AX201*Pesos!$B$44+AY201*Pesos!$B$45+AZ201*Pesos!$B$46+BA201*Pesos!$B$47+BB201*Pesos!$B$48+BC201*Pesos!$B$49+BD201*Pesos!$B$50+BE201*Pesos!$B$51+BF201*Pesos!$B$52+BG201*Pesos!$B$53</f>
        <v>173</v>
      </c>
      <c r="G201" s="6" t="n">
        <f aca="false">E201*F201</f>
        <v>173</v>
      </c>
      <c r="H201" s="3" t="n">
        <v>84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 t="n">
        <v>0.1</v>
      </c>
      <c r="AB201" s="3" t="n">
        <v>10</v>
      </c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 t="s">
        <v>646</v>
      </c>
      <c r="BI201" s="3"/>
      <c r="BJ201" s="3"/>
      <c r="BK201" s="3"/>
      <c r="BL201" s="3"/>
      <c r="BM201" s="3"/>
    </row>
    <row r="202" customFormat="false" ht="15" hidden="false" customHeight="false" outlineLevel="0" collapsed="false">
      <c r="A202" s="3" t="s">
        <v>62</v>
      </c>
      <c r="B202" s="3" t="s">
        <v>105</v>
      </c>
      <c r="C202" s="3" t="s">
        <v>647</v>
      </c>
      <c r="D202" s="3" t="s">
        <v>648</v>
      </c>
      <c r="E202" s="3" t="n">
        <v>1</v>
      </c>
      <c r="F202" s="6" t="n">
        <f aca="false">H202*Pesos!$B$2+I202*Pesos!$B$3+J202*Pesos!$B$4+K202*Pesos!$B$5+L202*Pesos!$B$6+M202*Pesos!$B$7+N202*Pesos!$B$8+O202*Pesos!$B$9+P202*Pesos!$B$10+Q202*Pesos!$B$11+R202*Pesos!$B$12+S202*Pesos!$B$13+T202*Pesos!$B$14+U202*Pesos!$B$15+V202*Pesos!$B$16+W202*Pesos!$B$17+X202*Pesos!$B$18+Y202*Pesos!$B$19+Z202*Pesos!$B$20+AA202*Pesos!$B$21+AB202*Pesos!$B$22+AC202*Pesos!$B$23+AD202*Pesos!$B$24+AE202*Pesos!$B$25+AF202*Pesos!$B$26+AG202*Pesos!$B$27+AH202*Pesos!$B$28+AI202*Pesos!$B$29+AJ202*Pesos!$B$30+AK202*Pesos!$B$31+AL202*Pesos!$B$32+AM202*Pesos!$B$33+AN202*Pesos!$B$34+AO202*Pesos!$B$35+AP202*Pesos!$B$36+AQ202*Pesos!$B$37+AR202*Pesos!$B$38+AS202*Pesos!$B$39+AT202*Pesos!$B$40+AU202*Pesos!$B$41+AV202*Pesos!$B$42+AW202*Pesos!$B$43+AX202*Pesos!$B$44+AY202*Pesos!$B$45+AZ202*Pesos!$B$46+BA202*Pesos!$B$47+BB202*Pesos!$B$48+BC202*Pesos!$B$49+BD202*Pesos!$B$50+BE202*Pesos!$B$51+BF202*Pesos!$B$52+BG202*Pesos!$B$53</f>
        <v>50</v>
      </c>
      <c r="G202" s="6" t="n">
        <f aca="false">E202*F202</f>
        <v>50</v>
      </c>
      <c r="H202" s="3" t="n">
        <v>49</v>
      </c>
      <c r="I202" s="3" t="n">
        <v>50</v>
      </c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 t="s">
        <v>649</v>
      </c>
      <c r="BK202" s="3"/>
      <c r="BL202" s="3"/>
      <c r="BM202" s="3"/>
    </row>
    <row r="203" customFormat="false" ht="15" hidden="false" customHeight="false" outlineLevel="0" collapsed="false">
      <c r="A203" s="3" t="s">
        <v>62</v>
      </c>
      <c r="B203" s="3" t="s">
        <v>105</v>
      </c>
      <c r="C203" s="3" t="s">
        <v>650</v>
      </c>
      <c r="D203" s="3" t="s">
        <v>651</v>
      </c>
      <c r="E203" s="3" t="n">
        <v>1</v>
      </c>
      <c r="F203" s="6" t="n">
        <f aca="false">H203*Pesos!$B$2+I203*Pesos!$B$3+J203*Pesos!$B$4+K203*Pesos!$B$5+L203*Pesos!$B$6+M203*Pesos!$B$7+N203*Pesos!$B$8+O203*Pesos!$B$9+P203*Pesos!$B$10+Q203*Pesos!$B$11+R203*Pesos!$B$12+S203*Pesos!$B$13+T203*Pesos!$B$14+U203*Pesos!$B$15+V203*Pesos!$B$16+W203*Pesos!$B$17+X203*Pesos!$B$18+Y203*Pesos!$B$19+Z203*Pesos!$B$20+AA203*Pesos!$B$21+AB203*Pesos!$B$22+AC203*Pesos!$B$23+AD203*Pesos!$B$24+AE203*Pesos!$B$25+AF203*Pesos!$B$26+AG203*Pesos!$B$27+AH203*Pesos!$B$28+AI203*Pesos!$B$29+AJ203*Pesos!$B$30+AK203*Pesos!$B$31+AL203*Pesos!$B$32+AM203*Pesos!$B$33+AN203*Pesos!$B$34+AO203*Pesos!$B$35+AP203*Pesos!$B$36+AQ203*Pesos!$B$37+AR203*Pesos!$B$38+AS203*Pesos!$B$39+AT203*Pesos!$B$40+AU203*Pesos!$B$41+AV203*Pesos!$B$42+AW203*Pesos!$B$43+AX203*Pesos!$B$44+AY203*Pesos!$B$45+AZ203*Pesos!$B$46+BA203*Pesos!$B$47+BB203*Pesos!$B$48+BC203*Pesos!$B$49+BD203*Pesos!$B$50+BE203*Pesos!$B$51+BF203*Pesos!$B$52+BG203*Pesos!$B$53</f>
        <v>86.5</v>
      </c>
      <c r="G203" s="6" t="n">
        <f aca="false">E203*F203</f>
        <v>86.5</v>
      </c>
      <c r="H203" s="3" t="n">
        <v>49</v>
      </c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 t="n">
        <v>0.05</v>
      </c>
      <c r="AB203" s="3" t="n">
        <v>5</v>
      </c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 t="s">
        <v>651</v>
      </c>
      <c r="BI203" s="3"/>
      <c r="BJ203" s="3"/>
      <c r="BK203" s="3"/>
      <c r="BL203" s="3"/>
      <c r="BM203" s="3"/>
    </row>
    <row r="204" customFormat="false" ht="15" hidden="false" customHeight="false" outlineLevel="0" collapsed="false">
      <c r="A204" s="3" t="s">
        <v>62</v>
      </c>
      <c r="B204" s="3" t="s">
        <v>105</v>
      </c>
      <c r="C204" s="3" t="s">
        <v>652</v>
      </c>
      <c r="D204" s="3" t="s">
        <v>653</v>
      </c>
      <c r="E204" s="3" t="n">
        <v>1</v>
      </c>
      <c r="F204" s="6" t="n">
        <f aca="false">H204*Pesos!$B$2+I204*Pesos!$B$3+J204*Pesos!$B$4+K204*Pesos!$B$5+L204*Pesos!$B$6+M204*Pesos!$B$7+N204*Pesos!$B$8+O204*Pesos!$B$9+P204*Pesos!$B$10+Q204*Pesos!$B$11+R204*Pesos!$B$12+S204*Pesos!$B$13+T204*Pesos!$B$14+U204*Pesos!$B$15+V204*Pesos!$B$16+W204*Pesos!$B$17+X204*Pesos!$B$18+Y204*Pesos!$B$19+Z204*Pesos!$B$20+AA204*Pesos!$B$21+AB204*Pesos!$B$22+AC204*Pesos!$B$23+AD204*Pesos!$B$24+AE204*Pesos!$B$25+AF204*Pesos!$B$26+AG204*Pesos!$B$27+AH204*Pesos!$B$28+AI204*Pesos!$B$29+AJ204*Pesos!$B$30+AK204*Pesos!$B$31+AL204*Pesos!$B$32+AM204*Pesos!$B$33+AN204*Pesos!$B$34+AO204*Pesos!$B$35+AP204*Pesos!$B$36+AQ204*Pesos!$B$37+AR204*Pesos!$B$38+AS204*Pesos!$B$39+AT204*Pesos!$B$40+AU204*Pesos!$B$41+AV204*Pesos!$B$42+AW204*Pesos!$B$43+AX204*Pesos!$B$44+AY204*Pesos!$B$45+AZ204*Pesos!$B$46+BA204*Pesos!$B$47+BB204*Pesos!$B$48+BC204*Pesos!$B$49+BD204*Pesos!$B$50+BE204*Pesos!$B$51+BF204*Pesos!$B$52+BG204*Pesos!$B$53</f>
        <v>76.8</v>
      </c>
      <c r="G204" s="6" t="n">
        <f aca="false">E204*F204</f>
        <v>76.8</v>
      </c>
      <c r="H204" s="3" t="n">
        <v>63</v>
      </c>
      <c r="I204" s="3" t="n">
        <v>50</v>
      </c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 t="n">
        <v>0.16</v>
      </c>
      <c r="AB204" s="3" t="n">
        <v>-0.6</v>
      </c>
      <c r="AC204" s="3"/>
      <c r="AD204" s="3"/>
      <c r="AE204" s="3"/>
      <c r="AF204" s="3"/>
      <c r="AG204" s="3" t="n">
        <v>-5.2</v>
      </c>
      <c r="AH204" s="3"/>
      <c r="AI204" s="3"/>
      <c r="AJ204" s="3"/>
      <c r="AK204" s="3"/>
      <c r="AL204" s="3" t="n">
        <v>-2.4</v>
      </c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customFormat="false" ht="15" hidden="false" customHeight="false" outlineLevel="0" collapsed="false">
      <c r="A205" s="3" t="s">
        <v>62</v>
      </c>
      <c r="B205" s="3" t="s">
        <v>105</v>
      </c>
      <c r="C205" s="3" t="s">
        <v>654</v>
      </c>
      <c r="D205" s="3" t="s">
        <v>655</v>
      </c>
      <c r="E205" s="3" t="n">
        <v>1</v>
      </c>
      <c r="F205" s="6" t="n">
        <f aca="false">H205*Pesos!$B$2+I205*Pesos!$B$3+J205*Pesos!$B$4+K205*Pesos!$B$5+L205*Pesos!$B$6+M205*Pesos!$B$7+N205*Pesos!$B$8+O205*Pesos!$B$9+P205*Pesos!$B$10+Q205*Pesos!$B$11+R205*Pesos!$B$12+S205*Pesos!$B$13+T205*Pesos!$B$14+U205*Pesos!$B$15+V205*Pesos!$B$16+W205*Pesos!$B$17+X205*Pesos!$B$18+Y205*Pesos!$B$19+Z205*Pesos!$B$20+AA205*Pesos!$B$21+AB205*Pesos!$B$22+AC205*Pesos!$B$23+AD205*Pesos!$B$24+AE205*Pesos!$B$25+AF205*Pesos!$B$26+AG205*Pesos!$B$27+AH205*Pesos!$B$28+AI205*Pesos!$B$29+AJ205*Pesos!$B$30+AK205*Pesos!$B$31+AL205*Pesos!$B$32+AM205*Pesos!$B$33+AN205*Pesos!$B$34+AO205*Pesos!$B$35+AP205*Pesos!$B$36+AQ205*Pesos!$B$37+AR205*Pesos!$B$38+AS205*Pesos!$B$39+AT205*Pesos!$B$40+AU205*Pesos!$B$41+AV205*Pesos!$B$42+AW205*Pesos!$B$43+AX205*Pesos!$B$44+AY205*Pesos!$B$45+AZ205*Pesos!$B$46+BA205*Pesos!$B$47+BB205*Pesos!$B$48+BC205*Pesos!$B$49+BD205*Pesos!$B$50+BE205*Pesos!$B$51+BF205*Pesos!$B$52+BG205*Pesos!$B$53</f>
        <v>273</v>
      </c>
      <c r="G205" s="6" t="n">
        <f aca="false">E205*F205</f>
        <v>273</v>
      </c>
      <c r="H205" s="3" t="n">
        <v>84</v>
      </c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 t="n">
        <v>0.1</v>
      </c>
      <c r="AB205" s="3" t="n">
        <v>5</v>
      </c>
      <c r="AC205" s="3"/>
      <c r="AD205" s="3"/>
      <c r="AE205" s="3"/>
      <c r="AF205" s="3"/>
      <c r="AG205" s="3" t="n">
        <v>5</v>
      </c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 t="s">
        <v>655</v>
      </c>
      <c r="BI205" s="3"/>
      <c r="BJ205" s="3"/>
      <c r="BK205" s="3"/>
      <c r="BL205" s="3"/>
      <c r="BM205" s="3"/>
    </row>
    <row r="206" customFormat="false" ht="15" hidden="false" customHeight="false" outlineLevel="0" collapsed="false">
      <c r="A206" s="3" t="s">
        <v>62</v>
      </c>
      <c r="B206" s="3" t="s">
        <v>105</v>
      </c>
      <c r="C206" s="3" t="s">
        <v>656</v>
      </c>
      <c r="D206" s="3" t="s">
        <v>657</v>
      </c>
      <c r="E206" s="3" t="n">
        <v>1</v>
      </c>
      <c r="F206" s="6" t="n">
        <f aca="false">H206*Pesos!$B$2+I206*Pesos!$B$3+J206*Pesos!$B$4+K206*Pesos!$B$5+L206*Pesos!$B$6+M206*Pesos!$B$7+N206*Pesos!$B$8+O206*Pesos!$B$9+P206*Pesos!$B$10+Q206*Pesos!$B$11+R206*Pesos!$B$12+S206*Pesos!$B$13+T206*Pesos!$B$14+U206*Pesos!$B$15+V206*Pesos!$B$16+W206*Pesos!$B$17+X206*Pesos!$B$18+Y206*Pesos!$B$19+Z206*Pesos!$B$20+AA206*Pesos!$B$21+AB206*Pesos!$B$22+AC206*Pesos!$B$23+AD206*Pesos!$B$24+AE206*Pesos!$B$25+AF206*Pesos!$B$26+AG206*Pesos!$B$27+AH206*Pesos!$B$28+AI206*Pesos!$B$29+AJ206*Pesos!$B$30+AK206*Pesos!$B$31+AL206*Pesos!$B$32+AM206*Pesos!$B$33+AN206*Pesos!$B$34+AO206*Pesos!$B$35+AP206*Pesos!$B$36+AQ206*Pesos!$B$37+AR206*Pesos!$B$38+AS206*Pesos!$B$39+AT206*Pesos!$B$40+AU206*Pesos!$B$41+AV206*Pesos!$B$42+AW206*Pesos!$B$43+AX206*Pesos!$B$44+AY206*Pesos!$B$45+AZ206*Pesos!$B$46+BA206*Pesos!$B$47+BB206*Pesos!$B$48+BC206*Pesos!$B$49+BD206*Pesos!$B$50+BE206*Pesos!$B$51+BF206*Pesos!$B$52+BG206*Pesos!$B$53</f>
        <v>300</v>
      </c>
      <c r="G206" s="6" t="n">
        <f aca="false">E206*F206</f>
        <v>300</v>
      </c>
      <c r="H206" s="3" t="n">
        <v>63</v>
      </c>
      <c r="I206" s="3"/>
      <c r="J206" s="3"/>
      <c r="K206" s="3"/>
      <c r="L206" s="3"/>
      <c r="M206" s="3"/>
      <c r="N206" s="3"/>
      <c r="O206" s="3"/>
      <c r="P206" s="3"/>
      <c r="Q206" s="3"/>
      <c r="R206" s="3" t="n">
        <v>3</v>
      </c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 t="s">
        <v>658</v>
      </c>
      <c r="BK206" s="3"/>
      <c r="BL206" s="3"/>
      <c r="BM206" s="3"/>
    </row>
    <row r="207" customFormat="false" ht="15" hidden="false" customHeight="false" outlineLevel="0" collapsed="false">
      <c r="A207" s="3" t="s">
        <v>62</v>
      </c>
      <c r="B207" s="3" t="s">
        <v>105</v>
      </c>
      <c r="C207" s="3" t="s">
        <v>659</v>
      </c>
      <c r="D207" s="3" t="s">
        <v>660</v>
      </c>
      <c r="E207" s="3" t="n">
        <v>1</v>
      </c>
      <c r="F207" s="6" t="n">
        <f aca="false">H207*Pesos!$B$2+I207*Pesos!$B$3+J207*Pesos!$B$4+K207*Pesos!$B$5+L207*Pesos!$B$6+M207*Pesos!$B$7+N207*Pesos!$B$8+O207*Pesos!$B$9+P207*Pesos!$B$10+Q207*Pesos!$B$11+R207*Pesos!$B$12+S207*Pesos!$B$13+T207*Pesos!$B$14+U207*Pesos!$B$15+V207*Pesos!$B$16+W207*Pesos!$B$17+X207*Pesos!$B$18+Y207*Pesos!$B$19+Z207*Pesos!$B$20+AA207*Pesos!$B$21+AB207*Pesos!$B$22+AC207*Pesos!$B$23+AD207*Pesos!$B$24+AE207*Pesos!$B$25+AF207*Pesos!$B$26+AG207*Pesos!$B$27+AH207*Pesos!$B$28+AI207*Pesos!$B$29+AJ207*Pesos!$B$30+AK207*Pesos!$B$31+AL207*Pesos!$B$32+AM207*Pesos!$B$33+AN207*Pesos!$B$34+AO207*Pesos!$B$35+AP207*Pesos!$B$36+AQ207*Pesos!$B$37+AR207*Pesos!$B$38+AS207*Pesos!$B$39+AT207*Pesos!$B$40+AU207*Pesos!$B$41+AV207*Pesos!$B$42+AW207*Pesos!$B$43+AX207*Pesos!$B$44+AY207*Pesos!$B$45+AZ207*Pesos!$B$46+BA207*Pesos!$B$47+BB207*Pesos!$B$48+BC207*Pesos!$B$49+BD207*Pesos!$B$50+BE207*Pesos!$B$51+BF207*Pesos!$B$52+BG207*Pesos!$B$53</f>
        <v>300</v>
      </c>
      <c r="G207" s="6" t="n">
        <f aca="false">E207*F207</f>
        <v>300</v>
      </c>
      <c r="H207" s="3" t="n">
        <v>105</v>
      </c>
      <c r="I207" s="3"/>
      <c r="J207" s="3"/>
      <c r="K207" s="3"/>
      <c r="L207" s="3"/>
      <c r="M207" s="3"/>
      <c r="N207" s="3"/>
      <c r="O207" s="3"/>
      <c r="P207" s="3" t="n">
        <v>1</v>
      </c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customFormat="false" ht="15" hidden="false" customHeight="false" outlineLevel="0" collapsed="false">
      <c r="A208" s="3" t="s">
        <v>63</v>
      </c>
      <c r="B208" s="3" t="s">
        <v>106</v>
      </c>
      <c r="C208" s="3" t="s">
        <v>661</v>
      </c>
      <c r="D208" s="3" t="s">
        <v>662</v>
      </c>
      <c r="E208" s="3" t="n">
        <v>1</v>
      </c>
      <c r="F208" s="6" t="n">
        <f aca="false">H208*Pesos!$B$2+I208*Pesos!$B$3+J208*Pesos!$B$4+K208*Pesos!$B$5+L208*Pesos!$B$6+M208*Pesos!$B$7+N208*Pesos!$B$8+O208*Pesos!$B$9+P208*Pesos!$B$10+Q208*Pesos!$B$11+R208*Pesos!$B$12+S208*Pesos!$B$13+T208*Pesos!$B$14+U208*Pesos!$B$15+V208*Pesos!$B$16+W208*Pesos!$B$17+X208*Pesos!$B$18+Y208*Pesos!$B$19+Z208*Pesos!$B$20+AA208*Pesos!$B$21+AB208*Pesos!$B$22+AC208*Pesos!$B$23+AD208*Pesos!$B$24+AE208*Pesos!$B$25+AF208*Pesos!$B$26+AG208*Pesos!$B$27+AH208*Pesos!$B$28+AI208*Pesos!$B$29+AJ208*Pesos!$B$30+AK208*Pesos!$B$31+AL208*Pesos!$B$32+AM208*Pesos!$B$33+AN208*Pesos!$B$34+AO208*Pesos!$B$35+AP208*Pesos!$B$36+AQ208*Pesos!$B$37+AR208*Pesos!$B$38+AS208*Pesos!$B$39+AT208*Pesos!$B$40+AU208*Pesos!$B$41+AV208*Pesos!$B$42+AW208*Pesos!$B$43+AX208*Pesos!$B$44+AY208*Pesos!$B$45+AZ208*Pesos!$B$46+BA208*Pesos!$B$47+BB208*Pesos!$B$48+BC208*Pesos!$B$49+BD208*Pesos!$B$50+BE208*Pesos!$B$51+BF208*Pesos!$B$52+BG208*Pesos!$B$53</f>
        <v>100</v>
      </c>
      <c r="G208" s="6" t="n">
        <f aca="false">E208*F208</f>
        <v>100</v>
      </c>
      <c r="H208" s="3" t="n">
        <v>49</v>
      </c>
      <c r="I208" s="3" t="n">
        <v>100</v>
      </c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 t="s">
        <v>663</v>
      </c>
      <c r="BK208" s="3"/>
      <c r="BL208" s="3"/>
      <c r="BM208" s="3"/>
    </row>
    <row r="209" customFormat="false" ht="15" hidden="false" customHeight="false" outlineLevel="0" collapsed="false">
      <c r="A209" s="3" t="s">
        <v>63</v>
      </c>
      <c r="B209" s="3" t="s">
        <v>106</v>
      </c>
      <c r="C209" s="3" t="s">
        <v>664</v>
      </c>
      <c r="D209" s="3" t="s">
        <v>665</v>
      </c>
      <c r="E209" s="3" t="n">
        <v>1</v>
      </c>
      <c r="F209" s="6" t="n">
        <f aca="false">H209*Pesos!$B$2+I209*Pesos!$B$3+J209*Pesos!$B$4+K209*Pesos!$B$5+L209*Pesos!$B$6+M209*Pesos!$B$7+N209*Pesos!$B$8+O209*Pesos!$B$9+P209*Pesos!$B$10+Q209*Pesos!$B$11+R209*Pesos!$B$12+S209*Pesos!$B$13+T209*Pesos!$B$14+U209*Pesos!$B$15+V209*Pesos!$B$16+W209*Pesos!$B$17+X209*Pesos!$B$18+Y209*Pesos!$B$19+Z209*Pesos!$B$20+AA209*Pesos!$B$21+AB209*Pesos!$B$22+AC209*Pesos!$B$23+AD209*Pesos!$B$24+AE209*Pesos!$B$25+AF209*Pesos!$B$26+AG209*Pesos!$B$27+AH209*Pesos!$B$28+AI209*Pesos!$B$29+AJ209*Pesos!$B$30+AK209*Pesos!$B$31+AL209*Pesos!$B$32+AM209*Pesos!$B$33+AN209*Pesos!$B$34+AO209*Pesos!$B$35+AP209*Pesos!$B$36+AQ209*Pesos!$B$37+AR209*Pesos!$B$38+AS209*Pesos!$B$39+AT209*Pesos!$B$40+AU209*Pesos!$B$41+AV209*Pesos!$B$42+AW209*Pesos!$B$43+AX209*Pesos!$B$44+AY209*Pesos!$B$45+AZ209*Pesos!$B$46+BA209*Pesos!$B$47+BB209*Pesos!$B$48+BC209*Pesos!$B$49+BD209*Pesos!$B$50+BE209*Pesos!$B$51+BF209*Pesos!$B$52+BG209*Pesos!$B$53</f>
        <v>239.5</v>
      </c>
      <c r="G209" s="6" t="n">
        <f aca="false">E209*F209</f>
        <v>239.5</v>
      </c>
      <c r="H209" s="3" t="n">
        <v>49</v>
      </c>
      <c r="I209" s="3" t="n">
        <v>100</v>
      </c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 t="n">
        <v>0.15</v>
      </c>
      <c r="AB209" s="3" t="n">
        <v>3</v>
      </c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 t="s">
        <v>666</v>
      </c>
      <c r="BI209" s="3"/>
      <c r="BJ209" s="3"/>
      <c r="BK209" s="3"/>
      <c r="BL209" s="3"/>
      <c r="BM209" s="3"/>
    </row>
    <row r="210" customFormat="false" ht="15" hidden="false" customHeight="false" outlineLevel="0" collapsed="false">
      <c r="A210" s="3" t="s">
        <v>63</v>
      </c>
      <c r="B210" s="3" t="s">
        <v>106</v>
      </c>
      <c r="C210" s="3" t="s">
        <v>667</v>
      </c>
      <c r="D210" s="3" t="s">
        <v>668</v>
      </c>
      <c r="E210" s="3" t="n">
        <v>0.5</v>
      </c>
      <c r="F210" s="6" t="n">
        <f aca="false">H210*Pesos!$B$2+I210*Pesos!$B$3+J210*Pesos!$B$4+K210*Pesos!$B$5+L210*Pesos!$B$6+M210*Pesos!$B$7+N210*Pesos!$B$8+O210*Pesos!$B$9+P210*Pesos!$B$10+Q210*Pesos!$B$11+R210*Pesos!$B$12+S210*Pesos!$B$13+T210*Pesos!$B$14+U210*Pesos!$B$15+V210*Pesos!$B$16+W210*Pesos!$B$17+X210*Pesos!$B$18+Y210*Pesos!$B$19+Z210*Pesos!$B$20+AA210*Pesos!$B$21+AB210*Pesos!$B$22+AC210*Pesos!$B$23+AD210*Pesos!$B$24+AE210*Pesos!$B$25+AF210*Pesos!$B$26+AG210*Pesos!$B$27+AH210*Pesos!$B$28+AI210*Pesos!$B$29+AJ210*Pesos!$B$30+AK210*Pesos!$B$31+AL210*Pesos!$B$32+AM210*Pesos!$B$33+AN210*Pesos!$B$34+AO210*Pesos!$B$35+AP210*Pesos!$B$36+AQ210*Pesos!$B$37+AR210*Pesos!$B$38+AS210*Pesos!$B$39+AT210*Pesos!$B$40+AU210*Pesos!$B$41+AV210*Pesos!$B$42+AW210*Pesos!$B$43+AX210*Pesos!$B$44+AY210*Pesos!$B$45+AZ210*Pesos!$B$46+BA210*Pesos!$B$47+BB210*Pesos!$B$48+BC210*Pesos!$B$49+BD210*Pesos!$B$50+BE210*Pesos!$B$51+BF210*Pesos!$B$52+BG210*Pesos!$B$53</f>
        <v>100</v>
      </c>
      <c r="G210" s="6" t="n">
        <f aca="false">E210*F210</f>
        <v>50</v>
      </c>
      <c r="H210" s="3" t="n">
        <v>49</v>
      </c>
      <c r="I210" s="3" t="n">
        <v>100</v>
      </c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 t="s">
        <v>669</v>
      </c>
    </row>
    <row r="211" customFormat="false" ht="15" hidden="false" customHeight="false" outlineLevel="0" collapsed="false">
      <c r="A211" s="3" t="s">
        <v>63</v>
      </c>
      <c r="B211" s="3" t="s">
        <v>106</v>
      </c>
      <c r="C211" s="3" t="s">
        <v>670</v>
      </c>
      <c r="D211" s="3" t="s">
        <v>671</v>
      </c>
      <c r="E211" s="3" t="n">
        <v>0.5</v>
      </c>
      <c r="F211" s="6" t="n">
        <f aca="false">H211*Pesos!$B$2+I211*Pesos!$B$3+J211*Pesos!$B$4+K211*Pesos!$B$5+L211*Pesos!$B$6+M211*Pesos!$B$7+N211*Pesos!$B$8+O211*Pesos!$B$9+P211*Pesos!$B$10+Q211*Pesos!$B$11+R211*Pesos!$B$12+S211*Pesos!$B$13+T211*Pesos!$B$14+U211*Pesos!$B$15+V211*Pesos!$B$16+W211*Pesos!$B$17+X211*Pesos!$B$18+Y211*Pesos!$B$19+Z211*Pesos!$B$20+AA211*Pesos!$B$21+AB211*Pesos!$B$22+AC211*Pesos!$B$23+AD211*Pesos!$B$24+AE211*Pesos!$B$25+AF211*Pesos!$B$26+AG211*Pesos!$B$27+AH211*Pesos!$B$28+AI211*Pesos!$B$29+AJ211*Pesos!$B$30+AK211*Pesos!$B$31+AL211*Pesos!$B$32+AM211*Pesos!$B$33+AN211*Pesos!$B$34+AO211*Pesos!$B$35+AP211*Pesos!$B$36+AQ211*Pesos!$B$37+AR211*Pesos!$B$38+AS211*Pesos!$B$39+AT211*Pesos!$B$40+AU211*Pesos!$B$41+AV211*Pesos!$B$42+AW211*Pesos!$B$43+AX211*Pesos!$B$44+AY211*Pesos!$B$45+AZ211*Pesos!$B$46+BA211*Pesos!$B$47+BB211*Pesos!$B$48+BC211*Pesos!$B$49+BD211*Pesos!$B$50+BE211*Pesos!$B$51+BF211*Pesos!$B$52+BG211*Pesos!$B$53</f>
        <v>210</v>
      </c>
      <c r="G211" s="6" t="n">
        <f aca="false">E211*F211</f>
        <v>105</v>
      </c>
      <c r="H211" s="3" t="n">
        <v>49</v>
      </c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 t="n">
        <v>10</v>
      </c>
      <c r="AI211" s="3"/>
      <c r="AJ211" s="3"/>
      <c r="AK211" s="3"/>
      <c r="AL211" s="3"/>
      <c r="AM211" s="3"/>
      <c r="AN211" s="3"/>
      <c r="AO211" s="3"/>
      <c r="AP211" s="3"/>
      <c r="AQ211" s="3"/>
      <c r="AR211" s="3" t="n">
        <v>5</v>
      </c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 t="s">
        <v>671</v>
      </c>
      <c r="BI211" s="3"/>
      <c r="BJ211" s="3"/>
      <c r="BK211" s="3"/>
      <c r="BL211" s="3"/>
      <c r="BM211" s="3"/>
    </row>
    <row r="212" customFormat="false" ht="15" hidden="false" customHeight="false" outlineLevel="0" collapsed="false">
      <c r="A212" s="3" t="s">
        <v>63</v>
      </c>
      <c r="B212" s="3" t="s">
        <v>106</v>
      </c>
      <c r="C212" s="3" t="s">
        <v>672</v>
      </c>
      <c r="D212" s="3" t="s">
        <v>673</v>
      </c>
      <c r="E212" s="3" t="n">
        <v>0.5</v>
      </c>
      <c r="F212" s="6" t="n">
        <f aca="false">H212*Pesos!$B$2+I212*Pesos!$B$3+J212*Pesos!$B$4+K212*Pesos!$B$5+L212*Pesos!$B$6+M212*Pesos!$B$7+N212*Pesos!$B$8+O212*Pesos!$B$9+P212*Pesos!$B$10+Q212*Pesos!$B$11+R212*Pesos!$B$12+S212*Pesos!$B$13+T212*Pesos!$B$14+U212*Pesos!$B$15+V212*Pesos!$B$16+W212*Pesos!$B$17+X212*Pesos!$B$18+Y212*Pesos!$B$19+Z212*Pesos!$B$20+AA212*Pesos!$B$21+AB212*Pesos!$B$22+AC212*Pesos!$B$23+AD212*Pesos!$B$24+AE212*Pesos!$B$25+AF212*Pesos!$B$26+AG212*Pesos!$B$27+AH212*Pesos!$B$28+AI212*Pesos!$B$29+AJ212*Pesos!$B$30+AK212*Pesos!$B$31+AL212*Pesos!$B$32+AM212*Pesos!$B$33+AN212*Pesos!$B$34+AO212*Pesos!$B$35+AP212*Pesos!$B$36+AQ212*Pesos!$B$37+AR212*Pesos!$B$38+AS212*Pesos!$B$39+AT212*Pesos!$B$40+AU212*Pesos!$B$41+AV212*Pesos!$B$42+AW212*Pesos!$B$43+AX212*Pesos!$B$44+AY212*Pesos!$B$45+AZ212*Pesos!$B$46+BA212*Pesos!$B$47+BB212*Pesos!$B$48+BC212*Pesos!$B$49+BD212*Pesos!$B$50+BE212*Pesos!$B$51+BF212*Pesos!$B$52+BG212*Pesos!$B$53</f>
        <v>100</v>
      </c>
      <c r="G212" s="6" t="n">
        <f aca="false">E212*F212</f>
        <v>50</v>
      </c>
      <c r="H212" s="3" t="n">
        <v>49</v>
      </c>
      <c r="I212" s="3" t="n">
        <v>100</v>
      </c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customFormat="false" ht="15" hidden="false" customHeight="false" outlineLevel="0" collapsed="false">
      <c r="A213" s="3" t="s">
        <v>63</v>
      </c>
      <c r="B213" s="3" t="s">
        <v>106</v>
      </c>
      <c r="C213" s="3" t="s">
        <v>674</v>
      </c>
      <c r="D213" s="3" t="s">
        <v>675</v>
      </c>
      <c r="E213" s="3" t="n">
        <v>0.5</v>
      </c>
      <c r="F213" s="6" t="n">
        <f aca="false">H213*Pesos!$B$2+I213*Pesos!$B$3+J213*Pesos!$B$4+K213*Pesos!$B$5+L213*Pesos!$B$6+M213*Pesos!$B$7+N213*Pesos!$B$8+O213*Pesos!$B$9+P213*Pesos!$B$10+Q213*Pesos!$B$11+R213*Pesos!$B$12+S213*Pesos!$B$13+T213*Pesos!$B$14+U213*Pesos!$B$15+V213*Pesos!$B$16+W213*Pesos!$B$17+X213*Pesos!$B$18+Y213*Pesos!$B$19+Z213*Pesos!$B$20+AA213*Pesos!$B$21+AB213*Pesos!$B$22+AC213*Pesos!$B$23+AD213*Pesos!$B$24+AE213*Pesos!$B$25+AF213*Pesos!$B$26+AG213*Pesos!$B$27+AH213*Pesos!$B$28+AI213*Pesos!$B$29+AJ213*Pesos!$B$30+AK213*Pesos!$B$31+AL213*Pesos!$B$32+AM213*Pesos!$B$33+AN213*Pesos!$B$34+AO213*Pesos!$B$35+AP213*Pesos!$B$36+AQ213*Pesos!$B$37+AR213*Pesos!$B$38+AS213*Pesos!$B$39+AT213*Pesos!$B$40+AU213*Pesos!$B$41+AV213*Pesos!$B$42+AW213*Pesos!$B$43+AX213*Pesos!$B$44+AY213*Pesos!$B$45+AZ213*Pesos!$B$46+BA213*Pesos!$B$47+BB213*Pesos!$B$48+BC213*Pesos!$B$49+BD213*Pesos!$B$50+BE213*Pesos!$B$51+BF213*Pesos!$B$52+BG213*Pesos!$B$53</f>
        <v>123</v>
      </c>
      <c r="G213" s="6" t="n">
        <f aca="false">E213*F213</f>
        <v>61.5</v>
      </c>
      <c r="H213" s="3" t="n">
        <v>63</v>
      </c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 t="n">
        <v>0.1</v>
      </c>
      <c r="AB213" s="3" t="n">
        <v>5</v>
      </c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 t="s">
        <v>675</v>
      </c>
      <c r="BI213" s="3"/>
      <c r="BJ213" s="3"/>
      <c r="BK213" s="3"/>
      <c r="BL213" s="3"/>
      <c r="BM213" s="3"/>
    </row>
    <row r="214" customFormat="false" ht="15" hidden="false" customHeight="false" outlineLevel="0" collapsed="false">
      <c r="A214" s="3" t="s">
        <v>63</v>
      </c>
      <c r="B214" s="3" t="s">
        <v>106</v>
      </c>
      <c r="C214" s="3" t="s">
        <v>676</v>
      </c>
      <c r="D214" s="3" t="s">
        <v>677</v>
      </c>
      <c r="E214" s="3" t="n">
        <v>0.5</v>
      </c>
      <c r="F214" s="6" t="n">
        <f aca="false">H214*Pesos!$B$2+I214*Pesos!$B$3+J214*Pesos!$B$4+K214*Pesos!$B$5+L214*Pesos!$B$6+M214*Pesos!$B$7+N214*Pesos!$B$8+O214*Pesos!$B$9+P214*Pesos!$B$10+Q214*Pesos!$B$11+R214*Pesos!$B$12+S214*Pesos!$B$13+T214*Pesos!$B$14+U214*Pesos!$B$15+V214*Pesos!$B$16+W214*Pesos!$B$17+X214*Pesos!$B$18+Y214*Pesos!$B$19+Z214*Pesos!$B$20+AA214*Pesos!$B$21+AB214*Pesos!$B$22+AC214*Pesos!$B$23+AD214*Pesos!$B$24+AE214*Pesos!$B$25+AF214*Pesos!$B$26+AG214*Pesos!$B$27+AH214*Pesos!$B$28+AI214*Pesos!$B$29+AJ214*Pesos!$B$30+AK214*Pesos!$B$31+AL214*Pesos!$B$32+AM214*Pesos!$B$33+AN214*Pesos!$B$34+AO214*Pesos!$B$35+AP214*Pesos!$B$36+AQ214*Pesos!$B$37+AR214*Pesos!$B$38+AS214*Pesos!$B$39+AT214*Pesos!$B$40+AU214*Pesos!$B$41+AV214*Pesos!$B$42+AW214*Pesos!$B$43+AX214*Pesos!$B$44+AY214*Pesos!$B$45+AZ214*Pesos!$B$46+BA214*Pesos!$B$47+BB214*Pesos!$B$48+BC214*Pesos!$B$49+BD214*Pesos!$B$50+BE214*Pesos!$B$51+BF214*Pesos!$B$52+BG214*Pesos!$B$53</f>
        <v>120</v>
      </c>
      <c r="G214" s="6" t="n">
        <f aca="false">E214*F214</f>
        <v>60</v>
      </c>
      <c r="H214" s="3" t="n">
        <v>63</v>
      </c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 t="n">
        <v>2</v>
      </c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customFormat="false" ht="15" hidden="false" customHeight="false" outlineLevel="0" collapsed="false">
      <c r="A215" s="3" t="s">
        <v>63</v>
      </c>
      <c r="B215" s="3" t="s">
        <v>106</v>
      </c>
      <c r="C215" s="3" t="s">
        <v>678</v>
      </c>
      <c r="D215" s="3" t="s">
        <v>679</v>
      </c>
      <c r="E215" s="3" t="n">
        <v>0.5</v>
      </c>
      <c r="F215" s="6" t="n">
        <f aca="false">H215*Pesos!$B$2+I215*Pesos!$B$3+J215*Pesos!$B$4+K215*Pesos!$B$5+L215*Pesos!$B$6+M215*Pesos!$B$7+N215*Pesos!$B$8+O215*Pesos!$B$9+P215*Pesos!$B$10+Q215*Pesos!$B$11+R215*Pesos!$B$12+S215*Pesos!$B$13+T215*Pesos!$B$14+U215*Pesos!$B$15+V215*Pesos!$B$16+W215*Pesos!$B$17+X215*Pesos!$B$18+Y215*Pesos!$B$19+Z215*Pesos!$B$20+AA215*Pesos!$B$21+AB215*Pesos!$B$22+AC215*Pesos!$B$23+AD215*Pesos!$B$24+AE215*Pesos!$B$25+AF215*Pesos!$B$26+AG215*Pesos!$B$27+AH215*Pesos!$B$28+AI215*Pesos!$B$29+AJ215*Pesos!$B$30+AK215*Pesos!$B$31+AL215*Pesos!$B$32+AM215*Pesos!$B$33+AN215*Pesos!$B$34+AO215*Pesos!$B$35+AP215*Pesos!$B$36+AQ215*Pesos!$B$37+AR215*Pesos!$B$38+AS215*Pesos!$B$39+AT215*Pesos!$B$40+AU215*Pesos!$B$41+AV215*Pesos!$B$42+AW215*Pesos!$B$43+AX215*Pesos!$B$44+AY215*Pesos!$B$45+AZ215*Pesos!$B$46+BA215*Pesos!$B$47+BB215*Pesos!$B$48+BC215*Pesos!$B$49+BD215*Pesos!$B$50+BE215*Pesos!$B$51+BF215*Pesos!$B$52+BG215*Pesos!$B$53</f>
        <v>51.5</v>
      </c>
      <c r="G215" s="6" t="n">
        <f aca="false">E215*F215</f>
        <v>25.75</v>
      </c>
      <c r="H215" s="3" t="n">
        <v>63</v>
      </c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 t="n">
        <v>0.05</v>
      </c>
      <c r="AB215" s="3"/>
      <c r="AC215" s="3"/>
      <c r="AD215" s="3"/>
      <c r="AE215" s="3" t="n">
        <v>15</v>
      </c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 t="s">
        <v>679</v>
      </c>
      <c r="BI215" s="3"/>
      <c r="BJ215" s="3" t="s">
        <v>663</v>
      </c>
      <c r="BK215" s="3"/>
      <c r="BL215" s="3"/>
      <c r="BM215" s="3"/>
    </row>
    <row r="216" customFormat="false" ht="15" hidden="false" customHeight="false" outlineLevel="0" collapsed="false">
      <c r="A216" s="3" t="s">
        <v>63</v>
      </c>
      <c r="B216" s="3" t="s">
        <v>106</v>
      </c>
      <c r="C216" s="3" t="s">
        <v>680</v>
      </c>
      <c r="D216" s="3" t="s">
        <v>681</v>
      </c>
      <c r="E216" s="3" t="n">
        <v>0.5</v>
      </c>
      <c r="F216" s="6" t="n">
        <f aca="false">H216*Pesos!$B$2+I216*Pesos!$B$3+J216*Pesos!$B$4+K216*Pesos!$B$5+L216*Pesos!$B$6+M216*Pesos!$B$7+N216*Pesos!$B$8+O216*Pesos!$B$9+P216*Pesos!$B$10+Q216*Pesos!$B$11+R216*Pesos!$B$12+S216*Pesos!$B$13+T216*Pesos!$B$14+U216*Pesos!$B$15+V216*Pesos!$B$16+W216*Pesos!$B$17+X216*Pesos!$B$18+Y216*Pesos!$B$19+Z216*Pesos!$B$20+AA216*Pesos!$B$21+AB216*Pesos!$B$22+AC216*Pesos!$B$23+AD216*Pesos!$B$24+AE216*Pesos!$B$25+AF216*Pesos!$B$26+AG216*Pesos!$B$27+AH216*Pesos!$B$28+AI216*Pesos!$B$29+AJ216*Pesos!$B$30+AK216*Pesos!$B$31+AL216*Pesos!$B$32+AM216*Pesos!$B$33+AN216*Pesos!$B$34+AO216*Pesos!$B$35+AP216*Pesos!$B$36+AQ216*Pesos!$B$37+AR216*Pesos!$B$38+AS216*Pesos!$B$39+AT216*Pesos!$B$40+AU216*Pesos!$B$41+AV216*Pesos!$B$42+AW216*Pesos!$B$43+AX216*Pesos!$B$44+AY216*Pesos!$B$45+AZ216*Pesos!$B$46+BA216*Pesos!$B$47+BB216*Pesos!$B$48+BC216*Pesos!$B$49+BD216*Pesos!$B$50+BE216*Pesos!$B$51+BF216*Pesos!$B$52+BG216*Pesos!$B$53</f>
        <v>0</v>
      </c>
      <c r="G216" s="6" t="n">
        <f aca="false">E216*F216</f>
        <v>0</v>
      </c>
      <c r="H216" s="3" t="n">
        <v>105</v>
      </c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 t="s">
        <v>682</v>
      </c>
      <c r="BL216" s="3"/>
      <c r="BM216" s="3"/>
    </row>
    <row r="217" customFormat="false" ht="15" hidden="false" customHeight="false" outlineLevel="0" collapsed="false">
      <c r="A217" s="3" t="s">
        <v>63</v>
      </c>
      <c r="B217" s="3" t="s">
        <v>107</v>
      </c>
      <c r="C217" s="3" t="s">
        <v>669</v>
      </c>
      <c r="D217" s="3" t="s">
        <v>683</v>
      </c>
      <c r="E217" s="3" t="n">
        <v>0.5</v>
      </c>
      <c r="F217" s="6" t="n">
        <f aca="false">H217*Pesos!$B$2+I217*Pesos!$B$3+J217*Pesos!$B$4+K217*Pesos!$B$5+L217*Pesos!$B$6+M217*Pesos!$B$7+N217*Pesos!$B$8+O217*Pesos!$B$9+P217*Pesos!$B$10+Q217*Pesos!$B$11+R217*Pesos!$B$12+S217*Pesos!$B$13+T217*Pesos!$B$14+U217*Pesos!$B$15+V217*Pesos!$B$16+W217*Pesos!$B$17+X217*Pesos!$B$18+Y217*Pesos!$B$19+Z217*Pesos!$B$20+AA217*Pesos!$B$21+AB217*Pesos!$B$22+AC217*Pesos!$B$23+AD217*Pesos!$B$24+AE217*Pesos!$B$25+AF217*Pesos!$B$26+AG217*Pesos!$B$27+AH217*Pesos!$B$28+AI217*Pesos!$B$29+AJ217*Pesos!$B$30+AK217*Pesos!$B$31+AL217*Pesos!$B$32+AM217*Pesos!$B$33+AN217*Pesos!$B$34+AO217*Pesos!$B$35+AP217*Pesos!$B$36+AQ217*Pesos!$B$37+AR217*Pesos!$B$38+AS217*Pesos!$B$39+AT217*Pesos!$B$40+AU217*Pesos!$B$41+AV217*Pesos!$B$42+AW217*Pesos!$B$43+AX217*Pesos!$B$44+AY217*Pesos!$B$45+AZ217*Pesos!$B$46+BA217*Pesos!$B$47+BB217*Pesos!$B$48+BC217*Pesos!$B$49+BD217*Pesos!$B$50+BE217*Pesos!$B$51+BF217*Pesos!$B$52+BG217*Pesos!$B$53</f>
        <v>-574.5</v>
      </c>
      <c r="G217" s="6" t="n">
        <f aca="false">E217*F217</f>
        <v>-287.25</v>
      </c>
      <c r="H217" s="3" t="n">
        <v>35</v>
      </c>
      <c r="I217" s="3"/>
      <c r="J217" s="3"/>
      <c r="K217" s="3" t="n">
        <v>10</v>
      </c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 t="n">
        <v>-0.15</v>
      </c>
      <c r="AB217" s="3"/>
      <c r="AC217" s="3"/>
      <c r="AD217" s="3"/>
      <c r="AE217" s="3" t="n">
        <v>-20</v>
      </c>
      <c r="AF217" s="3"/>
      <c r="AG217" s="3" t="n">
        <v>-10</v>
      </c>
      <c r="AH217" s="3" t="n">
        <v>-15</v>
      </c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 t="s">
        <v>663</v>
      </c>
      <c r="BK217" s="3" t="s">
        <v>684</v>
      </c>
      <c r="BL217" s="3"/>
      <c r="BM217" s="3" t="s">
        <v>667</v>
      </c>
    </row>
    <row r="218" customFormat="false" ht="15" hidden="false" customHeight="false" outlineLevel="0" collapsed="false">
      <c r="A218" s="3" t="s">
        <v>63</v>
      </c>
      <c r="B218" s="3" t="s">
        <v>107</v>
      </c>
      <c r="C218" s="3" t="s">
        <v>685</v>
      </c>
      <c r="D218" s="3" t="s">
        <v>686</v>
      </c>
      <c r="E218" s="3" t="n">
        <v>0.5</v>
      </c>
      <c r="F218" s="6" t="n">
        <f aca="false">H218*Pesos!$B$2+I218*Pesos!$B$3+J218*Pesos!$B$4+K218*Pesos!$B$5+L218*Pesos!$B$6+M218*Pesos!$B$7+N218*Pesos!$B$8+O218*Pesos!$B$9+P218*Pesos!$B$10+Q218*Pesos!$B$11+R218*Pesos!$B$12+S218*Pesos!$B$13+T218*Pesos!$B$14+U218*Pesos!$B$15+V218*Pesos!$B$16+W218*Pesos!$B$17+X218*Pesos!$B$18+Y218*Pesos!$B$19+Z218*Pesos!$B$20+AA218*Pesos!$B$21+AB218*Pesos!$B$22+AC218*Pesos!$B$23+AD218*Pesos!$B$24+AE218*Pesos!$B$25+AF218*Pesos!$B$26+AG218*Pesos!$B$27+AH218*Pesos!$B$28+AI218*Pesos!$B$29+AJ218*Pesos!$B$30+AK218*Pesos!$B$31+AL218*Pesos!$B$32+AM218*Pesos!$B$33+AN218*Pesos!$B$34+AO218*Pesos!$B$35+AP218*Pesos!$B$36+AQ218*Pesos!$B$37+AR218*Pesos!$B$38+AS218*Pesos!$B$39+AT218*Pesos!$B$40+AU218*Pesos!$B$41+AV218*Pesos!$B$42+AW218*Pesos!$B$43+AX218*Pesos!$B$44+AY218*Pesos!$B$45+AZ218*Pesos!$B$46+BA218*Pesos!$B$47+BB218*Pesos!$B$48+BC218*Pesos!$B$49+BD218*Pesos!$B$50+BE218*Pesos!$B$51+BF218*Pesos!$B$52+BG218*Pesos!$B$53</f>
        <v>30</v>
      </c>
      <c r="G218" s="6" t="n">
        <f aca="false">E218*F218</f>
        <v>15</v>
      </c>
      <c r="H218" s="3" t="n">
        <v>49</v>
      </c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 t="n">
        <v>-5</v>
      </c>
      <c r="AC218" s="3" t="n">
        <v>10</v>
      </c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 t="s">
        <v>686</v>
      </c>
      <c r="BI218" s="3"/>
      <c r="BJ218" s="3"/>
      <c r="BK218" s="3"/>
      <c r="BL218" s="3"/>
      <c r="BM218" s="3"/>
    </row>
    <row r="219" customFormat="false" ht="15" hidden="false" customHeight="false" outlineLevel="0" collapsed="false">
      <c r="A219" s="3" t="s">
        <v>63</v>
      </c>
      <c r="B219" s="3" t="s">
        <v>107</v>
      </c>
      <c r="C219" s="3" t="s">
        <v>687</v>
      </c>
      <c r="D219" s="3" t="s">
        <v>688</v>
      </c>
      <c r="E219" s="3" t="n">
        <v>0.5</v>
      </c>
      <c r="F219" s="6" t="n">
        <f aca="false">H219*Pesos!$B$2+I219*Pesos!$B$3+J219*Pesos!$B$4+K219*Pesos!$B$5+L219*Pesos!$B$6+M219*Pesos!$B$7+N219*Pesos!$B$8+O219*Pesos!$B$9+P219*Pesos!$B$10+Q219*Pesos!$B$11+R219*Pesos!$B$12+S219*Pesos!$B$13+T219*Pesos!$B$14+U219*Pesos!$B$15+V219*Pesos!$B$16+W219*Pesos!$B$17+X219*Pesos!$B$18+Y219*Pesos!$B$19+Z219*Pesos!$B$20+AA219*Pesos!$B$21+AB219*Pesos!$B$22+AC219*Pesos!$B$23+AD219*Pesos!$B$24+AE219*Pesos!$B$25+AF219*Pesos!$B$26+AG219*Pesos!$B$27+AH219*Pesos!$B$28+AI219*Pesos!$B$29+AJ219*Pesos!$B$30+AK219*Pesos!$B$31+AL219*Pesos!$B$32+AM219*Pesos!$B$33+AN219*Pesos!$B$34+AO219*Pesos!$B$35+AP219*Pesos!$B$36+AQ219*Pesos!$B$37+AR219*Pesos!$B$38+AS219*Pesos!$B$39+AT219*Pesos!$B$40+AU219*Pesos!$B$41+AV219*Pesos!$B$42+AW219*Pesos!$B$43+AX219*Pesos!$B$44+AY219*Pesos!$B$45+AZ219*Pesos!$B$46+BA219*Pesos!$B$47+BB219*Pesos!$B$48+BC219*Pesos!$B$49+BD219*Pesos!$B$50+BE219*Pesos!$B$51+BF219*Pesos!$B$52+BG219*Pesos!$B$53</f>
        <v>25</v>
      </c>
      <c r="G219" s="6" t="n">
        <f aca="false">E219*F219</f>
        <v>12.5</v>
      </c>
      <c r="H219" s="3" t="n">
        <v>49</v>
      </c>
      <c r="I219" s="3"/>
      <c r="J219" s="3"/>
      <c r="K219" s="3"/>
      <c r="L219" s="3"/>
      <c r="M219" s="3"/>
      <c r="N219" s="3"/>
      <c r="O219" s="3"/>
      <c r="P219" s="3"/>
      <c r="Q219" s="3" t="n">
        <v>1</v>
      </c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customFormat="false" ht="15" hidden="false" customHeight="false" outlineLevel="0" collapsed="false">
      <c r="A220" s="3" t="s">
        <v>63</v>
      </c>
      <c r="B220" s="3" t="s">
        <v>107</v>
      </c>
      <c r="C220" s="3" t="s">
        <v>689</v>
      </c>
      <c r="D220" s="3" t="s">
        <v>690</v>
      </c>
      <c r="E220" s="3" t="n">
        <v>0.5</v>
      </c>
      <c r="F220" s="6" t="n">
        <f aca="false">H220*Pesos!$B$2+I220*Pesos!$B$3+J220*Pesos!$B$4+K220*Pesos!$B$5+L220*Pesos!$B$6+M220*Pesos!$B$7+N220*Pesos!$B$8+O220*Pesos!$B$9+P220*Pesos!$B$10+Q220*Pesos!$B$11+R220*Pesos!$B$12+S220*Pesos!$B$13+T220*Pesos!$B$14+U220*Pesos!$B$15+V220*Pesos!$B$16+W220*Pesos!$B$17+X220*Pesos!$B$18+Y220*Pesos!$B$19+Z220*Pesos!$B$20+AA220*Pesos!$B$21+AB220*Pesos!$B$22+AC220*Pesos!$B$23+AD220*Pesos!$B$24+AE220*Pesos!$B$25+AF220*Pesos!$B$26+AG220*Pesos!$B$27+AH220*Pesos!$B$28+AI220*Pesos!$B$29+AJ220*Pesos!$B$30+AK220*Pesos!$B$31+AL220*Pesos!$B$32+AM220*Pesos!$B$33+AN220*Pesos!$B$34+AO220*Pesos!$B$35+AP220*Pesos!$B$36+AQ220*Pesos!$B$37+AR220*Pesos!$B$38+AS220*Pesos!$B$39+AT220*Pesos!$B$40+AU220*Pesos!$B$41+AV220*Pesos!$B$42+AW220*Pesos!$B$43+AX220*Pesos!$B$44+AY220*Pesos!$B$45+AZ220*Pesos!$B$46+BA220*Pesos!$B$47+BB220*Pesos!$B$48+BC220*Pesos!$B$49+BD220*Pesos!$B$50+BE220*Pesos!$B$51+BF220*Pesos!$B$52+BG220*Pesos!$B$53</f>
        <v>100</v>
      </c>
      <c r="G220" s="6" t="n">
        <f aca="false">E220*F220</f>
        <v>50</v>
      </c>
      <c r="H220" s="3" t="n">
        <v>63</v>
      </c>
      <c r="I220" s="3" t="n">
        <v>100</v>
      </c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 t="s">
        <v>691</v>
      </c>
      <c r="BK220" s="3"/>
      <c r="BL220" s="3"/>
      <c r="BM220" s="3"/>
    </row>
    <row r="221" customFormat="false" ht="15" hidden="false" customHeight="false" outlineLevel="0" collapsed="false">
      <c r="A221" s="3" t="s">
        <v>63</v>
      </c>
      <c r="B221" s="3" t="s">
        <v>107</v>
      </c>
      <c r="C221" s="3" t="s">
        <v>692</v>
      </c>
      <c r="D221" s="3" t="s">
        <v>693</v>
      </c>
      <c r="E221" s="3" t="n">
        <v>0.5</v>
      </c>
      <c r="F221" s="6" t="n">
        <f aca="false">H221*Pesos!$B$2+I221*Pesos!$B$3+J221*Pesos!$B$4+K221*Pesos!$B$5+L221*Pesos!$B$6+M221*Pesos!$B$7+N221*Pesos!$B$8+O221*Pesos!$B$9+P221*Pesos!$B$10+Q221*Pesos!$B$11+R221*Pesos!$B$12+S221*Pesos!$B$13+T221*Pesos!$B$14+U221*Pesos!$B$15+V221*Pesos!$B$16+W221*Pesos!$B$17+X221*Pesos!$B$18+Y221*Pesos!$B$19+Z221*Pesos!$B$20+AA221*Pesos!$B$21+AB221*Pesos!$B$22+AC221*Pesos!$B$23+AD221*Pesos!$B$24+AE221*Pesos!$B$25+AF221*Pesos!$B$26+AG221*Pesos!$B$27+AH221*Pesos!$B$28+AI221*Pesos!$B$29+AJ221*Pesos!$B$30+AK221*Pesos!$B$31+AL221*Pesos!$B$32+AM221*Pesos!$B$33+AN221*Pesos!$B$34+AO221*Pesos!$B$35+AP221*Pesos!$B$36+AQ221*Pesos!$B$37+AR221*Pesos!$B$38+AS221*Pesos!$B$39+AT221*Pesos!$B$40+AU221*Pesos!$B$41+AV221*Pesos!$B$42+AW221*Pesos!$B$43+AX221*Pesos!$B$44+AY221*Pesos!$B$45+AZ221*Pesos!$B$46+BA221*Pesos!$B$47+BB221*Pesos!$B$48+BC221*Pesos!$B$49+BD221*Pesos!$B$50+BE221*Pesos!$B$51+BF221*Pesos!$B$52+BG221*Pesos!$B$53</f>
        <v>145</v>
      </c>
      <c r="G221" s="6" t="n">
        <f aca="false">E221*F221</f>
        <v>72.5</v>
      </c>
      <c r="H221" s="3" t="n">
        <v>63</v>
      </c>
      <c r="I221" s="3"/>
      <c r="J221" s="3"/>
      <c r="K221" s="3"/>
      <c r="L221" s="3"/>
      <c r="M221" s="3"/>
      <c r="N221" s="3" t="n">
        <v>25</v>
      </c>
      <c r="O221" s="3"/>
      <c r="P221" s="3"/>
      <c r="Q221" s="3"/>
      <c r="R221" s="3"/>
      <c r="S221" s="3"/>
      <c r="T221" s="3" t="n">
        <v>2</v>
      </c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customFormat="false" ht="15" hidden="false" customHeight="false" outlineLevel="0" collapsed="false">
      <c r="A222" s="3" t="s">
        <v>63</v>
      </c>
      <c r="B222" s="3" t="s">
        <v>107</v>
      </c>
      <c r="C222" s="3" t="s">
        <v>694</v>
      </c>
      <c r="D222" s="3" t="s">
        <v>695</v>
      </c>
      <c r="E222" s="3" t="n">
        <v>0.5</v>
      </c>
      <c r="F222" s="6" t="n">
        <f aca="false">H222*Pesos!$B$2+I222*Pesos!$B$3+J222*Pesos!$B$4+K222*Pesos!$B$5+L222*Pesos!$B$6+M222*Pesos!$B$7+N222*Pesos!$B$8+O222*Pesos!$B$9+P222*Pesos!$B$10+Q222*Pesos!$B$11+R222*Pesos!$B$12+S222*Pesos!$B$13+T222*Pesos!$B$14+U222*Pesos!$B$15+V222*Pesos!$B$16+W222*Pesos!$B$17+X222*Pesos!$B$18+Y222*Pesos!$B$19+Z222*Pesos!$B$20+AA222*Pesos!$B$21+AB222*Pesos!$B$22+AC222*Pesos!$B$23+AD222*Pesos!$B$24+AE222*Pesos!$B$25+AF222*Pesos!$B$26+AG222*Pesos!$B$27+AH222*Pesos!$B$28+AI222*Pesos!$B$29+AJ222*Pesos!$B$30+AK222*Pesos!$B$31+AL222*Pesos!$B$32+AM222*Pesos!$B$33+AN222*Pesos!$B$34+AO222*Pesos!$B$35+AP222*Pesos!$B$36+AQ222*Pesos!$B$37+AR222*Pesos!$B$38+AS222*Pesos!$B$39+AT222*Pesos!$B$40+AU222*Pesos!$B$41+AV222*Pesos!$B$42+AW222*Pesos!$B$43+AX222*Pesos!$B$44+AY222*Pesos!$B$45+AZ222*Pesos!$B$46+BA222*Pesos!$B$47+BB222*Pesos!$B$48+BC222*Pesos!$B$49+BD222*Pesos!$B$50+BE222*Pesos!$B$51+BF222*Pesos!$B$52+BG222*Pesos!$B$53</f>
        <v>305</v>
      </c>
      <c r="G222" s="6" t="n">
        <f aca="false">E222*F222</f>
        <v>152.5</v>
      </c>
      <c r="H222" s="3" t="n">
        <v>84</v>
      </c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 t="n">
        <v>10</v>
      </c>
      <c r="AD222" s="3"/>
      <c r="AE222" s="3"/>
      <c r="AF222" s="3"/>
      <c r="AG222" s="3"/>
      <c r="AH222" s="3" t="n">
        <v>10</v>
      </c>
      <c r="AI222" s="3"/>
      <c r="AJ222" s="3"/>
      <c r="AK222" s="3"/>
      <c r="AL222" s="3"/>
      <c r="AM222" s="3"/>
      <c r="AN222" s="3"/>
      <c r="AO222" s="3"/>
      <c r="AP222" s="3"/>
      <c r="AQ222" s="3" t="n">
        <v>5</v>
      </c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 t="s">
        <v>695</v>
      </c>
      <c r="BI222" s="3"/>
      <c r="BJ222" s="3"/>
      <c r="BK222" s="3"/>
      <c r="BL222" s="3"/>
      <c r="BM222" s="3"/>
    </row>
    <row r="223" customFormat="false" ht="15" hidden="false" customHeight="false" outlineLevel="0" collapsed="false">
      <c r="A223" s="3" t="s">
        <v>63</v>
      </c>
      <c r="B223" s="3" t="s">
        <v>107</v>
      </c>
      <c r="C223" s="3" t="s">
        <v>696</v>
      </c>
      <c r="D223" s="3" t="s">
        <v>697</v>
      </c>
      <c r="E223" s="3" t="n">
        <v>0.5</v>
      </c>
      <c r="F223" s="6" t="n">
        <f aca="false">H223*Pesos!$B$2+I223*Pesos!$B$3+J223*Pesos!$B$4+K223*Pesos!$B$5+L223*Pesos!$B$6+M223*Pesos!$B$7+N223*Pesos!$B$8+O223*Pesos!$B$9+P223*Pesos!$B$10+Q223*Pesos!$B$11+R223*Pesos!$B$12+S223*Pesos!$B$13+T223*Pesos!$B$14+U223*Pesos!$B$15+V223*Pesos!$B$16+W223*Pesos!$B$17+X223*Pesos!$B$18+Y223*Pesos!$B$19+Z223*Pesos!$B$20+AA223*Pesos!$B$21+AB223*Pesos!$B$22+AC223*Pesos!$B$23+AD223*Pesos!$B$24+AE223*Pesos!$B$25+AF223*Pesos!$B$26+AG223*Pesos!$B$27+AH223*Pesos!$B$28+AI223*Pesos!$B$29+AJ223*Pesos!$B$30+AK223*Pesos!$B$31+AL223*Pesos!$B$32+AM223*Pesos!$B$33+AN223*Pesos!$B$34+AO223*Pesos!$B$35+AP223*Pesos!$B$36+AQ223*Pesos!$B$37+AR223*Pesos!$B$38+AS223*Pesos!$B$39+AT223*Pesos!$B$40+AU223*Pesos!$B$41+AV223*Pesos!$B$42+AW223*Pesos!$B$43+AX223*Pesos!$B$44+AY223*Pesos!$B$45+AZ223*Pesos!$B$46+BA223*Pesos!$B$47+BB223*Pesos!$B$48+BC223*Pesos!$B$49+BD223*Pesos!$B$50+BE223*Pesos!$B$51+BF223*Pesos!$B$52+BG223*Pesos!$B$53</f>
        <v>100</v>
      </c>
      <c r="G223" s="6" t="n">
        <f aca="false">E223*F223</f>
        <v>50</v>
      </c>
      <c r="H223" s="3" t="n">
        <v>105</v>
      </c>
      <c r="I223" s="3"/>
      <c r="J223" s="3"/>
      <c r="K223" s="3" t="n">
        <v>10</v>
      </c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 t="n">
        <v>1</v>
      </c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customFormat="false" ht="15" hidden="false" customHeight="false" outlineLevel="0" collapsed="false">
      <c r="A224" s="3" t="s">
        <v>63</v>
      </c>
      <c r="B224" s="3" t="s">
        <v>80</v>
      </c>
      <c r="C224" s="3" t="s">
        <v>698</v>
      </c>
      <c r="D224" s="3" t="s">
        <v>699</v>
      </c>
      <c r="E224" s="3" t="n">
        <v>1</v>
      </c>
      <c r="F224" s="6" t="n">
        <f aca="false">H224*Pesos!$B$2+I224*Pesos!$B$3+J224*Pesos!$B$4+K224*Pesos!$B$5+L224*Pesos!$B$6+M224*Pesos!$B$7+N224*Pesos!$B$8+O224*Pesos!$B$9+P224*Pesos!$B$10+Q224*Pesos!$B$11+R224*Pesos!$B$12+S224*Pesos!$B$13+T224*Pesos!$B$14+U224*Pesos!$B$15+V224*Pesos!$B$16+W224*Pesos!$B$17+X224*Pesos!$B$18+Y224*Pesos!$B$19+Z224*Pesos!$B$20+AA224*Pesos!$B$21+AB224*Pesos!$B$22+AC224*Pesos!$B$23+AD224*Pesos!$B$24+AE224*Pesos!$B$25+AF224*Pesos!$B$26+AG224*Pesos!$B$27+AH224*Pesos!$B$28+AI224*Pesos!$B$29+AJ224*Pesos!$B$30+AK224*Pesos!$B$31+AL224*Pesos!$B$32+AM224*Pesos!$B$33+AN224*Pesos!$B$34+AO224*Pesos!$B$35+AP224*Pesos!$B$36+AQ224*Pesos!$B$37+AR224*Pesos!$B$38+AS224*Pesos!$B$39+AT224*Pesos!$B$40+AU224*Pesos!$B$41+AV224*Pesos!$B$42+AW224*Pesos!$B$43+AX224*Pesos!$B$44+AY224*Pesos!$B$45+AZ224*Pesos!$B$46+BA224*Pesos!$B$47+BB224*Pesos!$B$48+BC224*Pesos!$B$49+BD224*Pesos!$B$50+BE224*Pesos!$B$51+BF224*Pesos!$B$52+BG224*Pesos!$B$53</f>
        <v>170</v>
      </c>
      <c r="G224" s="6" t="n">
        <f aca="false">E224*F224</f>
        <v>170</v>
      </c>
      <c r="H224" s="3" t="n">
        <v>70</v>
      </c>
      <c r="I224" s="3" t="n">
        <v>120</v>
      </c>
      <c r="J224" s="3" t="n">
        <v>5</v>
      </c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customFormat="false" ht="15" hidden="false" customHeight="false" outlineLevel="0" collapsed="false">
      <c r="A225" s="3" t="s">
        <v>63</v>
      </c>
      <c r="B225" s="3" t="s">
        <v>80</v>
      </c>
      <c r="C225" s="3" t="s">
        <v>700</v>
      </c>
      <c r="D225" s="3" t="s">
        <v>701</v>
      </c>
      <c r="E225" s="3" t="n">
        <v>1</v>
      </c>
      <c r="F225" s="6" t="n">
        <f aca="false">H225*Pesos!$B$2+I225*Pesos!$B$3+J225*Pesos!$B$4+K225*Pesos!$B$5+L225*Pesos!$B$6+M225*Pesos!$B$7+N225*Pesos!$B$8+O225*Pesos!$B$9+P225*Pesos!$B$10+Q225*Pesos!$B$11+R225*Pesos!$B$12+S225*Pesos!$B$13+T225*Pesos!$B$14+U225*Pesos!$B$15+V225*Pesos!$B$16+W225*Pesos!$B$17+X225*Pesos!$B$18+Y225*Pesos!$B$19+Z225*Pesos!$B$20+AA225*Pesos!$B$21+AB225*Pesos!$B$22+AC225*Pesos!$B$23+AD225*Pesos!$B$24+AE225*Pesos!$B$25+AF225*Pesos!$B$26+AG225*Pesos!$B$27+AH225*Pesos!$B$28+AI225*Pesos!$B$29+AJ225*Pesos!$B$30+AK225*Pesos!$B$31+AL225*Pesos!$B$32+AM225*Pesos!$B$33+AN225*Pesos!$B$34+AO225*Pesos!$B$35+AP225*Pesos!$B$36+AQ225*Pesos!$B$37+AR225*Pesos!$B$38+AS225*Pesos!$B$39+AT225*Pesos!$B$40+AU225*Pesos!$B$41+AV225*Pesos!$B$42+AW225*Pesos!$B$43+AX225*Pesos!$B$44+AY225*Pesos!$B$45+AZ225*Pesos!$B$46+BA225*Pesos!$B$47+BB225*Pesos!$B$48+BC225*Pesos!$B$49+BD225*Pesos!$B$50+BE225*Pesos!$B$51+BF225*Pesos!$B$52+BG225*Pesos!$B$53</f>
        <v>339.5</v>
      </c>
      <c r="G225" s="6" t="n">
        <f aca="false">E225*F225</f>
        <v>339.5</v>
      </c>
      <c r="H225" s="3" t="n">
        <v>70</v>
      </c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 t="n">
        <v>0.15</v>
      </c>
      <c r="AB225" s="3" t="n">
        <v>8</v>
      </c>
      <c r="AC225" s="3"/>
      <c r="AD225" s="3"/>
      <c r="AE225" s="3"/>
      <c r="AF225" s="3"/>
      <c r="AG225" s="3"/>
      <c r="AH225" s="3"/>
      <c r="AI225" s="3"/>
      <c r="AJ225" s="3"/>
      <c r="AK225" s="3"/>
      <c r="AL225" s="3" t="n">
        <v>-5</v>
      </c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 t="s">
        <v>701</v>
      </c>
      <c r="BI225" s="3"/>
      <c r="BJ225" s="3"/>
      <c r="BK225" s="3"/>
      <c r="BL225" s="3"/>
      <c r="BM225" s="3"/>
    </row>
    <row r="226" customFormat="false" ht="15" hidden="false" customHeight="false" outlineLevel="0" collapsed="false">
      <c r="A226" s="3" t="s">
        <v>63</v>
      </c>
      <c r="B226" s="3" t="s">
        <v>80</v>
      </c>
      <c r="C226" s="3" t="s">
        <v>702</v>
      </c>
      <c r="D226" s="3" t="s">
        <v>703</v>
      </c>
      <c r="E226" s="3" t="n">
        <v>1</v>
      </c>
      <c r="F226" s="6" t="n">
        <f aca="false">H226*Pesos!$B$2+I226*Pesos!$B$3+J226*Pesos!$B$4+K226*Pesos!$B$5+L226*Pesos!$B$6+M226*Pesos!$B$7+N226*Pesos!$B$8+O226*Pesos!$B$9+P226*Pesos!$B$10+Q226*Pesos!$B$11+R226*Pesos!$B$12+S226*Pesos!$B$13+T226*Pesos!$B$14+U226*Pesos!$B$15+V226*Pesos!$B$16+W226*Pesos!$B$17+X226*Pesos!$B$18+Y226*Pesos!$B$19+Z226*Pesos!$B$20+AA226*Pesos!$B$21+AB226*Pesos!$B$22+AC226*Pesos!$B$23+AD226*Pesos!$B$24+AE226*Pesos!$B$25+AF226*Pesos!$B$26+AG226*Pesos!$B$27+AH226*Pesos!$B$28+AI226*Pesos!$B$29+AJ226*Pesos!$B$30+AK226*Pesos!$B$31+AL226*Pesos!$B$32+AM226*Pesos!$B$33+AN226*Pesos!$B$34+AO226*Pesos!$B$35+AP226*Pesos!$B$36+AQ226*Pesos!$B$37+AR226*Pesos!$B$38+AS226*Pesos!$B$39+AT226*Pesos!$B$40+AU226*Pesos!$B$41+AV226*Pesos!$B$42+AW226*Pesos!$B$43+AX226*Pesos!$B$44+AY226*Pesos!$B$45+AZ226*Pesos!$B$46+BA226*Pesos!$B$47+BB226*Pesos!$B$48+BC226*Pesos!$B$49+BD226*Pesos!$B$50+BE226*Pesos!$B$51+BF226*Pesos!$B$52+BG226*Pesos!$B$53</f>
        <v>65</v>
      </c>
      <c r="G226" s="6" t="n">
        <f aca="false">E226*F226</f>
        <v>65</v>
      </c>
      <c r="H226" s="3" t="n">
        <v>70</v>
      </c>
      <c r="I226" s="3"/>
      <c r="J226" s="3"/>
      <c r="K226" s="3" t="n">
        <v>5</v>
      </c>
      <c r="L226" s="3"/>
      <c r="M226" s="3" t="n">
        <v>25</v>
      </c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customFormat="false" ht="15" hidden="false" customHeight="false" outlineLevel="0" collapsed="false">
      <c r="A227" s="3" t="s">
        <v>63</v>
      </c>
      <c r="B227" s="3" t="s">
        <v>80</v>
      </c>
      <c r="C227" s="3" t="s">
        <v>704</v>
      </c>
      <c r="D227" s="3" t="s">
        <v>705</v>
      </c>
      <c r="E227" s="3" t="n">
        <v>1</v>
      </c>
      <c r="F227" s="6" t="n">
        <f aca="false">H227*Pesos!$B$2+I227*Pesos!$B$3+J227*Pesos!$B$4+K227*Pesos!$B$5+L227*Pesos!$B$6+M227*Pesos!$B$7+N227*Pesos!$B$8+O227*Pesos!$B$9+P227*Pesos!$B$10+Q227*Pesos!$B$11+R227*Pesos!$B$12+S227*Pesos!$B$13+T227*Pesos!$B$14+U227*Pesos!$B$15+V227*Pesos!$B$16+W227*Pesos!$B$17+X227*Pesos!$B$18+Y227*Pesos!$B$19+Z227*Pesos!$B$20+AA227*Pesos!$B$21+AB227*Pesos!$B$22+AC227*Pesos!$B$23+AD227*Pesos!$B$24+AE227*Pesos!$B$25+AF227*Pesos!$B$26+AG227*Pesos!$B$27+AH227*Pesos!$B$28+AI227*Pesos!$B$29+AJ227*Pesos!$B$30+AK227*Pesos!$B$31+AL227*Pesos!$B$32+AM227*Pesos!$B$33+AN227*Pesos!$B$34+AO227*Pesos!$B$35+AP227*Pesos!$B$36+AQ227*Pesos!$B$37+AR227*Pesos!$B$38+AS227*Pesos!$B$39+AT227*Pesos!$B$40+AU227*Pesos!$B$41+AV227*Pesos!$B$42+AW227*Pesos!$B$43+AX227*Pesos!$B$44+AY227*Pesos!$B$45+AZ227*Pesos!$B$46+BA227*Pesos!$B$47+BB227*Pesos!$B$48+BC227*Pesos!$B$49+BD227*Pesos!$B$50+BE227*Pesos!$B$51+BF227*Pesos!$B$52+BG227*Pesos!$B$53</f>
        <v>190</v>
      </c>
      <c r="G227" s="6" t="n">
        <f aca="false">E227*F227</f>
        <v>190</v>
      </c>
      <c r="H227" s="3" t="n">
        <v>105</v>
      </c>
      <c r="I227" s="3" t="n">
        <v>50</v>
      </c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 t="n">
        <v>7</v>
      </c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customFormat="false" ht="15" hidden="false" customHeight="false" outlineLevel="0" collapsed="false">
      <c r="A228" s="3" t="s">
        <v>63</v>
      </c>
      <c r="B228" s="3" t="s">
        <v>108</v>
      </c>
      <c r="C228" s="3" t="s">
        <v>706</v>
      </c>
      <c r="D228" s="3" t="s">
        <v>707</v>
      </c>
      <c r="E228" s="3" t="n">
        <v>1</v>
      </c>
      <c r="F228" s="6" t="n">
        <f aca="false">H228*Pesos!$B$2+I228*Pesos!$B$3+J228*Pesos!$B$4+K228*Pesos!$B$5+L228*Pesos!$B$6+M228*Pesos!$B$7+N228*Pesos!$B$8+O228*Pesos!$B$9+P228*Pesos!$B$10+Q228*Pesos!$B$11+R228*Pesos!$B$12+S228*Pesos!$B$13+T228*Pesos!$B$14+U228*Pesos!$B$15+V228*Pesos!$B$16+W228*Pesos!$B$17+X228*Pesos!$B$18+Y228*Pesos!$B$19+Z228*Pesos!$B$20+AA228*Pesos!$B$21+AB228*Pesos!$B$22+AC228*Pesos!$B$23+AD228*Pesos!$B$24+AE228*Pesos!$B$25+AF228*Pesos!$B$26+AG228*Pesos!$B$27+AH228*Pesos!$B$28+AI228*Pesos!$B$29+AJ228*Pesos!$B$30+AK228*Pesos!$B$31+AL228*Pesos!$B$32+AM228*Pesos!$B$33+AN228*Pesos!$B$34+AO228*Pesos!$B$35+AP228*Pesos!$B$36+AQ228*Pesos!$B$37+AR228*Pesos!$B$38+AS228*Pesos!$B$39+AT228*Pesos!$B$40+AU228*Pesos!$B$41+AV228*Pesos!$B$42+AW228*Pesos!$B$43+AX228*Pesos!$B$44+AY228*Pesos!$B$45+AZ228*Pesos!$B$46+BA228*Pesos!$B$47+BB228*Pesos!$B$48+BC228*Pesos!$B$49+BD228*Pesos!$B$50+BE228*Pesos!$B$51+BF228*Pesos!$B$52+BG228*Pesos!$B$53</f>
        <v>200</v>
      </c>
      <c r="G228" s="6" t="n">
        <f aca="false">E228*F228</f>
        <v>200</v>
      </c>
      <c r="H228" s="3" t="n">
        <v>49</v>
      </c>
      <c r="I228" s="3"/>
      <c r="J228" s="3"/>
      <c r="K228" s="3"/>
      <c r="L228" s="3"/>
      <c r="M228" s="3"/>
      <c r="N228" s="3"/>
      <c r="O228" s="3"/>
      <c r="P228" s="3"/>
      <c r="Q228" s="3"/>
      <c r="R228" s="3" t="n">
        <v>2</v>
      </c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customFormat="false" ht="15" hidden="false" customHeight="false" outlineLevel="0" collapsed="false">
      <c r="A229" s="3" t="s">
        <v>63</v>
      </c>
      <c r="B229" s="3" t="s">
        <v>108</v>
      </c>
      <c r="C229" s="3" t="s">
        <v>708</v>
      </c>
      <c r="D229" s="3" t="s">
        <v>709</v>
      </c>
      <c r="E229" s="3" t="n">
        <v>0.5</v>
      </c>
      <c r="F229" s="6" t="n">
        <f aca="false">H229*Pesos!$B$2+I229*Pesos!$B$3+J229*Pesos!$B$4+K229*Pesos!$B$5+L229*Pesos!$B$6+M229*Pesos!$B$7+N229*Pesos!$B$8+O229*Pesos!$B$9+P229*Pesos!$B$10+Q229*Pesos!$B$11+R229*Pesos!$B$12+S229*Pesos!$B$13+T229*Pesos!$B$14+U229*Pesos!$B$15+V229*Pesos!$B$16+W229*Pesos!$B$17+X229*Pesos!$B$18+Y229*Pesos!$B$19+Z229*Pesos!$B$20+AA229*Pesos!$B$21+AB229*Pesos!$B$22+AC229*Pesos!$B$23+AD229*Pesos!$B$24+AE229*Pesos!$B$25+AF229*Pesos!$B$26+AG229*Pesos!$B$27+AH229*Pesos!$B$28+AI229*Pesos!$B$29+AJ229*Pesos!$B$30+AK229*Pesos!$B$31+AL229*Pesos!$B$32+AM229*Pesos!$B$33+AN229*Pesos!$B$34+AO229*Pesos!$B$35+AP229*Pesos!$B$36+AQ229*Pesos!$B$37+AR229*Pesos!$B$38+AS229*Pesos!$B$39+AT229*Pesos!$B$40+AU229*Pesos!$B$41+AV229*Pesos!$B$42+AW229*Pesos!$B$43+AX229*Pesos!$B$44+AY229*Pesos!$B$45+AZ229*Pesos!$B$46+BA229*Pesos!$B$47+BB229*Pesos!$B$48+BC229*Pesos!$B$49+BD229*Pesos!$B$50+BE229*Pesos!$B$51+BF229*Pesos!$B$52+BG229*Pesos!$B$53</f>
        <v>135</v>
      </c>
      <c r="G229" s="6" t="n">
        <f aca="false">E229*F229</f>
        <v>67.5</v>
      </c>
      <c r="H229" s="3" t="n">
        <v>63</v>
      </c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 t="n">
        <v>-5</v>
      </c>
      <c r="AD229" s="3"/>
      <c r="AE229" s="3" t="n">
        <v>25</v>
      </c>
      <c r="AF229" s="3"/>
      <c r="AG229" s="3" t="n">
        <v>5</v>
      </c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 t="s">
        <v>709</v>
      </c>
      <c r="BI229" s="3"/>
      <c r="BJ229" s="3"/>
      <c r="BK229" s="3"/>
      <c r="BL229" s="3"/>
      <c r="BM229" s="3" t="s">
        <v>710</v>
      </c>
    </row>
    <row r="230" customFormat="false" ht="15" hidden="false" customHeight="false" outlineLevel="0" collapsed="false">
      <c r="A230" s="3" t="s">
        <v>63</v>
      </c>
      <c r="B230" s="3" t="s">
        <v>108</v>
      </c>
      <c r="C230" s="3" t="s">
        <v>711</v>
      </c>
      <c r="D230" s="3" t="s">
        <v>712</v>
      </c>
      <c r="E230" s="3" t="n">
        <v>0.5</v>
      </c>
      <c r="F230" s="6" t="n">
        <f aca="false">H230*Pesos!$B$2+I230*Pesos!$B$3+J230*Pesos!$B$4+K230*Pesos!$B$5+L230*Pesos!$B$6+M230*Pesos!$B$7+N230*Pesos!$B$8+O230*Pesos!$B$9+P230*Pesos!$B$10+Q230*Pesos!$B$11+R230*Pesos!$B$12+S230*Pesos!$B$13+T230*Pesos!$B$14+U230*Pesos!$B$15+V230*Pesos!$B$16+W230*Pesos!$B$17+X230*Pesos!$B$18+Y230*Pesos!$B$19+Z230*Pesos!$B$20+AA230*Pesos!$B$21+AB230*Pesos!$B$22+AC230*Pesos!$B$23+AD230*Pesos!$B$24+AE230*Pesos!$B$25+AF230*Pesos!$B$26+AG230*Pesos!$B$27+AH230*Pesos!$B$28+AI230*Pesos!$B$29+AJ230*Pesos!$B$30+AK230*Pesos!$B$31+AL230*Pesos!$B$32+AM230*Pesos!$B$33+AN230*Pesos!$B$34+AO230*Pesos!$B$35+AP230*Pesos!$B$36+AQ230*Pesos!$B$37+AR230*Pesos!$B$38+AS230*Pesos!$B$39+AT230*Pesos!$B$40+AU230*Pesos!$B$41+AV230*Pesos!$B$42+AW230*Pesos!$B$43+AX230*Pesos!$B$44+AY230*Pesos!$B$45+AZ230*Pesos!$B$46+BA230*Pesos!$B$47+BB230*Pesos!$B$48+BC230*Pesos!$B$49+BD230*Pesos!$B$50+BE230*Pesos!$B$51+BF230*Pesos!$B$52+BG230*Pesos!$B$53</f>
        <v>200</v>
      </c>
      <c r="G230" s="6" t="n">
        <f aca="false">E230*F230</f>
        <v>100</v>
      </c>
      <c r="H230" s="3" t="n">
        <v>49</v>
      </c>
      <c r="I230" s="3"/>
      <c r="J230" s="3"/>
      <c r="K230" s="3"/>
      <c r="L230" s="3"/>
      <c r="M230" s="3"/>
      <c r="N230" s="3"/>
      <c r="O230" s="3"/>
      <c r="P230" s="3"/>
      <c r="Q230" s="3"/>
      <c r="R230" s="3" t="n">
        <v>2</v>
      </c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customFormat="false" ht="15" hidden="false" customHeight="false" outlineLevel="0" collapsed="false">
      <c r="A231" s="3" t="s">
        <v>63</v>
      </c>
      <c r="B231" s="3" t="s">
        <v>108</v>
      </c>
      <c r="C231" s="3" t="s">
        <v>713</v>
      </c>
      <c r="D231" s="3" t="s">
        <v>714</v>
      </c>
      <c r="E231" s="3" t="n">
        <v>0.5</v>
      </c>
      <c r="F231" s="6" t="n">
        <f aca="false">H231*Pesos!$B$2+I231*Pesos!$B$3+J231*Pesos!$B$4+K231*Pesos!$B$5+L231*Pesos!$B$6+M231*Pesos!$B$7+N231*Pesos!$B$8+O231*Pesos!$B$9+P231*Pesos!$B$10+Q231*Pesos!$B$11+R231*Pesos!$B$12+S231*Pesos!$B$13+T231*Pesos!$B$14+U231*Pesos!$B$15+V231*Pesos!$B$16+W231*Pesos!$B$17+X231*Pesos!$B$18+Y231*Pesos!$B$19+Z231*Pesos!$B$20+AA231*Pesos!$B$21+AB231*Pesos!$B$22+AC231*Pesos!$B$23+AD231*Pesos!$B$24+AE231*Pesos!$B$25+AF231*Pesos!$B$26+AG231*Pesos!$B$27+AH231*Pesos!$B$28+AI231*Pesos!$B$29+AJ231*Pesos!$B$30+AK231*Pesos!$B$31+AL231*Pesos!$B$32+AM231*Pesos!$B$33+AN231*Pesos!$B$34+AO231*Pesos!$B$35+AP231*Pesos!$B$36+AQ231*Pesos!$B$37+AR231*Pesos!$B$38+AS231*Pesos!$B$39+AT231*Pesos!$B$40+AU231*Pesos!$B$41+AV231*Pesos!$B$42+AW231*Pesos!$B$43+AX231*Pesos!$B$44+AY231*Pesos!$B$45+AZ231*Pesos!$B$46+BA231*Pesos!$B$47+BB231*Pesos!$B$48+BC231*Pesos!$B$49+BD231*Pesos!$B$50+BE231*Pesos!$B$51+BF231*Pesos!$B$52+BG231*Pesos!$B$53</f>
        <v>100</v>
      </c>
      <c r="G231" s="6" t="n">
        <f aca="false">E231*F231</f>
        <v>50</v>
      </c>
      <c r="H231" s="3" t="n">
        <v>49</v>
      </c>
      <c r="I231" s="3" t="n">
        <v>100</v>
      </c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customFormat="false" ht="15" hidden="false" customHeight="false" outlineLevel="0" collapsed="false">
      <c r="A232" s="3" t="s">
        <v>63</v>
      </c>
      <c r="B232" s="3" t="s">
        <v>108</v>
      </c>
      <c r="C232" s="3" t="s">
        <v>715</v>
      </c>
      <c r="D232" s="3" t="s">
        <v>716</v>
      </c>
      <c r="E232" s="3" t="n">
        <v>0.5</v>
      </c>
      <c r="F232" s="6" t="n">
        <f aca="false">H232*Pesos!$B$2+I232*Pesos!$B$3+J232*Pesos!$B$4+K232*Pesos!$B$5+L232*Pesos!$B$6+M232*Pesos!$B$7+N232*Pesos!$B$8+O232*Pesos!$B$9+P232*Pesos!$B$10+Q232*Pesos!$B$11+R232*Pesos!$B$12+S232*Pesos!$B$13+T232*Pesos!$B$14+U232*Pesos!$B$15+V232*Pesos!$B$16+W232*Pesos!$B$17+X232*Pesos!$B$18+Y232*Pesos!$B$19+Z232*Pesos!$B$20+AA232*Pesos!$B$21+AB232*Pesos!$B$22+AC232*Pesos!$B$23+AD232*Pesos!$B$24+AE232*Pesos!$B$25+AF232*Pesos!$B$26+AG232*Pesos!$B$27+AH232*Pesos!$B$28+AI232*Pesos!$B$29+AJ232*Pesos!$B$30+AK232*Pesos!$B$31+AL232*Pesos!$B$32+AM232*Pesos!$B$33+AN232*Pesos!$B$34+AO232*Pesos!$B$35+AP232*Pesos!$B$36+AQ232*Pesos!$B$37+AR232*Pesos!$B$38+AS232*Pesos!$B$39+AT232*Pesos!$B$40+AU232*Pesos!$B$41+AV232*Pesos!$B$42+AW232*Pesos!$B$43+AX232*Pesos!$B$44+AY232*Pesos!$B$45+AZ232*Pesos!$B$46+BA232*Pesos!$B$47+BB232*Pesos!$B$48+BC232*Pesos!$B$49+BD232*Pesos!$B$50+BE232*Pesos!$B$51+BF232*Pesos!$B$52+BG232*Pesos!$B$53</f>
        <v>300</v>
      </c>
      <c r="G232" s="6" t="n">
        <f aca="false">E232*F232</f>
        <v>150</v>
      </c>
      <c r="H232" s="3" t="n">
        <v>84</v>
      </c>
      <c r="I232" s="3"/>
      <c r="J232" s="3"/>
      <c r="K232" s="3"/>
      <c r="L232" s="3"/>
      <c r="M232" s="3"/>
      <c r="N232" s="3"/>
      <c r="O232" s="3"/>
      <c r="P232" s="3"/>
      <c r="Q232" s="3"/>
      <c r="R232" s="3" t="n">
        <v>3</v>
      </c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customFormat="false" ht="15" hidden="false" customHeight="false" outlineLevel="0" collapsed="false">
      <c r="A233" s="3" t="s">
        <v>63</v>
      </c>
      <c r="B233" s="3" t="s">
        <v>108</v>
      </c>
      <c r="C233" s="3" t="s">
        <v>717</v>
      </c>
      <c r="D233" s="3" t="s">
        <v>718</v>
      </c>
      <c r="E233" s="3" t="n">
        <v>0.5</v>
      </c>
      <c r="F233" s="6" t="n">
        <f aca="false">H233*Pesos!$B$2+I233*Pesos!$B$3+J233*Pesos!$B$4+K233*Pesos!$B$5+L233*Pesos!$B$6+M233*Pesos!$B$7+N233*Pesos!$B$8+O233*Pesos!$B$9+P233*Pesos!$B$10+Q233*Pesos!$B$11+R233*Pesos!$B$12+S233*Pesos!$B$13+T233*Pesos!$B$14+U233*Pesos!$B$15+V233*Pesos!$B$16+W233*Pesos!$B$17+X233*Pesos!$B$18+Y233*Pesos!$B$19+Z233*Pesos!$B$20+AA233*Pesos!$B$21+AB233*Pesos!$B$22+AC233*Pesos!$B$23+AD233*Pesos!$B$24+AE233*Pesos!$B$25+AF233*Pesos!$B$26+AG233*Pesos!$B$27+AH233*Pesos!$B$28+AI233*Pesos!$B$29+AJ233*Pesos!$B$30+AK233*Pesos!$B$31+AL233*Pesos!$B$32+AM233*Pesos!$B$33+AN233*Pesos!$B$34+AO233*Pesos!$B$35+AP233*Pesos!$B$36+AQ233*Pesos!$B$37+AR233*Pesos!$B$38+AS233*Pesos!$B$39+AT233*Pesos!$B$40+AU233*Pesos!$B$41+AV233*Pesos!$B$42+AW233*Pesos!$B$43+AX233*Pesos!$B$44+AY233*Pesos!$B$45+AZ233*Pesos!$B$46+BA233*Pesos!$B$47+BB233*Pesos!$B$48+BC233*Pesos!$B$49+BD233*Pesos!$B$50+BE233*Pesos!$B$51+BF233*Pesos!$B$52+BG233*Pesos!$B$53</f>
        <v>120</v>
      </c>
      <c r="G233" s="6" t="n">
        <f aca="false">E233*F233</f>
        <v>60</v>
      </c>
      <c r="H233" s="3" t="n">
        <v>77</v>
      </c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 t="n">
        <v>2</v>
      </c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customFormat="false" ht="15" hidden="false" customHeight="false" outlineLevel="0" collapsed="false">
      <c r="A234" s="3" t="s">
        <v>63</v>
      </c>
      <c r="B234" s="3" t="s">
        <v>108</v>
      </c>
      <c r="C234" s="3" t="s">
        <v>719</v>
      </c>
      <c r="D234" s="3" t="s">
        <v>720</v>
      </c>
      <c r="E234" s="3" t="n">
        <v>0.5</v>
      </c>
      <c r="F234" s="6" t="n">
        <f aca="false">H234*Pesos!$B$2+I234*Pesos!$B$3+J234*Pesos!$B$4+K234*Pesos!$B$5+L234*Pesos!$B$6+M234*Pesos!$B$7+N234*Pesos!$B$8+O234*Pesos!$B$9+P234*Pesos!$B$10+Q234*Pesos!$B$11+R234*Pesos!$B$12+S234*Pesos!$B$13+T234*Pesos!$B$14+U234*Pesos!$B$15+V234*Pesos!$B$16+W234*Pesos!$B$17+X234*Pesos!$B$18+Y234*Pesos!$B$19+Z234*Pesos!$B$20+AA234*Pesos!$B$21+AB234*Pesos!$B$22+AC234*Pesos!$B$23+AD234*Pesos!$B$24+AE234*Pesos!$B$25+AF234*Pesos!$B$26+AG234*Pesos!$B$27+AH234*Pesos!$B$28+AI234*Pesos!$B$29+AJ234*Pesos!$B$30+AK234*Pesos!$B$31+AL234*Pesos!$B$32+AM234*Pesos!$B$33+AN234*Pesos!$B$34+AO234*Pesos!$B$35+AP234*Pesos!$B$36+AQ234*Pesos!$B$37+AR234*Pesos!$B$38+AS234*Pesos!$B$39+AT234*Pesos!$B$40+AU234*Pesos!$B$41+AV234*Pesos!$B$42+AW234*Pesos!$B$43+AX234*Pesos!$B$44+AY234*Pesos!$B$45+AZ234*Pesos!$B$46+BA234*Pesos!$B$47+BB234*Pesos!$B$48+BC234*Pesos!$B$49+BD234*Pesos!$B$50+BE234*Pesos!$B$51+BF234*Pesos!$B$52+BG234*Pesos!$B$53</f>
        <v>238.5</v>
      </c>
      <c r="G234" s="6" t="n">
        <f aca="false">E234*F234</f>
        <v>119.25</v>
      </c>
      <c r="H234" s="3" t="n">
        <v>98</v>
      </c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 t="n">
        <v>-0.05</v>
      </c>
      <c r="AB234" s="3"/>
      <c r="AC234" s="3" t="n">
        <v>-5</v>
      </c>
      <c r="AD234" s="3"/>
      <c r="AE234" s="3" t="n">
        <v>15</v>
      </c>
      <c r="AF234" s="3"/>
      <c r="AG234" s="3" t="n">
        <v>5</v>
      </c>
      <c r="AH234" s="3"/>
      <c r="AI234" s="3"/>
      <c r="AJ234" s="3"/>
      <c r="AK234" s="3"/>
      <c r="AL234" s="3" t="n">
        <v>-5</v>
      </c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 t="s">
        <v>721</v>
      </c>
      <c r="BI234" s="3"/>
      <c r="BJ234" s="3"/>
      <c r="BK234" s="3"/>
      <c r="BL234" s="3"/>
      <c r="BM234" s="3"/>
    </row>
    <row r="235" customFormat="false" ht="15" hidden="false" customHeight="false" outlineLevel="0" collapsed="false">
      <c r="A235" s="3" t="s">
        <v>63</v>
      </c>
      <c r="B235" s="3" t="s">
        <v>109</v>
      </c>
      <c r="C235" s="3" t="s">
        <v>710</v>
      </c>
      <c r="D235" s="3" t="s">
        <v>722</v>
      </c>
      <c r="E235" s="3" t="n">
        <v>0.5</v>
      </c>
      <c r="F235" s="6" t="n">
        <f aca="false">H235*Pesos!$B$2+I235*Pesos!$B$3+J235*Pesos!$B$4+K235*Pesos!$B$5+L235*Pesos!$B$6+M235*Pesos!$B$7+N235*Pesos!$B$8+O235*Pesos!$B$9+P235*Pesos!$B$10+Q235*Pesos!$B$11+R235*Pesos!$B$12+S235*Pesos!$B$13+T235*Pesos!$B$14+U235*Pesos!$B$15+V235*Pesos!$B$16+W235*Pesos!$B$17+X235*Pesos!$B$18+Y235*Pesos!$B$19+Z235*Pesos!$B$20+AA235*Pesos!$B$21+AB235*Pesos!$B$22+AC235*Pesos!$B$23+AD235*Pesos!$B$24+AE235*Pesos!$B$25+AF235*Pesos!$B$26+AG235*Pesos!$B$27+AH235*Pesos!$B$28+AI235*Pesos!$B$29+AJ235*Pesos!$B$30+AK235*Pesos!$B$31+AL235*Pesos!$B$32+AM235*Pesos!$B$33+AN235*Pesos!$B$34+AO235*Pesos!$B$35+AP235*Pesos!$B$36+AQ235*Pesos!$B$37+AR235*Pesos!$B$38+AS235*Pesos!$B$39+AT235*Pesos!$B$40+AU235*Pesos!$B$41+AV235*Pesos!$B$42+AW235*Pesos!$B$43+AX235*Pesos!$B$44+AY235*Pesos!$B$45+AZ235*Pesos!$B$46+BA235*Pesos!$B$47+BB235*Pesos!$B$48+BC235*Pesos!$B$49+BD235*Pesos!$B$50+BE235*Pesos!$B$51+BF235*Pesos!$B$52+BG235*Pesos!$B$53</f>
        <v>94.5</v>
      </c>
      <c r="G235" s="6" t="n">
        <f aca="false">E235*F235</f>
        <v>47.25</v>
      </c>
      <c r="H235" s="3" t="n">
        <v>63</v>
      </c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 t="n">
        <v>0.15</v>
      </c>
      <c r="AB235" s="3"/>
      <c r="AC235" s="3"/>
      <c r="AD235" s="3"/>
      <c r="AE235" s="3" t="n">
        <v>-15</v>
      </c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 t="s">
        <v>722</v>
      </c>
      <c r="BI235" s="3"/>
      <c r="BJ235" s="3"/>
      <c r="BK235" s="3"/>
      <c r="BL235" s="3"/>
      <c r="BM235" s="3" t="s">
        <v>708</v>
      </c>
    </row>
    <row r="236" customFormat="false" ht="15" hidden="false" customHeight="false" outlineLevel="0" collapsed="false">
      <c r="A236" s="3" t="s">
        <v>63</v>
      </c>
      <c r="B236" s="3" t="s">
        <v>109</v>
      </c>
      <c r="C236" s="3" t="s">
        <v>723</v>
      </c>
      <c r="D236" s="3" t="s">
        <v>724</v>
      </c>
      <c r="E236" s="3" t="n">
        <v>0.5</v>
      </c>
      <c r="F236" s="6" t="n">
        <f aca="false">H236*Pesos!$B$2+I236*Pesos!$B$3+J236*Pesos!$B$4+K236*Pesos!$B$5+L236*Pesos!$B$6+M236*Pesos!$B$7+N236*Pesos!$B$8+O236*Pesos!$B$9+P236*Pesos!$B$10+Q236*Pesos!$B$11+R236*Pesos!$B$12+S236*Pesos!$B$13+T236*Pesos!$B$14+U236*Pesos!$B$15+V236*Pesos!$B$16+W236*Pesos!$B$17+X236*Pesos!$B$18+Y236*Pesos!$B$19+Z236*Pesos!$B$20+AA236*Pesos!$B$21+AB236*Pesos!$B$22+AC236*Pesos!$B$23+AD236*Pesos!$B$24+AE236*Pesos!$B$25+AF236*Pesos!$B$26+AG236*Pesos!$B$27+AH236*Pesos!$B$28+AI236*Pesos!$B$29+AJ236*Pesos!$B$30+AK236*Pesos!$B$31+AL236*Pesos!$B$32+AM236*Pesos!$B$33+AN236*Pesos!$B$34+AO236*Pesos!$B$35+AP236*Pesos!$B$36+AQ236*Pesos!$B$37+AR236*Pesos!$B$38+AS236*Pesos!$B$39+AT236*Pesos!$B$40+AU236*Pesos!$B$41+AV236*Pesos!$B$42+AW236*Pesos!$B$43+AX236*Pesos!$B$44+AY236*Pesos!$B$45+AZ236*Pesos!$B$46+BA236*Pesos!$B$47+BB236*Pesos!$B$48+BC236*Pesos!$B$49+BD236*Pesos!$B$50+BE236*Pesos!$B$51+BF236*Pesos!$B$52+BG236*Pesos!$B$53</f>
        <v>120</v>
      </c>
      <c r="G236" s="6" t="n">
        <f aca="false">E236*F236</f>
        <v>60</v>
      </c>
      <c r="H236" s="3" t="n">
        <v>49</v>
      </c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 t="n">
        <v>2</v>
      </c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customFormat="false" ht="15" hidden="false" customHeight="false" outlineLevel="0" collapsed="false">
      <c r="A237" s="3" t="s">
        <v>63</v>
      </c>
      <c r="B237" s="3" t="s">
        <v>109</v>
      </c>
      <c r="C237" s="3" t="s">
        <v>725</v>
      </c>
      <c r="D237" s="3" t="s">
        <v>726</v>
      </c>
      <c r="E237" s="3" t="n">
        <v>0.5</v>
      </c>
      <c r="F237" s="6" t="n">
        <f aca="false">H237*Pesos!$B$2+I237*Pesos!$B$3+J237*Pesos!$B$4+K237*Pesos!$B$5+L237*Pesos!$B$6+M237*Pesos!$B$7+N237*Pesos!$B$8+O237*Pesos!$B$9+P237*Pesos!$B$10+Q237*Pesos!$B$11+R237*Pesos!$B$12+S237*Pesos!$B$13+T237*Pesos!$B$14+U237*Pesos!$B$15+V237*Pesos!$B$16+W237*Pesos!$B$17+X237*Pesos!$B$18+Y237*Pesos!$B$19+Z237*Pesos!$B$20+AA237*Pesos!$B$21+AB237*Pesos!$B$22+AC237*Pesos!$B$23+AD237*Pesos!$B$24+AE237*Pesos!$B$25+AF237*Pesos!$B$26+AG237*Pesos!$B$27+AH237*Pesos!$B$28+AI237*Pesos!$B$29+AJ237*Pesos!$B$30+AK237*Pesos!$B$31+AL237*Pesos!$B$32+AM237*Pesos!$B$33+AN237*Pesos!$B$34+AO237*Pesos!$B$35+AP237*Pesos!$B$36+AQ237*Pesos!$B$37+AR237*Pesos!$B$38+AS237*Pesos!$B$39+AT237*Pesos!$B$40+AU237*Pesos!$B$41+AV237*Pesos!$B$42+AW237*Pesos!$B$43+AX237*Pesos!$B$44+AY237*Pesos!$B$45+AZ237*Pesos!$B$46+BA237*Pesos!$B$47+BB237*Pesos!$B$48+BC237*Pesos!$B$49+BD237*Pesos!$B$50+BE237*Pesos!$B$51+BF237*Pesos!$B$52+BG237*Pesos!$B$53</f>
        <v>100</v>
      </c>
      <c r="G237" s="6" t="n">
        <f aca="false">E237*F237</f>
        <v>50</v>
      </c>
      <c r="H237" s="3" t="n">
        <v>49</v>
      </c>
      <c r="I237" s="3" t="n">
        <v>100</v>
      </c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customFormat="false" ht="15" hidden="false" customHeight="false" outlineLevel="0" collapsed="false">
      <c r="A238" s="3" t="s">
        <v>63</v>
      </c>
      <c r="B238" s="3" t="s">
        <v>109</v>
      </c>
      <c r="C238" s="3" t="s">
        <v>727</v>
      </c>
      <c r="D238" s="3" t="s">
        <v>728</v>
      </c>
      <c r="E238" s="3" t="n">
        <v>0.5</v>
      </c>
      <c r="F238" s="6" t="n">
        <f aca="false">H238*Pesos!$B$2+I238*Pesos!$B$3+J238*Pesos!$B$4+K238*Pesos!$B$5+L238*Pesos!$B$6+M238*Pesos!$B$7+N238*Pesos!$B$8+O238*Pesos!$B$9+P238*Pesos!$B$10+Q238*Pesos!$B$11+R238*Pesos!$B$12+S238*Pesos!$B$13+T238*Pesos!$B$14+U238*Pesos!$B$15+V238*Pesos!$B$16+W238*Pesos!$B$17+X238*Pesos!$B$18+Y238*Pesos!$B$19+Z238*Pesos!$B$20+AA238*Pesos!$B$21+AB238*Pesos!$B$22+AC238*Pesos!$B$23+AD238*Pesos!$B$24+AE238*Pesos!$B$25+AF238*Pesos!$B$26+AG238*Pesos!$B$27+AH238*Pesos!$B$28+AI238*Pesos!$B$29+AJ238*Pesos!$B$30+AK238*Pesos!$B$31+AL238*Pesos!$B$32+AM238*Pesos!$B$33+AN238*Pesos!$B$34+AO238*Pesos!$B$35+AP238*Pesos!$B$36+AQ238*Pesos!$B$37+AR238*Pesos!$B$38+AS238*Pesos!$B$39+AT238*Pesos!$B$40+AU238*Pesos!$B$41+AV238*Pesos!$B$42+AW238*Pesos!$B$43+AX238*Pesos!$B$44+AY238*Pesos!$B$45+AZ238*Pesos!$B$46+BA238*Pesos!$B$47+BB238*Pesos!$B$48+BC238*Pesos!$B$49+BD238*Pesos!$B$50+BE238*Pesos!$B$51+BF238*Pesos!$B$52+BG238*Pesos!$B$53</f>
        <v>240</v>
      </c>
      <c r="G238" s="6" t="n">
        <f aca="false">E238*F238</f>
        <v>120</v>
      </c>
      <c r="H238" s="3" t="n">
        <v>84</v>
      </c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 t="n">
        <v>3</v>
      </c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customFormat="false" ht="15" hidden="false" customHeight="false" outlineLevel="0" collapsed="false">
      <c r="A239" s="3" t="s">
        <v>63</v>
      </c>
      <c r="B239" s="3" t="s">
        <v>109</v>
      </c>
      <c r="C239" s="3" t="s">
        <v>729</v>
      </c>
      <c r="D239" s="3" t="s">
        <v>730</v>
      </c>
      <c r="E239" s="3" t="n">
        <v>0.5</v>
      </c>
      <c r="F239" s="6" t="n">
        <f aca="false">H239*Pesos!$B$2+I239*Pesos!$B$3+J239*Pesos!$B$4+K239*Pesos!$B$5+L239*Pesos!$B$6+M239*Pesos!$B$7+N239*Pesos!$B$8+O239*Pesos!$B$9+P239*Pesos!$B$10+Q239*Pesos!$B$11+R239*Pesos!$B$12+S239*Pesos!$B$13+T239*Pesos!$B$14+U239*Pesos!$B$15+V239*Pesos!$B$16+W239*Pesos!$B$17+X239*Pesos!$B$18+Y239*Pesos!$B$19+Z239*Pesos!$B$20+AA239*Pesos!$B$21+AB239*Pesos!$B$22+AC239*Pesos!$B$23+AD239*Pesos!$B$24+AE239*Pesos!$B$25+AF239*Pesos!$B$26+AG239*Pesos!$B$27+AH239*Pesos!$B$28+AI239*Pesos!$B$29+AJ239*Pesos!$B$30+AK239*Pesos!$B$31+AL239*Pesos!$B$32+AM239*Pesos!$B$33+AN239*Pesos!$B$34+AO239*Pesos!$B$35+AP239*Pesos!$B$36+AQ239*Pesos!$B$37+AR239*Pesos!$B$38+AS239*Pesos!$B$39+AT239*Pesos!$B$40+AU239*Pesos!$B$41+AV239*Pesos!$B$42+AW239*Pesos!$B$43+AX239*Pesos!$B$44+AY239*Pesos!$B$45+AZ239*Pesos!$B$46+BA239*Pesos!$B$47+BB239*Pesos!$B$48+BC239*Pesos!$B$49+BD239*Pesos!$B$50+BE239*Pesos!$B$51+BF239*Pesos!$B$52+BG239*Pesos!$B$53</f>
        <v>85</v>
      </c>
      <c r="G239" s="6" t="n">
        <f aca="false">E239*F239</f>
        <v>42.5</v>
      </c>
      <c r="H239" s="3" t="n">
        <v>77</v>
      </c>
      <c r="I239" s="3"/>
      <c r="J239" s="3"/>
      <c r="K239" s="3"/>
      <c r="L239" s="3"/>
      <c r="M239" s="3"/>
      <c r="N239" s="3" t="n">
        <v>25</v>
      </c>
      <c r="O239" s="3"/>
      <c r="P239" s="3"/>
      <c r="Q239" s="3"/>
      <c r="R239" s="3"/>
      <c r="S239" s="3"/>
      <c r="T239" s="3" t="n">
        <v>1</v>
      </c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customFormat="false" ht="15" hidden="false" customHeight="false" outlineLevel="0" collapsed="false">
      <c r="A240" s="3" t="s">
        <v>63</v>
      </c>
      <c r="B240" s="3" t="s">
        <v>109</v>
      </c>
      <c r="C240" s="3" t="s">
        <v>731</v>
      </c>
      <c r="D240" s="3" t="s">
        <v>732</v>
      </c>
      <c r="E240" s="3" t="n">
        <v>0.5</v>
      </c>
      <c r="F240" s="6" t="n">
        <f aca="false">H240*Pesos!$B$2+I240*Pesos!$B$3+J240*Pesos!$B$4+K240*Pesos!$B$5+L240*Pesos!$B$6+M240*Pesos!$B$7+N240*Pesos!$B$8+O240*Pesos!$B$9+P240*Pesos!$B$10+Q240*Pesos!$B$11+R240*Pesos!$B$12+S240*Pesos!$B$13+T240*Pesos!$B$14+U240*Pesos!$B$15+V240*Pesos!$B$16+W240*Pesos!$B$17+X240*Pesos!$B$18+Y240*Pesos!$B$19+Z240*Pesos!$B$20+AA240*Pesos!$B$21+AB240*Pesos!$B$22+AC240*Pesos!$B$23+AD240*Pesos!$B$24+AE240*Pesos!$B$25+AF240*Pesos!$B$26+AG240*Pesos!$B$27+AH240*Pesos!$B$28+AI240*Pesos!$B$29+AJ240*Pesos!$B$30+AK240*Pesos!$B$31+AL240*Pesos!$B$32+AM240*Pesos!$B$33+AN240*Pesos!$B$34+AO240*Pesos!$B$35+AP240*Pesos!$B$36+AQ240*Pesos!$B$37+AR240*Pesos!$B$38+AS240*Pesos!$B$39+AT240*Pesos!$B$40+AU240*Pesos!$B$41+AV240*Pesos!$B$42+AW240*Pesos!$B$43+AX240*Pesos!$B$44+AY240*Pesos!$B$45+AZ240*Pesos!$B$46+BA240*Pesos!$B$47+BB240*Pesos!$B$48+BC240*Pesos!$B$49+BD240*Pesos!$B$50+BE240*Pesos!$B$51+BF240*Pesos!$B$52+BG240*Pesos!$B$53</f>
        <v>233</v>
      </c>
      <c r="G240" s="6" t="n">
        <f aca="false">E240*F240</f>
        <v>116.5</v>
      </c>
      <c r="H240" s="3" t="n">
        <v>98</v>
      </c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 t="n">
        <v>0.1</v>
      </c>
      <c r="AB240" s="3" t="n">
        <v>-5</v>
      </c>
      <c r="AC240" s="3" t="n">
        <v>10</v>
      </c>
      <c r="AD240" s="3"/>
      <c r="AE240" s="3" t="n">
        <v>-20</v>
      </c>
      <c r="AF240" s="3"/>
      <c r="AG240" s="3"/>
      <c r="AH240" s="3" t="n">
        <v>10</v>
      </c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 t="s">
        <v>733</v>
      </c>
      <c r="BI240" s="3"/>
      <c r="BJ240" s="3"/>
      <c r="BK240" s="3"/>
      <c r="BL240" s="3"/>
      <c r="BM240" s="3"/>
    </row>
    <row r="241" customFormat="false" ht="15" hidden="false" customHeight="false" outlineLevel="0" collapsed="false">
      <c r="A241" s="3" t="s">
        <v>63</v>
      </c>
      <c r="B241" s="3" t="s">
        <v>110</v>
      </c>
      <c r="C241" s="3" t="s">
        <v>734</v>
      </c>
      <c r="D241" s="3" t="s">
        <v>735</v>
      </c>
      <c r="E241" s="3" t="n">
        <v>1</v>
      </c>
      <c r="F241" s="6" t="n">
        <f aca="false">H241*Pesos!$B$2+I241*Pesos!$B$3+J241*Pesos!$B$4+K241*Pesos!$B$5+L241*Pesos!$B$6+M241*Pesos!$B$7+N241*Pesos!$B$8+O241*Pesos!$B$9+P241*Pesos!$B$10+Q241*Pesos!$B$11+R241*Pesos!$B$12+S241*Pesos!$B$13+T241*Pesos!$B$14+U241*Pesos!$B$15+V241*Pesos!$B$16+W241*Pesos!$B$17+X241*Pesos!$B$18+Y241*Pesos!$B$19+Z241*Pesos!$B$20+AA241*Pesos!$B$21+AB241*Pesos!$B$22+AC241*Pesos!$B$23+AD241*Pesos!$B$24+AE241*Pesos!$B$25+AF241*Pesos!$B$26+AG241*Pesos!$B$27+AH241*Pesos!$B$28+AI241*Pesos!$B$29+AJ241*Pesos!$B$30+AK241*Pesos!$B$31+AL241*Pesos!$B$32+AM241*Pesos!$B$33+AN241*Pesos!$B$34+AO241*Pesos!$B$35+AP241*Pesos!$B$36+AQ241*Pesos!$B$37+AR241*Pesos!$B$38+AS241*Pesos!$B$39+AT241*Pesos!$B$40+AU241*Pesos!$B$41+AV241*Pesos!$B$42+AW241*Pesos!$B$43+AX241*Pesos!$B$44+AY241*Pesos!$B$45+AZ241*Pesos!$B$46+BA241*Pesos!$B$47+BB241*Pesos!$B$48+BC241*Pesos!$B$49+BD241*Pesos!$B$50+BE241*Pesos!$B$51+BF241*Pesos!$B$52+BG241*Pesos!$B$53</f>
        <v>320</v>
      </c>
      <c r="G241" s="6" t="n">
        <f aca="false">E241*F241</f>
        <v>320</v>
      </c>
      <c r="H241" s="3" t="n">
        <v>49</v>
      </c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 t="n">
        <v>2</v>
      </c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 t="n">
        <v>10</v>
      </c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 t="n">
        <v>10</v>
      </c>
      <c r="BH241" s="3" t="s">
        <v>736</v>
      </c>
      <c r="BI241" s="3"/>
      <c r="BJ241" s="3"/>
      <c r="BK241" s="3"/>
      <c r="BL241" s="3"/>
      <c r="BM241" s="3"/>
    </row>
    <row r="242" customFormat="false" ht="15" hidden="false" customHeight="false" outlineLevel="0" collapsed="false">
      <c r="A242" s="3" t="s">
        <v>63</v>
      </c>
      <c r="B242" s="3" t="s">
        <v>110</v>
      </c>
      <c r="C242" s="3" t="s">
        <v>737</v>
      </c>
      <c r="D242" s="3" t="s">
        <v>738</v>
      </c>
      <c r="E242" s="3" t="n">
        <v>1</v>
      </c>
      <c r="F242" s="6" t="n">
        <f aca="false">H242*Pesos!$B$2+I242*Pesos!$B$3+J242*Pesos!$B$4+K242*Pesos!$B$5+L242*Pesos!$B$6+M242*Pesos!$B$7+N242*Pesos!$B$8+O242*Pesos!$B$9+P242*Pesos!$B$10+Q242*Pesos!$B$11+R242*Pesos!$B$12+S242*Pesos!$B$13+T242*Pesos!$B$14+U242*Pesos!$B$15+V242*Pesos!$B$16+W242*Pesos!$B$17+X242*Pesos!$B$18+Y242*Pesos!$B$19+Z242*Pesos!$B$20+AA242*Pesos!$B$21+AB242*Pesos!$B$22+AC242*Pesos!$B$23+AD242*Pesos!$B$24+AE242*Pesos!$B$25+AF242*Pesos!$B$26+AG242*Pesos!$B$27+AH242*Pesos!$B$28+AI242*Pesos!$B$29+AJ242*Pesos!$B$30+AK242*Pesos!$B$31+AL242*Pesos!$B$32+AM242*Pesos!$B$33+AN242*Pesos!$B$34+AO242*Pesos!$B$35+AP242*Pesos!$B$36+AQ242*Pesos!$B$37+AR242*Pesos!$B$38+AS242*Pesos!$B$39+AT242*Pesos!$B$40+AU242*Pesos!$B$41+AV242*Pesos!$B$42+AW242*Pesos!$B$43+AX242*Pesos!$B$44+AY242*Pesos!$B$45+AZ242*Pesos!$B$46+BA242*Pesos!$B$47+BB242*Pesos!$B$48+BC242*Pesos!$B$49+BD242*Pesos!$B$50+BE242*Pesos!$B$51+BF242*Pesos!$B$52+BG242*Pesos!$B$53</f>
        <v>40</v>
      </c>
      <c r="G242" s="6" t="n">
        <f aca="false">E242*F242</f>
        <v>40</v>
      </c>
      <c r="H242" s="3" t="n">
        <v>49</v>
      </c>
      <c r="I242" s="3"/>
      <c r="J242" s="3"/>
      <c r="K242" s="3"/>
      <c r="L242" s="3"/>
      <c r="M242" s="3"/>
      <c r="N242" s="3"/>
      <c r="O242" s="3"/>
      <c r="P242" s="3"/>
      <c r="Q242" s="3" t="n">
        <v>1</v>
      </c>
      <c r="R242" s="3"/>
      <c r="S242" s="3"/>
      <c r="T242" s="3"/>
      <c r="U242" s="3" t="n">
        <v>1</v>
      </c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customFormat="false" ht="15" hidden="false" customHeight="false" outlineLevel="0" collapsed="false">
      <c r="A243" s="3" t="s">
        <v>63</v>
      </c>
      <c r="B243" s="3" t="s">
        <v>110</v>
      </c>
      <c r="C243" s="3" t="s">
        <v>739</v>
      </c>
      <c r="D243" s="3" t="s">
        <v>740</v>
      </c>
      <c r="E243" s="3" t="n">
        <v>1</v>
      </c>
      <c r="F243" s="6" t="n">
        <f aca="false">H243*Pesos!$B$2+I243*Pesos!$B$3+J243*Pesos!$B$4+K243*Pesos!$B$5+L243*Pesos!$B$6+M243*Pesos!$B$7+N243*Pesos!$B$8+O243*Pesos!$B$9+P243*Pesos!$B$10+Q243*Pesos!$B$11+R243*Pesos!$B$12+S243*Pesos!$B$13+T243*Pesos!$B$14+U243*Pesos!$B$15+V243*Pesos!$B$16+W243*Pesos!$B$17+X243*Pesos!$B$18+Y243*Pesos!$B$19+Z243*Pesos!$B$20+AA243*Pesos!$B$21+AB243*Pesos!$B$22+AC243*Pesos!$B$23+AD243*Pesos!$B$24+AE243*Pesos!$B$25+AF243*Pesos!$B$26+AG243*Pesos!$B$27+AH243*Pesos!$B$28+AI243*Pesos!$B$29+AJ243*Pesos!$B$30+AK243*Pesos!$B$31+AL243*Pesos!$B$32+AM243*Pesos!$B$33+AN243*Pesos!$B$34+AO243*Pesos!$B$35+AP243*Pesos!$B$36+AQ243*Pesos!$B$37+AR243*Pesos!$B$38+AS243*Pesos!$B$39+AT243*Pesos!$B$40+AU243*Pesos!$B$41+AV243*Pesos!$B$42+AW243*Pesos!$B$43+AX243*Pesos!$B$44+AY243*Pesos!$B$45+AZ243*Pesos!$B$46+BA243*Pesos!$B$47+BB243*Pesos!$B$48+BC243*Pesos!$B$49+BD243*Pesos!$B$50+BE243*Pesos!$B$51+BF243*Pesos!$B$52+BG243*Pesos!$B$53</f>
        <v>300</v>
      </c>
      <c r="G243" s="6" t="n">
        <f aca="false">E243*F243</f>
        <v>300</v>
      </c>
      <c r="H243" s="3" t="n">
        <v>49</v>
      </c>
      <c r="I243" s="3"/>
      <c r="J243" s="3"/>
      <c r="K243" s="3"/>
      <c r="L243" s="3"/>
      <c r="M243" s="3"/>
      <c r="N243" s="3"/>
      <c r="O243" s="3"/>
      <c r="P243" s="3"/>
      <c r="Q243" s="3"/>
      <c r="R243" s="3" t="n">
        <v>3</v>
      </c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customFormat="false" ht="15" hidden="false" customHeight="false" outlineLevel="0" collapsed="false">
      <c r="A244" s="3" t="s">
        <v>63</v>
      </c>
      <c r="B244" s="3" t="s">
        <v>110</v>
      </c>
      <c r="C244" s="3" t="s">
        <v>741</v>
      </c>
      <c r="D244" s="3" t="s">
        <v>742</v>
      </c>
      <c r="E244" s="3" t="n">
        <v>1</v>
      </c>
      <c r="F244" s="6" t="n">
        <f aca="false">H244*Pesos!$B$2+I244*Pesos!$B$3+J244*Pesos!$B$4+K244*Pesos!$B$5+L244*Pesos!$B$6+M244*Pesos!$B$7+N244*Pesos!$B$8+O244*Pesos!$B$9+P244*Pesos!$B$10+Q244*Pesos!$B$11+R244*Pesos!$B$12+S244*Pesos!$B$13+T244*Pesos!$B$14+U244*Pesos!$B$15+V244*Pesos!$B$16+W244*Pesos!$B$17+X244*Pesos!$B$18+Y244*Pesos!$B$19+Z244*Pesos!$B$20+AA244*Pesos!$B$21+AB244*Pesos!$B$22+AC244*Pesos!$B$23+AD244*Pesos!$B$24+AE244*Pesos!$B$25+AF244*Pesos!$B$26+AG244*Pesos!$B$27+AH244*Pesos!$B$28+AI244*Pesos!$B$29+AJ244*Pesos!$B$30+AK244*Pesos!$B$31+AL244*Pesos!$B$32+AM244*Pesos!$B$33+AN244*Pesos!$B$34+AO244*Pesos!$B$35+AP244*Pesos!$B$36+AQ244*Pesos!$B$37+AR244*Pesos!$B$38+AS244*Pesos!$B$39+AT244*Pesos!$B$40+AU244*Pesos!$B$41+AV244*Pesos!$B$42+AW244*Pesos!$B$43+AX244*Pesos!$B$44+AY244*Pesos!$B$45+AZ244*Pesos!$B$46+BA244*Pesos!$B$47+BB244*Pesos!$B$48+BC244*Pesos!$B$49+BD244*Pesos!$B$50+BE244*Pesos!$B$51+BF244*Pesos!$B$52+BG244*Pesos!$B$53</f>
        <v>170</v>
      </c>
      <c r="G244" s="6" t="n">
        <f aca="false">E244*F244</f>
        <v>170</v>
      </c>
      <c r="H244" s="3" t="n">
        <v>63</v>
      </c>
      <c r="I244" s="3"/>
      <c r="J244" s="3"/>
      <c r="K244" s="3"/>
      <c r="L244" s="3"/>
      <c r="M244" s="3"/>
      <c r="N244" s="3"/>
      <c r="O244" s="3"/>
      <c r="P244" s="3"/>
      <c r="Q244" s="3" t="n">
        <v>2</v>
      </c>
      <c r="R244" s="3"/>
      <c r="S244" s="3"/>
      <c r="T244" s="3" t="n">
        <v>2</v>
      </c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customFormat="false" ht="15" hidden="false" customHeight="false" outlineLevel="0" collapsed="false">
      <c r="A245" s="3" t="s">
        <v>63</v>
      </c>
      <c r="B245" s="3" t="s">
        <v>110</v>
      </c>
      <c r="C245" s="3" t="s">
        <v>743</v>
      </c>
      <c r="D245" s="3" t="s">
        <v>744</v>
      </c>
      <c r="E245" s="3" t="n">
        <v>1</v>
      </c>
      <c r="F245" s="6" t="n">
        <f aca="false">H245*Pesos!$B$2+I245*Pesos!$B$3+J245*Pesos!$B$4+K245*Pesos!$B$5+L245*Pesos!$B$6+M245*Pesos!$B$7+N245*Pesos!$B$8+O245*Pesos!$B$9+P245*Pesos!$B$10+Q245*Pesos!$B$11+R245*Pesos!$B$12+S245*Pesos!$B$13+T245*Pesos!$B$14+U245*Pesos!$B$15+V245*Pesos!$B$16+W245*Pesos!$B$17+X245*Pesos!$B$18+Y245*Pesos!$B$19+Z245*Pesos!$B$20+AA245*Pesos!$B$21+AB245*Pesos!$B$22+AC245*Pesos!$B$23+AD245*Pesos!$B$24+AE245*Pesos!$B$25+AF245*Pesos!$B$26+AG245*Pesos!$B$27+AH245*Pesos!$B$28+AI245*Pesos!$B$29+AJ245*Pesos!$B$30+AK245*Pesos!$B$31+AL245*Pesos!$B$32+AM245*Pesos!$B$33+AN245*Pesos!$B$34+AO245*Pesos!$B$35+AP245*Pesos!$B$36+AQ245*Pesos!$B$37+AR245*Pesos!$B$38+AS245*Pesos!$B$39+AT245*Pesos!$B$40+AU245*Pesos!$B$41+AV245*Pesos!$B$42+AW245*Pesos!$B$43+AX245*Pesos!$B$44+AY245*Pesos!$B$45+AZ245*Pesos!$B$46+BA245*Pesos!$B$47+BB245*Pesos!$B$48+BC245*Pesos!$B$49+BD245*Pesos!$B$50+BE245*Pesos!$B$51+BF245*Pesos!$B$52+BG245*Pesos!$B$53</f>
        <v>450</v>
      </c>
      <c r="G245" s="6" t="n">
        <f aca="false">E245*F245</f>
        <v>450</v>
      </c>
      <c r="H245" s="3" t="n">
        <v>84</v>
      </c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 t="n">
        <v>5</v>
      </c>
      <c r="AH245" s="3" t="n">
        <v>10</v>
      </c>
      <c r="AI245" s="3" t="n">
        <v>10</v>
      </c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 t="s">
        <v>744</v>
      </c>
      <c r="BI245" s="3"/>
      <c r="BJ245" s="3"/>
      <c r="BK245" s="3"/>
      <c r="BL245" s="3"/>
      <c r="BM245" s="3"/>
    </row>
    <row r="246" customFormat="false" ht="15" hidden="false" customHeight="false" outlineLevel="0" collapsed="false">
      <c r="A246" s="3" t="s">
        <v>63</v>
      </c>
      <c r="B246" s="3" t="s">
        <v>110</v>
      </c>
      <c r="C246" s="3" t="s">
        <v>745</v>
      </c>
      <c r="D246" s="3" t="s">
        <v>746</v>
      </c>
      <c r="E246" s="3" t="n">
        <v>1</v>
      </c>
      <c r="F246" s="6" t="n">
        <f aca="false">H246*Pesos!$B$2+I246*Pesos!$B$3+J246*Pesos!$B$4+K246*Pesos!$B$5+L246*Pesos!$B$6+M246*Pesos!$B$7+N246*Pesos!$B$8+O246*Pesos!$B$9+P246*Pesos!$B$10+Q246*Pesos!$B$11+R246*Pesos!$B$12+S246*Pesos!$B$13+T246*Pesos!$B$14+U246*Pesos!$B$15+V246*Pesos!$B$16+W246*Pesos!$B$17+X246*Pesos!$B$18+Y246*Pesos!$B$19+Z246*Pesos!$B$20+AA246*Pesos!$B$21+AB246*Pesos!$B$22+AC246*Pesos!$B$23+AD246*Pesos!$B$24+AE246*Pesos!$B$25+AF246*Pesos!$B$26+AG246*Pesos!$B$27+AH246*Pesos!$B$28+AI246*Pesos!$B$29+AJ246*Pesos!$B$30+AK246*Pesos!$B$31+AL246*Pesos!$B$32+AM246*Pesos!$B$33+AN246*Pesos!$B$34+AO246*Pesos!$B$35+AP246*Pesos!$B$36+AQ246*Pesos!$B$37+AR246*Pesos!$B$38+AS246*Pesos!$B$39+AT246*Pesos!$B$40+AU246*Pesos!$B$41+AV246*Pesos!$B$42+AW246*Pesos!$B$43+AX246*Pesos!$B$44+AY246*Pesos!$B$45+AZ246*Pesos!$B$46+BA246*Pesos!$B$47+BB246*Pesos!$B$48+BC246*Pesos!$B$49+BD246*Pesos!$B$50+BE246*Pesos!$B$51+BF246*Pesos!$B$52+BG246*Pesos!$B$53</f>
        <v>300</v>
      </c>
      <c r="G246" s="6" t="n">
        <f aca="false">E246*F246</f>
        <v>300</v>
      </c>
      <c r="H246" s="3" t="n">
        <v>105</v>
      </c>
      <c r="I246" s="3"/>
      <c r="J246" s="3"/>
      <c r="K246" s="3"/>
      <c r="L246" s="3"/>
      <c r="M246" s="3"/>
      <c r="N246" s="3"/>
      <c r="O246" s="3"/>
      <c r="P246" s="3" t="n">
        <v>1</v>
      </c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customFormat="false" ht="15" hidden="false" customHeight="false" outlineLevel="0" collapsed="false">
      <c r="A247" s="3" t="s">
        <v>63</v>
      </c>
      <c r="B247" s="3" t="s">
        <v>111</v>
      </c>
      <c r="C247" s="3" t="s">
        <v>747</v>
      </c>
      <c r="D247" s="3" t="s">
        <v>748</v>
      </c>
      <c r="E247" s="3" t="n">
        <v>1</v>
      </c>
      <c r="F247" s="6" t="n">
        <f aca="false">H247*Pesos!$B$2+I247*Pesos!$B$3+J247*Pesos!$B$4+K247*Pesos!$B$5+L247*Pesos!$B$6+M247*Pesos!$B$7+N247*Pesos!$B$8+O247*Pesos!$B$9+P247*Pesos!$B$10+Q247*Pesos!$B$11+R247*Pesos!$B$12+S247*Pesos!$B$13+T247*Pesos!$B$14+U247*Pesos!$B$15+V247*Pesos!$B$16+W247*Pesos!$B$17+X247*Pesos!$B$18+Y247*Pesos!$B$19+Z247*Pesos!$B$20+AA247*Pesos!$B$21+AB247*Pesos!$B$22+AC247*Pesos!$B$23+AD247*Pesos!$B$24+AE247*Pesos!$B$25+AF247*Pesos!$B$26+AG247*Pesos!$B$27+AH247*Pesos!$B$28+AI247*Pesos!$B$29+AJ247*Pesos!$B$30+AK247*Pesos!$B$31+AL247*Pesos!$B$32+AM247*Pesos!$B$33+AN247*Pesos!$B$34+AO247*Pesos!$B$35+AP247*Pesos!$B$36+AQ247*Pesos!$B$37+AR247*Pesos!$B$38+AS247*Pesos!$B$39+AT247*Pesos!$B$40+AU247*Pesos!$B$41+AV247*Pesos!$B$42+AW247*Pesos!$B$43+AX247*Pesos!$B$44+AY247*Pesos!$B$45+AZ247*Pesos!$B$46+BA247*Pesos!$B$47+BB247*Pesos!$B$48+BC247*Pesos!$B$49+BD247*Pesos!$B$50+BE247*Pesos!$B$51+BF247*Pesos!$B$52+BG247*Pesos!$B$53</f>
        <v>185</v>
      </c>
      <c r="G247" s="6" t="n">
        <f aca="false">E247*F247</f>
        <v>185</v>
      </c>
      <c r="H247" s="3" t="n">
        <v>49</v>
      </c>
      <c r="I247" s="3"/>
      <c r="J247" s="3"/>
      <c r="K247" s="3"/>
      <c r="L247" s="3"/>
      <c r="M247" s="3"/>
      <c r="N247" s="3"/>
      <c r="O247" s="3"/>
      <c r="P247" s="3"/>
      <c r="Q247" s="3" t="n">
        <v>1</v>
      </c>
      <c r="R247" s="3"/>
      <c r="S247" s="3" t="n">
        <v>2</v>
      </c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customFormat="false" ht="15" hidden="false" customHeight="false" outlineLevel="0" collapsed="false">
      <c r="A248" s="3" t="s">
        <v>63</v>
      </c>
      <c r="B248" s="3" t="s">
        <v>111</v>
      </c>
      <c r="C248" s="3" t="s">
        <v>749</v>
      </c>
      <c r="D248" s="3" t="s">
        <v>750</v>
      </c>
      <c r="E248" s="3" t="n">
        <v>1</v>
      </c>
      <c r="F248" s="6" t="n">
        <f aca="false">H248*Pesos!$B$2+I248*Pesos!$B$3+J248*Pesos!$B$4+K248*Pesos!$B$5+L248*Pesos!$B$6+M248*Pesos!$B$7+N248*Pesos!$B$8+O248*Pesos!$B$9+P248*Pesos!$B$10+Q248*Pesos!$B$11+R248*Pesos!$B$12+S248*Pesos!$B$13+T248*Pesos!$B$14+U248*Pesos!$B$15+V248*Pesos!$B$16+W248*Pesos!$B$17+X248*Pesos!$B$18+Y248*Pesos!$B$19+Z248*Pesos!$B$20+AA248*Pesos!$B$21+AB248*Pesos!$B$22+AC248*Pesos!$B$23+AD248*Pesos!$B$24+AE248*Pesos!$B$25+AF248*Pesos!$B$26+AG248*Pesos!$B$27+AH248*Pesos!$B$28+AI248*Pesos!$B$29+AJ248*Pesos!$B$30+AK248*Pesos!$B$31+AL248*Pesos!$B$32+AM248*Pesos!$B$33+AN248*Pesos!$B$34+AO248*Pesos!$B$35+AP248*Pesos!$B$36+AQ248*Pesos!$B$37+AR248*Pesos!$B$38+AS248*Pesos!$B$39+AT248*Pesos!$B$40+AU248*Pesos!$B$41+AV248*Pesos!$B$42+AW248*Pesos!$B$43+AX248*Pesos!$B$44+AY248*Pesos!$B$45+AZ248*Pesos!$B$46+BA248*Pesos!$B$47+BB248*Pesos!$B$48+BC248*Pesos!$B$49+BD248*Pesos!$B$50+BE248*Pesos!$B$51+BF248*Pesos!$B$52+BG248*Pesos!$B$53</f>
        <v>25</v>
      </c>
      <c r="G248" s="6" t="n">
        <f aca="false">E248*F248</f>
        <v>25</v>
      </c>
      <c r="H248" s="3" t="n">
        <v>49</v>
      </c>
      <c r="I248" s="3"/>
      <c r="J248" s="3"/>
      <c r="K248" s="3"/>
      <c r="L248" s="3"/>
      <c r="M248" s="3"/>
      <c r="N248" s="3"/>
      <c r="O248" s="3"/>
      <c r="P248" s="3"/>
      <c r="Q248" s="3" t="n">
        <v>1</v>
      </c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customFormat="false" ht="15" hidden="false" customHeight="false" outlineLevel="0" collapsed="false">
      <c r="A249" s="3" t="s">
        <v>63</v>
      </c>
      <c r="B249" s="3" t="s">
        <v>111</v>
      </c>
      <c r="C249" s="3" t="s">
        <v>751</v>
      </c>
      <c r="D249" s="3" t="s">
        <v>752</v>
      </c>
      <c r="E249" s="3" t="n">
        <v>1</v>
      </c>
      <c r="F249" s="6" t="n">
        <f aca="false">H249*Pesos!$B$2+I249*Pesos!$B$3+J249*Pesos!$B$4+K249*Pesos!$B$5+L249*Pesos!$B$6+M249*Pesos!$B$7+N249*Pesos!$B$8+O249*Pesos!$B$9+P249*Pesos!$B$10+Q249*Pesos!$B$11+R249*Pesos!$B$12+S249*Pesos!$B$13+T249*Pesos!$B$14+U249*Pesos!$B$15+V249*Pesos!$B$16+W249*Pesos!$B$17+X249*Pesos!$B$18+Y249*Pesos!$B$19+Z249*Pesos!$B$20+AA249*Pesos!$B$21+AB249*Pesos!$B$22+AC249*Pesos!$B$23+AD249*Pesos!$B$24+AE249*Pesos!$B$25+AF249*Pesos!$B$26+AG249*Pesos!$B$27+AH249*Pesos!$B$28+AI249*Pesos!$B$29+AJ249*Pesos!$B$30+AK249*Pesos!$B$31+AL249*Pesos!$B$32+AM249*Pesos!$B$33+AN249*Pesos!$B$34+AO249*Pesos!$B$35+AP249*Pesos!$B$36+AQ249*Pesos!$B$37+AR249*Pesos!$B$38+AS249*Pesos!$B$39+AT249*Pesos!$B$40+AU249*Pesos!$B$41+AV249*Pesos!$B$42+AW249*Pesos!$B$43+AX249*Pesos!$B$44+AY249*Pesos!$B$45+AZ249*Pesos!$B$46+BA249*Pesos!$B$47+BB249*Pesos!$B$48+BC249*Pesos!$B$49+BD249*Pesos!$B$50+BE249*Pesos!$B$51+BF249*Pesos!$B$52+BG249*Pesos!$B$53</f>
        <v>75</v>
      </c>
      <c r="G249" s="6" t="n">
        <f aca="false">E249*F249</f>
        <v>75</v>
      </c>
      <c r="H249" s="3" t="n">
        <v>63</v>
      </c>
      <c r="I249" s="3"/>
      <c r="J249" s="3"/>
      <c r="K249" s="3"/>
      <c r="L249" s="3"/>
      <c r="M249" s="3" t="n">
        <v>50</v>
      </c>
      <c r="N249" s="3" t="n">
        <v>25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customFormat="false" ht="15" hidden="false" customHeight="false" outlineLevel="0" collapsed="false">
      <c r="A250" s="3" t="s">
        <v>63</v>
      </c>
      <c r="B250" s="3" t="s">
        <v>111</v>
      </c>
      <c r="C250" s="3" t="s">
        <v>753</v>
      </c>
      <c r="D250" s="3" t="s">
        <v>754</v>
      </c>
      <c r="E250" s="3" t="n">
        <v>1</v>
      </c>
      <c r="F250" s="6" t="n">
        <f aca="false">H250*Pesos!$B$2+I250*Pesos!$B$3+J250*Pesos!$B$4+K250*Pesos!$B$5+L250*Pesos!$B$6+M250*Pesos!$B$7+N250*Pesos!$B$8+O250*Pesos!$B$9+P250*Pesos!$B$10+Q250*Pesos!$B$11+R250*Pesos!$B$12+S250*Pesos!$B$13+T250*Pesos!$B$14+U250*Pesos!$B$15+V250*Pesos!$B$16+W250*Pesos!$B$17+X250*Pesos!$B$18+Y250*Pesos!$B$19+Z250*Pesos!$B$20+AA250*Pesos!$B$21+AB250*Pesos!$B$22+AC250*Pesos!$B$23+AD250*Pesos!$B$24+AE250*Pesos!$B$25+AF250*Pesos!$B$26+AG250*Pesos!$B$27+AH250*Pesos!$B$28+AI250*Pesos!$B$29+AJ250*Pesos!$B$30+AK250*Pesos!$B$31+AL250*Pesos!$B$32+AM250*Pesos!$B$33+AN250*Pesos!$B$34+AO250*Pesos!$B$35+AP250*Pesos!$B$36+AQ250*Pesos!$B$37+AR250*Pesos!$B$38+AS250*Pesos!$B$39+AT250*Pesos!$B$40+AU250*Pesos!$B$41+AV250*Pesos!$B$42+AW250*Pesos!$B$43+AX250*Pesos!$B$44+AY250*Pesos!$B$45+AZ250*Pesos!$B$46+BA250*Pesos!$B$47+BB250*Pesos!$B$48+BC250*Pesos!$B$49+BD250*Pesos!$B$50+BE250*Pesos!$B$51+BF250*Pesos!$B$52+BG250*Pesos!$B$53</f>
        <v>150</v>
      </c>
      <c r="G250" s="6" t="n">
        <f aca="false">E250*F250</f>
        <v>150</v>
      </c>
      <c r="H250" s="3" t="n">
        <v>49</v>
      </c>
      <c r="I250" s="3"/>
      <c r="J250" s="3"/>
      <c r="K250" s="3"/>
      <c r="L250" s="3" t="n">
        <v>75000</v>
      </c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customFormat="false" ht="15" hidden="false" customHeight="false" outlineLevel="0" collapsed="false">
      <c r="A251" s="3" t="s">
        <v>63</v>
      </c>
      <c r="B251" s="3" t="s">
        <v>111</v>
      </c>
      <c r="C251" s="3" t="s">
        <v>755</v>
      </c>
      <c r="D251" s="3" t="s">
        <v>756</v>
      </c>
      <c r="E251" s="3" t="n">
        <v>1</v>
      </c>
      <c r="F251" s="6" t="n">
        <f aca="false">H251*Pesos!$B$2+I251*Pesos!$B$3+J251*Pesos!$B$4+K251*Pesos!$B$5+L251*Pesos!$B$6+M251*Pesos!$B$7+N251*Pesos!$B$8+O251*Pesos!$B$9+P251*Pesos!$B$10+Q251*Pesos!$B$11+R251*Pesos!$B$12+S251*Pesos!$B$13+T251*Pesos!$B$14+U251*Pesos!$B$15+V251*Pesos!$B$16+W251*Pesos!$B$17+X251*Pesos!$B$18+Y251*Pesos!$B$19+Z251*Pesos!$B$20+AA251*Pesos!$B$21+AB251*Pesos!$B$22+AC251*Pesos!$B$23+AD251*Pesos!$B$24+AE251*Pesos!$B$25+AF251*Pesos!$B$26+AG251*Pesos!$B$27+AH251*Pesos!$B$28+AI251*Pesos!$B$29+AJ251*Pesos!$B$30+AK251*Pesos!$B$31+AL251*Pesos!$B$32+AM251*Pesos!$B$33+AN251*Pesos!$B$34+AO251*Pesos!$B$35+AP251*Pesos!$B$36+AQ251*Pesos!$B$37+AR251*Pesos!$B$38+AS251*Pesos!$B$39+AT251*Pesos!$B$40+AU251*Pesos!$B$41+AV251*Pesos!$B$42+AW251*Pesos!$B$43+AX251*Pesos!$B$44+AY251*Pesos!$B$45+AZ251*Pesos!$B$46+BA251*Pesos!$B$47+BB251*Pesos!$B$48+BC251*Pesos!$B$49+BD251*Pesos!$B$50+BE251*Pesos!$B$51+BF251*Pesos!$B$52+BG251*Pesos!$B$53</f>
        <v>250</v>
      </c>
      <c r="G251" s="6" t="n">
        <f aca="false">E251*F251</f>
        <v>250</v>
      </c>
      <c r="H251" s="3" t="n">
        <v>49</v>
      </c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 t="n">
        <v>10</v>
      </c>
      <c r="AR251" s="3"/>
      <c r="AS251" s="3" t="n">
        <v>10</v>
      </c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 t="s">
        <v>757</v>
      </c>
      <c r="BI251" s="3"/>
      <c r="BJ251" s="3"/>
      <c r="BK251" s="3"/>
      <c r="BL251" s="3"/>
      <c r="BM251" s="3"/>
    </row>
    <row r="252" customFormat="false" ht="15" hidden="false" customHeight="false" outlineLevel="0" collapsed="false">
      <c r="A252" s="3" t="s">
        <v>63</v>
      </c>
      <c r="B252" s="3" t="s">
        <v>111</v>
      </c>
      <c r="C252" s="3" t="s">
        <v>758</v>
      </c>
      <c r="D252" s="3" t="s">
        <v>759</v>
      </c>
      <c r="E252" s="3" t="n">
        <v>1</v>
      </c>
      <c r="F252" s="6" t="n">
        <f aca="false">H252*Pesos!$B$2+I252*Pesos!$B$3+J252*Pesos!$B$4+K252*Pesos!$B$5+L252*Pesos!$B$6+M252*Pesos!$B$7+N252*Pesos!$B$8+O252*Pesos!$B$9+P252*Pesos!$B$10+Q252*Pesos!$B$11+R252*Pesos!$B$12+S252*Pesos!$B$13+T252*Pesos!$B$14+U252*Pesos!$B$15+V252*Pesos!$B$16+W252*Pesos!$B$17+X252*Pesos!$B$18+Y252*Pesos!$B$19+Z252*Pesos!$B$20+AA252*Pesos!$B$21+AB252*Pesos!$B$22+AC252*Pesos!$B$23+AD252*Pesos!$B$24+AE252*Pesos!$B$25+AF252*Pesos!$B$26+AG252*Pesos!$B$27+AH252*Pesos!$B$28+AI252*Pesos!$B$29+AJ252*Pesos!$B$30+AK252*Pesos!$B$31+AL252*Pesos!$B$32+AM252*Pesos!$B$33+AN252*Pesos!$B$34+AO252*Pesos!$B$35+AP252*Pesos!$B$36+AQ252*Pesos!$B$37+AR252*Pesos!$B$38+AS252*Pesos!$B$39+AT252*Pesos!$B$40+AU252*Pesos!$B$41+AV252*Pesos!$B$42+AW252*Pesos!$B$43+AX252*Pesos!$B$44+AY252*Pesos!$B$45+AZ252*Pesos!$B$46+BA252*Pesos!$B$47+BB252*Pesos!$B$48+BC252*Pesos!$B$49+BD252*Pesos!$B$50+BE252*Pesos!$B$51+BF252*Pesos!$B$52+BG252*Pesos!$B$53</f>
        <v>75</v>
      </c>
      <c r="G252" s="6" t="n">
        <f aca="false">E252*F252</f>
        <v>75</v>
      </c>
      <c r="H252" s="3" t="n">
        <v>84</v>
      </c>
      <c r="I252" s="3"/>
      <c r="J252" s="3"/>
      <c r="K252" s="3"/>
      <c r="L252" s="3"/>
      <c r="M252" s="3" t="n">
        <v>75</v>
      </c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customFormat="false" ht="15" hidden="false" customHeight="false" outlineLevel="0" collapsed="false">
      <c r="A253" s="3" t="s">
        <v>63</v>
      </c>
      <c r="B253" s="3" t="s">
        <v>112</v>
      </c>
      <c r="C253" s="3" t="s">
        <v>760</v>
      </c>
      <c r="D253" s="3" t="s">
        <v>625</v>
      </c>
      <c r="E253" s="3" t="n">
        <v>1</v>
      </c>
      <c r="F253" s="6" t="n">
        <f aca="false">H253*Pesos!$B$2+I253*Pesos!$B$3+J253*Pesos!$B$4+K253*Pesos!$B$5+L253*Pesos!$B$6+M253*Pesos!$B$7+N253*Pesos!$B$8+O253*Pesos!$B$9+P253*Pesos!$B$10+Q253*Pesos!$B$11+R253*Pesos!$B$12+S253*Pesos!$B$13+T253*Pesos!$B$14+U253*Pesos!$B$15+V253*Pesos!$B$16+W253*Pesos!$B$17+X253*Pesos!$B$18+Y253*Pesos!$B$19+Z253*Pesos!$B$20+AA253*Pesos!$B$21+AB253*Pesos!$B$22+AC253*Pesos!$B$23+AD253*Pesos!$B$24+AE253*Pesos!$B$25+AF253*Pesos!$B$26+AG253*Pesos!$B$27+AH253*Pesos!$B$28+AI253*Pesos!$B$29+AJ253*Pesos!$B$30+AK253*Pesos!$B$31+AL253*Pesos!$B$32+AM253*Pesos!$B$33+AN253*Pesos!$B$34+AO253*Pesos!$B$35+AP253*Pesos!$B$36+AQ253*Pesos!$B$37+AR253*Pesos!$B$38+AS253*Pesos!$B$39+AT253*Pesos!$B$40+AU253*Pesos!$B$41+AV253*Pesos!$B$42+AW253*Pesos!$B$43+AX253*Pesos!$B$44+AY253*Pesos!$B$45+AZ253*Pesos!$B$46+BA253*Pesos!$B$47+BB253*Pesos!$B$48+BC253*Pesos!$B$49+BD253*Pesos!$B$50+BE253*Pesos!$B$51+BF253*Pesos!$B$52+BG253*Pesos!$B$53</f>
        <v>25</v>
      </c>
      <c r="G253" s="6" t="n">
        <f aca="false">E253*F253</f>
        <v>25</v>
      </c>
      <c r="H253" s="3" t="n">
        <v>49</v>
      </c>
      <c r="I253" s="3"/>
      <c r="J253" s="3"/>
      <c r="K253" s="3"/>
      <c r="L253" s="3"/>
      <c r="M253" s="3"/>
      <c r="N253" s="3"/>
      <c r="O253" s="3"/>
      <c r="P253" s="3"/>
      <c r="Q253" s="3" t="n">
        <v>1</v>
      </c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customFormat="false" ht="15" hidden="false" customHeight="false" outlineLevel="0" collapsed="false">
      <c r="A254" s="3" t="s">
        <v>63</v>
      </c>
      <c r="B254" s="3" t="s">
        <v>112</v>
      </c>
      <c r="C254" s="3" t="s">
        <v>761</v>
      </c>
      <c r="D254" s="3" t="s">
        <v>762</v>
      </c>
      <c r="E254" s="3" t="n">
        <v>1</v>
      </c>
      <c r="F254" s="6" t="n">
        <f aca="false">H254*Pesos!$B$2+I254*Pesos!$B$3+J254*Pesos!$B$4+K254*Pesos!$B$5+L254*Pesos!$B$6+M254*Pesos!$B$7+N254*Pesos!$B$8+O254*Pesos!$B$9+P254*Pesos!$B$10+Q254*Pesos!$B$11+R254*Pesos!$B$12+S254*Pesos!$B$13+T254*Pesos!$B$14+U254*Pesos!$B$15+V254*Pesos!$B$16+W254*Pesos!$B$17+X254*Pesos!$B$18+Y254*Pesos!$B$19+Z254*Pesos!$B$20+AA254*Pesos!$B$21+AB254*Pesos!$B$22+AC254*Pesos!$B$23+AD254*Pesos!$B$24+AE254*Pesos!$B$25+AF254*Pesos!$B$26+AG254*Pesos!$B$27+AH254*Pesos!$B$28+AI254*Pesos!$B$29+AJ254*Pesos!$B$30+AK254*Pesos!$B$31+AL254*Pesos!$B$32+AM254*Pesos!$B$33+AN254*Pesos!$B$34+AO254*Pesos!$B$35+AP254*Pesos!$B$36+AQ254*Pesos!$B$37+AR254*Pesos!$B$38+AS254*Pesos!$B$39+AT254*Pesos!$B$40+AU254*Pesos!$B$41+AV254*Pesos!$B$42+AW254*Pesos!$B$43+AX254*Pesos!$B$44+AY254*Pesos!$B$45+AZ254*Pesos!$B$46+BA254*Pesos!$B$47+BB254*Pesos!$B$48+BC254*Pesos!$B$49+BD254*Pesos!$B$50+BE254*Pesos!$B$51+BF254*Pesos!$B$52+BG254*Pesos!$B$53</f>
        <v>65</v>
      </c>
      <c r="G254" s="6" t="n">
        <f aca="false">E254*F254</f>
        <v>65</v>
      </c>
      <c r="H254" s="3" t="n">
        <v>49</v>
      </c>
      <c r="I254" s="3"/>
      <c r="J254" s="3"/>
      <c r="K254" s="3"/>
      <c r="L254" s="3"/>
      <c r="M254" s="3"/>
      <c r="N254" s="3"/>
      <c r="O254" s="3"/>
      <c r="P254" s="3"/>
      <c r="Q254" s="3" t="n">
        <v>1</v>
      </c>
      <c r="R254" s="3"/>
      <c r="S254" s="3"/>
      <c r="T254" s="3"/>
      <c r="U254" s="3"/>
      <c r="V254" s="3"/>
      <c r="W254" s="3"/>
      <c r="X254" s="3"/>
      <c r="Y254" s="3" t="n">
        <v>80</v>
      </c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customFormat="false" ht="15" hidden="false" customHeight="false" outlineLevel="0" collapsed="false">
      <c r="A255" s="3" t="s">
        <v>63</v>
      </c>
      <c r="B255" s="3" t="s">
        <v>112</v>
      </c>
      <c r="C255" s="3" t="s">
        <v>763</v>
      </c>
      <c r="D255" s="3" t="s">
        <v>764</v>
      </c>
      <c r="E255" s="3" t="n">
        <v>1</v>
      </c>
      <c r="F255" s="6" t="n">
        <f aca="false">H255*Pesos!$B$2+I255*Pesos!$B$3+J255*Pesos!$B$4+K255*Pesos!$B$5+L255*Pesos!$B$6+M255*Pesos!$B$7+N255*Pesos!$B$8+O255*Pesos!$B$9+P255*Pesos!$B$10+Q255*Pesos!$B$11+R255*Pesos!$B$12+S255*Pesos!$B$13+T255*Pesos!$B$14+U255*Pesos!$B$15+V255*Pesos!$B$16+W255*Pesos!$B$17+X255*Pesos!$B$18+Y255*Pesos!$B$19+Z255*Pesos!$B$20+AA255*Pesos!$B$21+AB255*Pesos!$B$22+AC255*Pesos!$B$23+AD255*Pesos!$B$24+AE255*Pesos!$B$25+AF255*Pesos!$B$26+AG255*Pesos!$B$27+AH255*Pesos!$B$28+AI255*Pesos!$B$29+AJ255*Pesos!$B$30+AK255*Pesos!$B$31+AL255*Pesos!$B$32+AM255*Pesos!$B$33+AN255*Pesos!$B$34+AO255*Pesos!$B$35+AP255*Pesos!$B$36+AQ255*Pesos!$B$37+AR255*Pesos!$B$38+AS255*Pesos!$B$39+AT255*Pesos!$B$40+AU255*Pesos!$B$41+AV255*Pesos!$B$42+AW255*Pesos!$B$43+AX255*Pesos!$B$44+AY255*Pesos!$B$45+AZ255*Pesos!$B$46+BA255*Pesos!$B$47+BB255*Pesos!$B$48+BC255*Pesos!$B$49+BD255*Pesos!$B$50+BE255*Pesos!$B$51+BF255*Pesos!$B$52+BG255*Pesos!$B$53</f>
        <v>25</v>
      </c>
      <c r="G255" s="6" t="n">
        <f aca="false">E255*F255</f>
        <v>25</v>
      </c>
      <c r="H255" s="3" t="n">
        <v>49</v>
      </c>
      <c r="I255" s="3"/>
      <c r="J255" s="3"/>
      <c r="K255" s="3"/>
      <c r="L255" s="3"/>
      <c r="M255" s="3"/>
      <c r="N255" s="3"/>
      <c r="O255" s="3"/>
      <c r="P255" s="3"/>
      <c r="Q255" s="3" t="n">
        <v>1</v>
      </c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customFormat="false" ht="15" hidden="false" customHeight="false" outlineLevel="0" collapsed="false">
      <c r="A256" s="3" t="s">
        <v>63</v>
      </c>
      <c r="B256" s="3" t="s">
        <v>112</v>
      </c>
      <c r="C256" s="3" t="s">
        <v>765</v>
      </c>
      <c r="D256" s="3" t="s">
        <v>766</v>
      </c>
      <c r="E256" s="3" t="n">
        <v>1</v>
      </c>
      <c r="F256" s="6" t="n">
        <f aca="false">H256*Pesos!$B$2+I256*Pesos!$B$3+J256*Pesos!$B$4+K256*Pesos!$B$5+L256*Pesos!$B$6+M256*Pesos!$B$7+N256*Pesos!$B$8+O256*Pesos!$B$9+P256*Pesos!$B$10+Q256*Pesos!$B$11+R256*Pesos!$B$12+S256*Pesos!$B$13+T256*Pesos!$B$14+U256*Pesos!$B$15+V256*Pesos!$B$16+W256*Pesos!$B$17+X256*Pesos!$B$18+Y256*Pesos!$B$19+Z256*Pesos!$B$20+AA256*Pesos!$B$21+AB256*Pesos!$B$22+AC256*Pesos!$B$23+AD256*Pesos!$B$24+AE256*Pesos!$B$25+AF256*Pesos!$B$26+AG256*Pesos!$B$27+AH256*Pesos!$B$28+AI256*Pesos!$B$29+AJ256*Pesos!$B$30+AK256*Pesos!$B$31+AL256*Pesos!$B$32+AM256*Pesos!$B$33+AN256*Pesos!$B$34+AO256*Pesos!$B$35+AP256*Pesos!$B$36+AQ256*Pesos!$B$37+AR256*Pesos!$B$38+AS256*Pesos!$B$39+AT256*Pesos!$B$40+AU256*Pesos!$B$41+AV256*Pesos!$B$42+AW256*Pesos!$B$43+AX256*Pesos!$B$44+AY256*Pesos!$B$45+AZ256*Pesos!$B$46+BA256*Pesos!$B$47+BB256*Pesos!$B$48+BC256*Pesos!$B$49+BD256*Pesos!$B$50+BE256*Pesos!$B$51+BF256*Pesos!$B$52+BG256*Pesos!$B$53</f>
        <v>180</v>
      </c>
      <c r="G256" s="6" t="n">
        <f aca="false">E256*F256</f>
        <v>180</v>
      </c>
      <c r="H256" s="3" t="n">
        <v>84</v>
      </c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 t="n">
        <v>3</v>
      </c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customFormat="false" ht="15" hidden="false" customHeight="false" outlineLevel="0" collapsed="false">
      <c r="A257" s="3" t="s">
        <v>63</v>
      </c>
      <c r="B257" s="3" t="s">
        <v>112</v>
      </c>
      <c r="C257" s="3" t="s">
        <v>767</v>
      </c>
      <c r="D257" s="3" t="s">
        <v>768</v>
      </c>
      <c r="E257" s="3" t="n">
        <v>1</v>
      </c>
      <c r="F257" s="6" t="n">
        <f aca="false">H257*Pesos!$B$2+I257*Pesos!$B$3+J257*Pesos!$B$4+K257*Pesos!$B$5+L257*Pesos!$B$6+M257*Pesos!$B$7+N257*Pesos!$B$8+O257*Pesos!$B$9+P257*Pesos!$B$10+Q257*Pesos!$B$11+R257*Pesos!$B$12+S257*Pesos!$B$13+T257*Pesos!$B$14+U257*Pesos!$B$15+V257*Pesos!$B$16+W257*Pesos!$B$17+X257*Pesos!$B$18+Y257*Pesos!$B$19+Z257*Pesos!$B$20+AA257*Pesos!$B$21+AB257*Pesos!$B$22+AC257*Pesos!$B$23+AD257*Pesos!$B$24+AE257*Pesos!$B$25+AF257*Pesos!$B$26+AG257*Pesos!$B$27+AH257*Pesos!$B$28+AI257*Pesos!$B$29+AJ257*Pesos!$B$30+AK257*Pesos!$B$31+AL257*Pesos!$B$32+AM257*Pesos!$B$33+AN257*Pesos!$B$34+AO257*Pesos!$B$35+AP257*Pesos!$B$36+AQ257*Pesos!$B$37+AR257*Pesos!$B$38+AS257*Pesos!$B$39+AT257*Pesos!$B$40+AU257*Pesos!$B$41+AV257*Pesos!$B$42+AW257*Pesos!$B$43+AX257*Pesos!$B$44+AY257*Pesos!$B$45+AZ257*Pesos!$B$46+BA257*Pesos!$B$47+BB257*Pesos!$B$48+BC257*Pesos!$B$49+BD257*Pesos!$B$50+BE257*Pesos!$B$51+BF257*Pesos!$B$52+BG257*Pesos!$B$53</f>
        <v>265</v>
      </c>
      <c r="G257" s="6" t="n">
        <f aca="false">E257*F257</f>
        <v>265</v>
      </c>
      <c r="H257" s="3" t="n">
        <v>84</v>
      </c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 t="n">
        <v>5</v>
      </c>
      <c r="AD257" s="3"/>
      <c r="AE257" s="3"/>
      <c r="AF257" s="3"/>
      <c r="AG257" s="3"/>
      <c r="AH257" s="3" t="n">
        <v>15</v>
      </c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 t="s">
        <v>768</v>
      </c>
      <c r="BI257" s="3"/>
      <c r="BJ257" s="3"/>
      <c r="BK257" s="3"/>
      <c r="BL257" s="3"/>
      <c r="BM257" s="3"/>
    </row>
    <row r="258" customFormat="false" ht="15" hidden="false" customHeight="false" outlineLevel="0" collapsed="false">
      <c r="A258" s="3" t="s">
        <v>63</v>
      </c>
      <c r="B258" s="3" t="s">
        <v>112</v>
      </c>
      <c r="C258" s="3" t="s">
        <v>769</v>
      </c>
      <c r="D258" s="3" t="s">
        <v>770</v>
      </c>
      <c r="E258" s="3" t="n">
        <v>1</v>
      </c>
      <c r="F258" s="6" t="n">
        <f aca="false">H258*Pesos!$B$2+I258*Pesos!$B$3+J258*Pesos!$B$4+K258*Pesos!$B$5+L258*Pesos!$B$6+M258*Pesos!$B$7+N258*Pesos!$B$8+O258*Pesos!$B$9+P258*Pesos!$B$10+Q258*Pesos!$B$11+R258*Pesos!$B$12+S258*Pesos!$B$13+T258*Pesos!$B$14+U258*Pesos!$B$15+V258*Pesos!$B$16+W258*Pesos!$B$17+X258*Pesos!$B$18+Y258*Pesos!$B$19+Z258*Pesos!$B$20+AA258*Pesos!$B$21+AB258*Pesos!$B$22+AC258*Pesos!$B$23+AD258*Pesos!$B$24+AE258*Pesos!$B$25+AF258*Pesos!$B$26+AG258*Pesos!$B$27+AH258*Pesos!$B$28+AI258*Pesos!$B$29+AJ258*Pesos!$B$30+AK258*Pesos!$B$31+AL258*Pesos!$B$32+AM258*Pesos!$B$33+AN258*Pesos!$B$34+AO258*Pesos!$B$35+AP258*Pesos!$B$36+AQ258*Pesos!$B$37+AR258*Pesos!$B$38+AS258*Pesos!$B$39+AT258*Pesos!$B$40+AU258*Pesos!$B$41+AV258*Pesos!$B$42+AW258*Pesos!$B$43+AX258*Pesos!$B$44+AY258*Pesos!$B$45+AZ258*Pesos!$B$46+BA258*Pesos!$B$47+BB258*Pesos!$B$48+BC258*Pesos!$B$49+BD258*Pesos!$B$50+BE258*Pesos!$B$51+BF258*Pesos!$B$52+BG258*Pesos!$B$53</f>
        <v>100</v>
      </c>
      <c r="G258" s="6" t="n">
        <f aca="false">E258*F258</f>
        <v>100</v>
      </c>
      <c r="H258" s="3" t="n">
        <v>63</v>
      </c>
      <c r="I258" s="3" t="n">
        <v>50</v>
      </c>
      <c r="J258" s="3"/>
      <c r="K258" s="3"/>
      <c r="L258" s="3"/>
      <c r="M258" s="3"/>
      <c r="N258" s="3" t="n">
        <v>50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 t="s">
        <v>663</v>
      </c>
      <c r="BK258" s="3"/>
      <c r="BL258" s="3"/>
      <c r="BM258" s="3"/>
    </row>
    <row r="259" customFormat="false" ht="15" hidden="false" customHeight="false" outlineLevel="0" collapsed="false">
      <c r="A259" s="3" t="s">
        <v>63</v>
      </c>
      <c r="B259" s="3" t="s">
        <v>113</v>
      </c>
      <c r="C259" s="3" t="s">
        <v>771</v>
      </c>
      <c r="D259" s="3" t="s">
        <v>772</v>
      </c>
      <c r="E259" s="3" t="n">
        <v>1</v>
      </c>
      <c r="F259" s="6" t="n">
        <f aca="false">H259*Pesos!$B$2+I259*Pesos!$B$3+J259*Pesos!$B$4+K259*Pesos!$B$5+L259*Pesos!$B$6+M259*Pesos!$B$7+N259*Pesos!$B$8+O259*Pesos!$B$9+P259*Pesos!$B$10+Q259*Pesos!$B$11+R259*Pesos!$B$12+S259*Pesos!$B$13+T259*Pesos!$B$14+U259*Pesos!$B$15+V259*Pesos!$B$16+W259*Pesos!$B$17+X259*Pesos!$B$18+Y259*Pesos!$B$19+Z259*Pesos!$B$20+AA259*Pesos!$B$21+AB259*Pesos!$B$22+AC259*Pesos!$B$23+AD259*Pesos!$B$24+AE259*Pesos!$B$25+AF259*Pesos!$B$26+AG259*Pesos!$B$27+AH259*Pesos!$B$28+AI259*Pesos!$B$29+AJ259*Pesos!$B$30+AK259*Pesos!$B$31+AL259*Pesos!$B$32+AM259*Pesos!$B$33+AN259*Pesos!$B$34+AO259*Pesos!$B$35+AP259*Pesos!$B$36+AQ259*Pesos!$B$37+AR259*Pesos!$B$38+AS259*Pesos!$B$39+AT259*Pesos!$B$40+AU259*Pesos!$B$41+AV259*Pesos!$B$42+AW259*Pesos!$B$43+AX259*Pesos!$B$44+AY259*Pesos!$B$45+AZ259*Pesos!$B$46+BA259*Pesos!$B$47+BB259*Pesos!$B$48+BC259*Pesos!$B$49+BD259*Pesos!$B$50+BE259*Pesos!$B$51+BF259*Pesos!$B$52+BG259*Pesos!$B$53</f>
        <v>190</v>
      </c>
      <c r="G259" s="6" t="n">
        <f aca="false">E259*F259</f>
        <v>190</v>
      </c>
      <c r="H259" s="3" t="n">
        <v>63</v>
      </c>
      <c r="I259" s="3" t="n">
        <v>75</v>
      </c>
      <c r="J259" s="3"/>
      <c r="K259" s="3"/>
      <c r="L259" s="3"/>
      <c r="M259" s="3"/>
      <c r="N259" s="3" t="n">
        <v>15</v>
      </c>
      <c r="O259" s="3"/>
      <c r="P259" s="3"/>
      <c r="Q259" s="3"/>
      <c r="R259" s="3"/>
      <c r="S259" s="3"/>
      <c r="T259" s="3" t="n">
        <v>1</v>
      </c>
      <c r="U259" s="3" t="n">
        <v>2</v>
      </c>
      <c r="V259" s="3" t="n">
        <v>1</v>
      </c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 t="s">
        <v>773</v>
      </c>
      <c r="BK259" s="3"/>
      <c r="BL259" s="3"/>
      <c r="BM259" s="3"/>
    </row>
    <row r="260" customFormat="false" ht="15" hidden="false" customHeight="false" outlineLevel="0" collapsed="false">
      <c r="A260" s="3" t="s">
        <v>63</v>
      </c>
      <c r="B260" s="3" t="s">
        <v>113</v>
      </c>
      <c r="C260" s="3" t="s">
        <v>774</v>
      </c>
      <c r="D260" s="3" t="s">
        <v>775</v>
      </c>
      <c r="E260" s="3" t="n">
        <v>1</v>
      </c>
      <c r="F260" s="6" t="n">
        <f aca="false">H260*Pesos!$B$2+I260*Pesos!$B$3+J260*Pesos!$B$4+K260*Pesos!$B$5+L260*Pesos!$B$6+M260*Pesos!$B$7+N260*Pesos!$B$8+O260*Pesos!$B$9+P260*Pesos!$B$10+Q260*Pesos!$B$11+R260*Pesos!$B$12+S260*Pesos!$B$13+T260*Pesos!$B$14+U260*Pesos!$B$15+V260*Pesos!$B$16+W260*Pesos!$B$17+X260*Pesos!$B$18+Y260*Pesos!$B$19+Z260*Pesos!$B$20+AA260*Pesos!$B$21+AB260*Pesos!$B$22+AC260*Pesos!$B$23+AD260*Pesos!$B$24+AE260*Pesos!$B$25+AF260*Pesos!$B$26+AG260*Pesos!$B$27+AH260*Pesos!$B$28+AI260*Pesos!$B$29+AJ260*Pesos!$B$30+AK260*Pesos!$B$31+AL260*Pesos!$B$32+AM260*Pesos!$B$33+AN260*Pesos!$B$34+AO260*Pesos!$B$35+AP260*Pesos!$B$36+AQ260*Pesos!$B$37+AR260*Pesos!$B$38+AS260*Pesos!$B$39+AT260*Pesos!$B$40+AU260*Pesos!$B$41+AV260*Pesos!$B$42+AW260*Pesos!$B$43+AX260*Pesos!$B$44+AY260*Pesos!$B$45+AZ260*Pesos!$B$46+BA260*Pesos!$B$47+BB260*Pesos!$B$48+BC260*Pesos!$B$49+BD260*Pesos!$B$50+BE260*Pesos!$B$51+BF260*Pesos!$B$52+BG260*Pesos!$B$53</f>
        <v>190</v>
      </c>
      <c r="G260" s="6" t="n">
        <f aca="false">E260*F260</f>
        <v>190</v>
      </c>
      <c r="H260" s="3" t="n">
        <v>49</v>
      </c>
      <c r="I260" s="3" t="n">
        <v>75</v>
      </c>
      <c r="J260" s="3"/>
      <c r="K260" s="3"/>
      <c r="L260" s="3"/>
      <c r="M260" s="3"/>
      <c r="N260" s="3" t="n">
        <v>15</v>
      </c>
      <c r="O260" s="3"/>
      <c r="P260" s="3"/>
      <c r="Q260" s="3"/>
      <c r="R260" s="3"/>
      <c r="S260" s="3"/>
      <c r="T260" s="3" t="n">
        <v>1</v>
      </c>
      <c r="U260" s="3" t="n">
        <v>2</v>
      </c>
      <c r="V260" s="3" t="n">
        <v>1</v>
      </c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 t="s">
        <v>773</v>
      </c>
      <c r="BK260" s="3"/>
      <c r="BL260" s="3"/>
      <c r="BM260" s="3"/>
    </row>
    <row r="261" customFormat="false" ht="15" hidden="false" customHeight="false" outlineLevel="0" collapsed="false">
      <c r="A261" s="3" t="s">
        <v>63</v>
      </c>
      <c r="B261" s="3" t="s">
        <v>113</v>
      </c>
      <c r="C261" s="3" t="s">
        <v>776</v>
      </c>
      <c r="D261" s="3" t="s">
        <v>777</v>
      </c>
      <c r="E261" s="3" t="n">
        <v>1</v>
      </c>
      <c r="F261" s="6" t="n">
        <f aca="false">H261*Pesos!$B$2+I261*Pesos!$B$3+J261*Pesos!$B$4+K261*Pesos!$B$5+L261*Pesos!$B$6+M261*Pesos!$B$7+N261*Pesos!$B$8+O261*Pesos!$B$9+P261*Pesos!$B$10+Q261*Pesos!$B$11+R261*Pesos!$B$12+S261*Pesos!$B$13+T261*Pesos!$B$14+U261*Pesos!$B$15+V261*Pesos!$B$16+W261*Pesos!$B$17+X261*Pesos!$B$18+Y261*Pesos!$B$19+Z261*Pesos!$B$20+AA261*Pesos!$B$21+AB261*Pesos!$B$22+AC261*Pesos!$B$23+AD261*Pesos!$B$24+AE261*Pesos!$B$25+AF261*Pesos!$B$26+AG261*Pesos!$B$27+AH261*Pesos!$B$28+AI261*Pesos!$B$29+AJ261*Pesos!$B$30+AK261*Pesos!$B$31+AL261*Pesos!$B$32+AM261*Pesos!$B$33+AN261*Pesos!$B$34+AO261*Pesos!$B$35+AP261*Pesos!$B$36+AQ261*Pesos!$B$37+AR261*Pesos!$B$38+AS261*Pesos!$B$39+AT261*Pesos!$B$40+AU261*Pesos!$B$41+AV261*Pesos!$B$42+AW261*Pesos!$B$43+AX261*Pesos!$B$44+AY261*Pesos!$B$45+AZ261*Pesos!$B$46+BA261*Pesos!$B$47+BB261*Pesos!$B$48+BC261*Pesos!$B$49+BD261*Pesos!$B$50+BE261*Pesos!$B$51+BF261*Pesos!$B$52+BG261*Pesos!$B$53</f>
        <v>190</v>
      </c>
      <c r="G261" s="6" t="n">
        <f aca="false">E261*F261</f>
        <v>190</v>
      </c>
      <c r="H261" s="3" t="n">
        <v>49</v>
      </c>
      <c r="I261" s="3" t="n">
        <v>75</v>
      </c>
      <c r="J261" s="3"/>
      <c r="K261" s="3"/>
      <c r="L261" s="3"/>
      <c r="M261" s="3"/>
      <c r="N261" s="3" t="n">
        <v>15</v>
      </c>
      <c r="O261" s="3"/>
      <c r="P261" s="3"/>
      <c r="Q261" s="3"/>
      <c r="R261" s="3"/>
      <c r="S261" s="3"/>
      <c r="T261" s="3" t="n">
        <v>1</v>
      </c>
      <c r="U261" s="3" t="n">
        <v>2</v>
      </c>
      <c r="V261" s="3" t="n">
        <v>1</v>
      </c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 t="s">
        <v>773</v>
      </c>
      <c r="BK261" s="3"/>
      <c r="BL261" s="3"/>
      <c r="BM261" s="3"/>
    </row>
    <row r="262" customFormat="false" ht="15" hidden="false" customHeight="false" outlineLevel="0" collapsed="false">
      <c r="A262" s="3" t="s">
        <v>63</v>
      </c>
      <c r="B262" s="3" t="s">
        <v>113</v>
      </c>
      <c r="C262" s="3" t="s">
        <v>778</v>
      </c>
      <c r="D262" s="3" t="s">
        <v>779</v>
      </c>
      <c r="E262" s="3" t="n">
        <v>1</v>
      </c>
      <c r="F262" s="6" t="n">
        <f aca="false">H262*Pesos!$B$2+I262*Pesos!$B$3+J262*Pesos!$B$4+K262*Pesos!$B$5+L262*Pesos!$B$6+M262*Pesos!$B$7+N262*Pesos!$B$8+O262*Pesos!$B$9+P262*Pesos!$B$10+Q262*Pesos!$B$11+R262*Pesos!$B$12+S262*Pesos!$B$13+T262*Pesos!$B$14+U262*Pesos!$B$15+V262*Pesos!$B$16+W262*Pesos!$B$17+X262*Pesos!$B$18+Y262*Pesos!$B$19+Z262*Pesos!$B$20+AA262*Pesos!$B$21+AB262*Pesos!$B$22+AC262*Pesos!$B$23+AD262*Pesos!$B$24+AE262*Pesos!$B$25+AF262*Pesos!$B$26+AG262*Pesos!$B$27+AH262*Pesos!$B$28+AI262*Pesos!$B$29+AJ262*Pesos!$B$30+AK262*Pesos!$B$31+AL262*Pesos!$B$32+AM262*Pesos!$B$33+AN262*Pesos!$B$34+AO262*Pesos!$B$35+AP262*Pesos!$B$36+AQ262*Pesos!$B$37+AR262*Pesos!$B$38+AS262*Pesos!$B$39+AT262*Pesos!$B$40+AU262*Pesos!$B$41+AV262*Pesos!$B$42+AW262*Pesos!$B$43+AX262*Pesos!$B$44+AY262*Pesos!$B$45+AZ262*Pesos!$B$46+BA262*Pesos!$B$47+BB262*Pesos!$B$48+BC262*Pesos!$B$49+BD262*Pesos!$B$50+BE262*Pesos!$B$51+BF262*Pesos!$B$52+BG262*Pesos!$B$53</f>
        <v>110</v>
      </c>
      <c r="G262" s="6" t="n">
        <f aca="false">E262*F262</f>
        <v>110</v>
      </c>
      <c r="H262" s="3" t="n">
        <v>49</v>
      </c>
      <c r="I262" s="3" t="n">
        <v>75</v>
      </c>
      <c r="J262" s="3"/>
      <c r="K262" s="3"/>
      <c r="L262" s="3"/>
      <c r="M262" s="3"/>
      <c r="N262" s="3" t="n">
        <v>15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 t="n">
        <v>1</v>
      </c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 t="s">
        <v>773</v>
      </c>
      <c r="BK262" s="3"/>
      <c r="BL262" s="3"/>
      <c r="BM262" s="3"/>
    </row>
    <row r="263" customFormat="false" ht="15" hidden="false" customHeight="false" outlineLevel="0" collapsed="false">
      <c r="A263" s="3" t="s">
        <v>63</v>
      </c>
      <c r="B263" s="3" t="s">
        <v>113</v>
      </c>
      <c r="C263" s="3" t="s">
        <v>780</v>
      </c>
      <c r="D263" s="3" t="s">
        <v>781</v>
      </c>
      <c r="E263" s="3" t="n">
        <v>1</v>
      </c>
      <c r="F263" s="6" t="n">
        <f aca="false">H263*Pesos!$B$2+I263*Pesos!$B$3+J263*Pesos!$B$4+K263*Pesos!$B$5+L263*Pesos!$B$6+M263*Pesos!$B$7+N263*Pesos!$B$8+O263*Pesos!$B$9+P263*Pesos!$B$10+Q263*Pesos!$B$11+R263*Pesos!$B$12+S263*Pesos!$B$13+T263*Pesos!$B$14+U263*Pesos!$B$15+V263*Pesos!$B$16+W263*Pesos!$B$17+X263*Pesos!$B$18+Y263*Pesos!$B$19+Z263*Pesos!$B$20+AA263*Pesos!$B$21+AB263*Pesos!$B$22+AC263*Pesos!$B$23+AD263*Pesos!$B$24+AE263*Pesos!$B$25+AF263*Pesos!$B$26+AG263*Pesos!$B$27+AH263*Pesos!$B$28+AI263*Pesos!$B$29+AJ263*Pesos!$B$30+AK263*Pesos!$B$31+AL263*Pesos!$B$32+AM263*Pesos!$B$33+AN263*Pesos!$B$34+AO263*Pesos!$B$35+AP263*Pesos!$B$36+AQ263*Pesos!$B$37+AR263*Pesos!$B$38+AS263*Pesos!$B$39+AT263*Pesos!$B$40+AU263*Pesos!$B$41+AV263*Pesos!$B$42+AW263*Pesos!$B$43+AX263*Pesos!$B$44+AY263*Pesos!$B$45+AZ263*Pesos!$B$46+BA263*Pesos!$B$47+BB263*Pesos!$B$48+BC263*Pesos!$B$49+BD263*Pesos!$B$50+BE263*Pesos!$B$51+BF263*Pesos!$B$52+BG263*Pesos!$B$53</f>
        <v>155</v>
      </c>
      <c r="G263" s="6" t="n">
        <f aca="false">E263*F263</f>
        <v>155</v>
      </c>
      <c r="H263" s="3" t="n">
        <v>49</v>
      </c>
      <c r="I263" s="3" t="n">
        <v>100</v>
      </c>
      <c r="J263" s="3"/>
      <c r="K263" s="3"/>
      <c r="L263" s="3"/>
      <c r="M263" s="3"/>
      <c r="N263" s="3" t="n">
        <v>15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 t="n">
        <v>2</v>
      </c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 t="s">
        <v>773</v>
      </c>
      <c r="BK263" s="3"/>
      <c r="BL263" s="3"/>
      <c r="BM263" s="3"/>
    </row>
    <row r="264" customFormat="false" ht="15" hidden="false" customHeight="false" outlineLevel="0" collapsed="false">
      <c r="A264" s="3" t="s">
        <v>63</v>
      </c>
      <c r="B264" s="3" t="s">
        <v>113</v>
      </c>
      <c r="C264" s="3" t="s">
        <v>782</v>
      </c>
      <c r="D264" s="3" t="s">
        <v>783</v>
      </c>
      <c r="E264" s="3" t="n">
        <v>1</v>
      </c>
      <c r="F264" s="6" t="n">
        <f aca="false">H264*Pesos!$B$2+I264*Pesos!$B$3+J264*Pesos!$B$4+K264*Pesos!$B$5+L264*Pesos!$B$6+M264*Pesos!$B$7+N264*Pesos!$B$8+O264*Pesos!$B$9+P264*Pesos!$B$10+Q264*Pesos!$B$11+R264*Pesos!$B$12+S264*Pesos!$B$13+T264*Pesos!$B$14+U264*Pesos!$B$15+V264*Pesos!$B$16+W264*Pesos!$B$17+X264*Pesos!$B$18+Y264*Pesos!$B$19+Z264*Pesos!$B$20+AA264*Pesos!$B$21+AB264*Pesos!$B$22+AC264*Pesos!$B$23+AD264*Pesos!$B$24+AE264*Pesos!$B$25+AF264*Pesos!$B$26+AG264*Pesos!$B$27+AH264*Pesos!$B$28+AI264*Pesos!$B$29+AJ264*Pesos!$B$30+AK264*Pesos!$B$31+AL264*Pesos!$B$32+AM264*Pesos!$B$33+AN264*Pesos!$B$34+AO264*Pesos!$B$35+AP264*Pesos!$B$36+AQ264*Pesos!$B$37+AR264*Pesos!$B$38+AS264*Pesos!$B$39+AT264*Pesos!$B$40+AU264*Pesos!$B$41+AV264*Pesos!$B$42+AW264*Pesos!$B$43+AX264*Pesos!$B$44+AY264*Pesos!$B$45+AZ264*Pesos!$B$46+BA264*Pesos!$B$47+BB264*Pesos!$B$48+BC264*Pesos!$B$49+BD264*Pesos!$B$50+BE264*Pesos!$B$51+BF264*Pesos!$B$52+BG264*Pesos!$B$53</f>
        <v>110</v>
      </c>
      <c r="G264" s="6" t="n">
        <f aca="false">E264*F264</f>
        <v>110</v>
      </c>
      <c r="H264" s="3" t="n">
        <v>49</v>
      </c>
      <c r="I264" s="3" t="n">
        <v>75</v>
      </c>
      <c r="J264" s="3"/>
      <c r="K264" s="3"/>
      <c r="L264" s="3"/>
      <c r="M264" s="3"/>
      <c r="N264" s="3" t="n">
        <v>15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 t="n">
        <v>1</v>
      </c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 t="s">
        <v>773</v>
      </c>
      <c r="BK264" s="3"/>
      <c r="BL264" s="3"/>
      <c r="BM264" s="3"/>
    </row>
    <row r="265" customFormat="false" ht="15" hidden="false" customHeight="false" outlineLevel="0" collapsed="false">
      <c r="A265" s="3" t="s">
        <v>63</v>
      </c>
      <c r="B265" s="3" t="s">
        <v>113</v>
      </c>
      <c r="C265" s="3" t="s">
        <v>784</v>
      </c>
      <c r="D265" s="3" t="s">
        <v>785</v>
      </c>
      <c r="E265" s="3" t="n">
        <v>1</v>
      </c>
      <c r="F265" s="6" t="n">
        <f aca="false">H265*Pesos!$B$2+I265*Pesos!$B$3+J265*Pesos!$B$4+K265*Pesos!$B$5+L265*Pesos!$B$6+M265*Pesos!$B$7+N265*Pesos!$B$8+O265*Pesos!$B$9+P265*Pesos!$B$10+Q265*Pesos!$B$11+R265*Pesos!$B$12+S265*Pesos!$B$13+T265*Pesos!$B$14+U265*Pesos!$B$15+V265*Pesos!$B$16+W265*Pesos!$B$17+X265*Pesos!$B$18+Y265*Pesos!$B$19+Z265*Pesos!$B$20+AA265*Pesos!$B$21+AB265*Pesos!$B$22+AC265*Pesos!$B$23+AD265*Pesos!$B$24+AE265*Pesos!$B$25+AF265*Pesos!$B$26+AG265*Pesos!$B$27+AH265*Pesos!$B$28+AI265*Pesos!$B$29+AJ265*Pesos!$B$30+AK265*Pesos!$B$31+AL265*Pesos!$B$32+AM265*Pesos!$B$33+AN265*Pesos!$B$34+AO265*Pesos!$B$35+AP265*Pesos!$B$36+AQ265*Pesos!$B$37+AR265*Pesos!$B$38+AS265*Pesos!$B$39+AT265*Pesos!$B$40+AU265*Pesos!$B$41+AV265*Pesos!$B$42+AW265*Pesos!$B$43+AX265*Pesos!$B$44+AY265*Pesos!$B$45+AZ265*Pesos!$B$46+BA265*Pesos!$B$47+BB265*Pesos!$B$48+BC265*Pesos!$B$49+BD265*Pesos!$B$50+BE265*Pesos!$B$51+BF265*Pesos!$B$52+BG265*Pesos!$B$53</f>
        <v>490</v>
      </c>
      <c r="G265" s="6" t="n">
        <f aca="false">E265*F265</f>
        <v>490</v>
      </c>
      <c r="H265" s="3" t="n">
        <v>105</v>
      </c>
      <c r="I265" s="3" t="n">
        <v>175</v>
      </c>
      <c r="J265" s="3"/>
      <c r="K265" s="3"/>
      <c r="L265" s="3"/>
      <c r="M265" s="3"/>
      <c r="N265" s="3" t="n">
        <v>15</v>
      </c>
      <c r="O265" s="3"/>
      <c r="P265" s="3" t="n">
        <v>1</v>
      </c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 t="s">
        <v>773</v>
      </c>
      <c r="BK265" s="3"/>
      <c r="BL265" s="3"/>
      <c r="BM265" s="3"/>
    </row>
    <row r="266" customFormat="false" ht="15" hidden="false" customHeight="false" outlineLevel="0" collapsed="false">
      <c r="A266" s="3" t="s">
        <v>63</v>
      </c>
      <c r="B266" s="3" t="s">
        <v>113</v>
      </c>
      <c r="C266" s="3" t="s">
        <v>786</v>
      </c>
      <c r="D266" s="3" t="s">
        <v>787</v>
      </c>
      <c r="E266" s="3" t="n">
        <v>1</v>
      </c>
      <c r="F266" s="6" t="n">
        <f aca="false">H266*Pesos!$B$2+I266*Pesos!$B$3+J266*Pesos!$B$4+K266*Pesos!$B$5+L266*Pesos!$B$6+M266*Pesos!$B$7+N266*Pesos!$B$8+O266*Pesos!$B$9+P266*Pesos!$B$10+Q266*Pesos!$B$11+R266*Pesos!$B$12+S266*Pesos!$B$13+T266*Pesos!$B$14+U266*Pesos!$B$15+V266*Pesos!$B$16+W266*Pesos!$B$17+X266*Pesos!$B$18+Y266*Pesos!$B$19+Z266*Pesos!$B$20+AA266*Pesos!$B$21+AB266*Pesos!$B$22+AC266*Pesos!$B$23+AD266*Pesos!$B$24+AE266*Pesos!$B$25+AF266*Pesos!$B$26+AG266*Pesos!$B$27+AH266*Pesos!$B$28+AI266*Pesos!$B$29+AJ266*Pesos!$B$30+AK266*Pesos!$B$31+AL266*Pesos!$B$32+AM266*Pesos!$B$33+AN266*Pesos!$B$34+AO266*Pesos!$B$35+AP266*Pesos!$B$36+AQ266*Pesos!$B$37+AR266*Pesos!$B$38+AS266*Pesos!$B$39+AT266*Pesos!$B$40+AU266*Pesos!$B$41+AV266*Pesos!$B$42+AW266*Pesos!$B$43+AX266*Pesos!$B$44+AY266*Pesos!$B$45+AZ266*Pesos!$B$46+BA266*Pesos!$B$47+BB266*Pesos!$B$48+BC266*Pesos!$B$49+BD266*Pesos!$B$50+BE266*Pesos!$B$51+BF266*Pesos!$B$52+BG266*Pesos!$B$53</f>
        <v>50</v>
      </c>
      <c r="G266" s="6" t="n">
        <f aca="false">E266*F266</f>
        <v>50</v>
      </c>
      <c r="H266" s="3" t="n">
        <v>49</v>
      </c>
      <c r="I266" s="3" t="n">
        <v>50</v>
      </c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 t="s">
        <v>788</v>
      </c>
      <c r="BK266" s="3"/>
      <c r="BL266" s="3"/>
      <c r="BM266" s="3"/>
    </row>
    <row r="267" customFormat="false" ht="15" hidden="false" customHeight="false" outlineLevel="0" collapsed="false">
      <c r="A267" s="3" t="s">
        <v>63</v>
      </c>
      <c r="B267" s="3" t="s">
        <v>113</v>
      </c>
      <c r="C267" s="3" t="s">
        <v>789</v>
      </c>
      <c r="D267" s="3" t="s">
        <v>790</v>
      </c>
      <c r="E267" s="3" t="n">
        <v>1</v>
      </c>
      <c r="F267" s="6" t="n">
        <f aca="false">H267*Pesos!$B$2+I267*Pesos!$B$3+J267*Pesos!$B$4+K267*Pesos!$B$5+L267*Pesos!$B$6+M267*Pesos!$B$7+N267*Pesos!$B$8+O267*Pesos!$B$9+P267*Pesos!$B$10+Q267*Pesos!$B$11+R267*Pesos!$B$12+S267*Pesos!$B$13+T267*Pesos!$B$14+U267*Pesos!$B$15+V267*Pesos!$B$16+W267*Pesos!$B$17+X267*Pesos!$B$18+Y267*Pesos!$B$19+Z267*Pesos!$B$20+AA267*Pesos!$B$21+AB267*Pesos!$B$22+AC267*Pesos!$B$23+AD267*Pesos!$B$24+AE267*Pesos!$B$25+AF267*Pesos!$B$26+AG267*Pesos!$B$27+AH267*Pesos!$B$28+AI267*Pesos!$B$29+AJ267*Pesos!$B$30+AK267*Pesos!$B$31+AL267*Pesos!$B$32+AM267*Pesos!$B$33+AN267*Pesos!$B$34+AO267*Pesos!$B$35+AP267*Pesos!$B$36+AQ267*Pesos!$B$37+AR267*Pesos!$B$38+AS267*Pesos!$B$39+AT267*Pesos!$B$40+AU267*Pesos!$B$41+AV267*Pesos!$B$42+AW267*Pesos!$B$43+AX267*Pesos!$B$44+AY267*Pesos!$B$45+AZ267*Pesos!$B$46+BA267*Pesos!$B$47+BB267*Pesos!$B$48+BC267*Pesos!$B$49+BD267*Pesos!$B$50+BE267*Pesos!$B$51+BF267*Pesos!$B$52+BG267*Pesos!$B$53</f>
        <v>51.5</v>
      </c>
      <c r="G267" s="6" t="n">
        <f aca="false">E267*F267</f>
        <v>51.5</v>
      </c>
      <c r="H267" s="3" t="n">
        <v>49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 t="n">
        <v>0.05</v>
      </c>
      <c r="AB267" s="3"/>
      <c r="AC267" s="3"/>
      <c r="AD267" s="3"/>
      <c r="AE267" s="3" t="n">
        <v>15</v>
      </c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 t="s">
        <v>790</v>
      </c>
      <c r="BI267" s="3"/>
      <c r="BJ267" s="3"/>
      <c r="BK267" s="3"/>
      <c r="BL267" s="3"/>
      <c r="BM267" s="3"/>
    </row>
    <row r="268" customFormat="false" ht="15" hidden="false" customHeight="false" outlineLevel="0" collapsed="false">
      <c r="A268" s="3" t="s">
        <v>63</v>
      </c>
      <c r="B268" s="3" t="s">
        <v>113</v>
      </c>
      <c r="C268" s="3" t="s">
        <v>791</v>
      </c>
      <c r="D268" s="3" t="s">
        <v>792</v>
      </c>
      <c r="E268" s="3" t="n">
        <v>1</v>
      </c>
      <c r="F268" s="6" t="n">
        <f aca="false">H268*Pesos!$B$2+I268*Pesos!$B$3+J268*Pesos!$B$4+K268*Pesos!$B$5+L268*Pesos!$B$6+M268*Pesos!$B$7+N268*Pesos!$B$8+O268*Pesos!$B$9+P268*Pesos!$B$10+Q268*Pesos!$B$11+R268*Pesos!$B$12+S268*Pesos!$B$13+T268*Pesos!$B$14+U268*Pesos!$B$15+V268*Pesos!$B$16+W268*Pesos!$B$17+X268*Pesos!$B$18+Y268*Pesos!$B$19+Z268*Pesos!$B$20+AA268*Pesos!$B$21+AB268*Pesos!$B$22+AC268*Pesos!$B$23+AD268*Pesos!$B$24+AE268*Pesos!$B$25+AF268*Pesos!$B$26+AG268*Pesos!$B$27+AH268*Pesos!$B$28+AI268*Pesos!$B$29+AJ268*Pesos!$B$30+AK268*Pesos!$B$31+AL268*Pesos!$B$32+AM268*Pesos!$B$33+AN268*Pesos!$B$34+AO268*Pesos!$B$35+AP268*Pesos!$B$36+AQ268*Pesos!$B$37+AR268*Pesos!$B$38+AS268*Pesos!$B$39+AT268*Pesos!$B$40+AU268*Pesos!$B$41+AV268*Pesos!$B$42+AW268*Pesos!$B$43+AX268*Pesos!$B$44+AY268*Pesos!$B$45+AZ268*Pesos!$B$46+BA268*Pesos!$B$47+BB268*Pesos!$B$48+BC268*Pesos!$B$49+BD268*Pesos!$B$50+BE268*Pesos!$B$51+BF268*Pesos!$B$52+BG268*Pesos!$B$53</f>
        <v>145</v>
      </c>
      <c r="G268" s="6" t="n">
        <f aca="false">E268*F268</f>
        <v>145</v>
      </c>
      <c r="H268" s="3" t="n">
        <v>63</v>
      </c>
      <c r="I268" s="3"/>
      <c r="J268" s="3"/>
      <c r="K268" s="3"/>
      <c r="L268" s="3"/>
      <c r="M268" s="3"/>
      <c r="N268" s="3" t="n">
        <v>25</v>
      </c>
      <c r="O268" s="3"/>
      <c r="P268" s="3"/>
      <c r="Q268" s="3"/>
      <c r="R268" s="3"/>
      <c r="S268" s="3"/>
      <c r="T268" s="3" t="n">
        <v>2</v>
      </c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customFormat="false" ht="15" hidden="false" customHeight="false" outlineLevel="0" collapsed="false">
      <c r="A269" s="3" t="s">
        <v>63</v>
      </c>
      <c r="B269" s="3" t="s">
        <v>113</v>
      </c>
      <c r="C269" s="3" t="s">
        <v>793</v>
      </c>
      <c r="D269" s="3" t="s">
        <v>794</v>
      </c>
      <c r="E269" s="3" t="n">
        <v>1</v>
      </c>
      <c r="F269" s="6" t="n">
        <f aca="false">H269*Pesos!$B$2+I269*Pesos!$B$3+J269*Pesos!$B$4+K269*Pesos!$B$5+L269*Pesos!$B$6+M269*Pesos!$B$7+N269*Pesos!$B$8+O269*Pesos!$B$9+P269*Pesos!$B$10+Q269*Pesos!$B$11+R269*Pesos!$B$12+S269*Pesos!$B$13+T269*Pesos!$B$14+U269*Pesos!$B$15+V269*Pesos!$B$16+W269*Pesos!$B$17+X269*Pesos!$B$18+Y269*Pesos!$B$19+Z269*Pesos!$B$20+AA269*Pesos!$B$21+AB269*Pesos!$B$22+AC269*Pesos!$B$23+AD269*Pesos!$B$24+AE269*Pesos!$B$25+AF269*Pesos!$B$26+AG269*Pesos!$B$27+AH269*Pesos!$B$28+AI269*Pesos!$B$29+AJ269*Pesos!$B$30+AK269*Pesos!$B$31+AL269*Pesos!$B$32+AM269*Pesos!$B$33+AN269*Pesos!$B$34+AO269*Pesos!$B$35+AP269*Pesos!$B$36+AQ269*Pesos!$B$37+AR269*Pesos!$B$38+AS269*Pesos!$B$39+AT269*Pesos!$B$40+AU269*Pesos!$B$41+AV269*Pesos!$B$42+AW269*Pesos!$B$43+AX269*Pesos!$B$44+AY269*Pesos!$B$45+AZ269*Pesos!$B$46+BA269*Pesos!$B$47+BB269*Pesos!$B$48+BC269*Pesos!$B$49+BD269*Pesos!$B$50+BE269*Pesos!$B$51+BF269*Pesos!$B$52+BG269*Pesos!$B$53</f>
        <v>70</v>
      </c>
      <c r="G269" s="6" t="n">
        <f aca="false">E269*F269</f>
        <v>70</v>
      </c>
      <c r="H269" s="3" t="n">
        <v>84</v>
      </c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 t="n">
        <v>5</v>
      </c>
      <c r="AC269" s="3"/>
      <c r="AD269" s="3"/>
      <c r="AE269" s="3" t="n">
        <v>20</v>
      </c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 t="s">
        <v>795</v>
      </c>
      <c r="BI269" s="3"/>
      <c r="BJ269" s="3" t="s">
        <v>796</v>
      </c>
      <c r="BK269" s="3"/>
      <c r="BL269" s="3"/>
      <c r="BM269" s="3"/>
    </row>
    <row r="270" customFormat="false" ht="15" hidden="false" customHeight="false" outlineLevel="0" collapsed="false">
      <c r="A270" s="3" t="s">
        <v>63</v>
      </c>
      <c r="B270" s="3" t="s">
        <v>113</v>
      </c>
      <c r="C270" s="3" t="s">
        <v>797</v>
      </c>
      <c r="D270" s="3" t="s">
        <v>798</v>
      </c>
      <c r="E270" s="3" t="n">
        <v>1</v>
      </c>
      <c r="F270" s="6" t="n">
        <f aca="false">H270*Pesos!$B$2+I270*Pesos!$B$3+J270*Pesos!$B$4+K270*Pesos!$B$5+L270*Pesos!$B$6+M270*Pesos!$B$7+N270*Pesos!$B$8+O270*Pesos!$B$9+P270*Pesos!$B$10+Q270*Pesos!$B$11+R270*Pesos!$B$12+S270*Pesos!$B$13+T270*Pesos!$B$14+U270*Pesos!$B$15+V270*Pesos!$B$16+W270*Pesos!$B$17+X270*Pesos!$B$18+Y270*Pesos!$B$19+Z270*Pesos!$B$20+AA270*Pesos!$B$21+AB270*Pesos!$B$22+AC270*Pesos!$B$23+AD270*Pesos!$B$24+AE270*Pesos!$B$25+AF270*Pesos!$B$26+AG270*Pesos!$B$27+AH270*Pesos!$B$28+AI270*Pesos!$B$29+AJ270*Pesos!$B$30+AK270*Pesos!$B$31+AL270*Pesos!$B$32+AM270*Pesos!$B$33+AN270*Pesos!$B$34+AO270*Pesos!$B$35+AP270*Pesos!$B$36+AQ270*Pesos!$B$37+AR270*Pesos!$B$38+AS270*Pesos!$B$39+AT270*Pesos!$B$40+AU270*Pesos!$B$41+AV270*Pesos!$B$42+AW270*Pesos!$B$43+AX270*Pesos!$B$44+AY270*Pesos!$B$45+AZ270*Pesos!$B$46+BA270*Pesos!$B$47+BB270*Pesos!$B$48+BC270*Pesos!$B$49+BD270*Pesos!$B$50+BE270*Pesos!$B$51+BF270*Pesos!$B$52+BG270*Pesos!$B$53</f>
        <v>100</v>
      </c>
      <c r="G270" s="6" t="n">
        <f aca="false">E270*F270</f>
        <v>100</v>
      </c>
      <c r="H270" s="3" t="n">
        <v>63</v>
      </c>
      <c r="I270" s="3" t="n">
        <v>100</v>
      </c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 t="s">
        <v>799</v>
      </c>
      <c r="BL270" s="3"/>
      <c r="BM270" s="3"/>
    </row>
    <row r="271" customFormat="false" ht="15" hidden="false" customHeight="false" outlineLevel="0" collapsed="false">
      <c r="A271" s="3" t="s">
        <v>63</v>
      </c>
      <c r="B271" s="3" t="s">
        <v>113</v>
      </c>
      <c r="C271" s="3" t="s">
        <v>800</v>
      </c>
      <c r="D271" s="3" t="s">
        <v>801</v>
      </c>
      <c r="E271" s="3" t="n">
        <v>1</v>
      </c>
      <c r="F271" s="6" t="n">
        <f aca="false">H271*Pesos!$B$2+I271*Pesos!$B$3+J271*Pesos!$B$4+K271*Pesos!$B$5+L271*Pesos!$B$6+M271*Pesos!$B$7+N271*Pesos!$B$8+O271*Pesos!$B$9+P271*Pesos!$B$10+Q271*Pesos!$B$11+R271*Pesos!$B$12+S271*Pesos!$B$13+T271*Pesos!$B$14+U271*Pesos!$B$15+V271*Pesos!$B$16+W271*Pesos!$B$17+X271*Pesos!$B$18+Y271*Pesos!$B$19+Z271*Pesos!$B$20+AA271*Pesos!$B$21+AB271*Pesos!$B$22+AC271*Pesos!$B$23+AD271*Pesos!$B$24+AE271*Pesos!$B$25+AF271*Pesos!$B$26+AG271*Pesos!$B$27+AH271*Pesos!$B$28+AI271*Pesos!$B$29+AJ271*Pesos!$B$30+AK271*Pesos!$B$31+AL271*Pesos!$B$32+AM271*Pesos!$B$33+AN271*Pesos!$B$34+AO271*Pesos!$B$35+AP271*Pesos!$B$36+AQ271*Pesos!$B$37+AR271*Pesos!$B$38+AS271*Pesos!$B$39+AT271*Pesos!$B$40+AU271*Pesos!$B$41+AV271*Pesos!$B$42+AW271*Pesos!$B$43+AX271*Pesos!$B$44+AY271*Pesos!$B$45+AZ271*Pesos!$B$46+BA271*Pesos!$B$47+BB271*Pesos!$B$48+BC271*Pesos!$B$49+BD271*Pesos!$B$50+BE271*Pesos!$B$51+BF271*Pesos!$B$52+BG271*Pesos!$B$53</f>
        <v>371.5</v>
      </c>
      <c r="G271" s="6" t="n">
        <f aca="false">E271*F271</f>
        <v>371.5</v>
      </c>
      <c r="H271" s="3" t="n">
        <v>105</v>
      </c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 t="n">
        <v>0.05</v>
      </c>
      <c r="AB271" s="3" t="n">
        <v>10</v>
      </c>
      <c r="AC271" s="3"/>
      <c r="AD271" s="3"/>
      <c r="AE271" s="3" t="n">
        <v>10</v>
      </c>
      <c r="AF271" s="3"/>
      <c r="AG271" s="3"/>
      <c r="AH271" s="3" t="n">
        <v>15</v>
      </c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 t="s">
        <v>801</v>
      </c>
      <c r="BI271" s="3"/>
      <c r="BJ271" s="3"/>
      <c r="BK271" s="3"/>
      <c r="BL271" s="3"/>
      <c r="BM271" s="3"/>
    </row>
    <row r="272" customFormat="false" ht="15" hidden="false" customHeight="false" outlineLevel="0" collapsed="false">
      <c r="A272" s="3" t="s">
        <v>64</v>
      </c>
      <c r="B272" s="3" t="s">
        <v>114</v>
      </c>
      <c r="C272" s="3" t="s">
        <v>802</v>
      </c>
      <c r="D272" s="3" t="s">
        <v>803</v>
      </c>
      <c r="E272" s="3" t="n">
        <v>1</v>
      </c>
      <c r="F272" s="6" t="n">
        <f aca="false">H272*Pesos!$B$2+I272*Pesos!$B$3+J272*Pesos!$B$4+K272*Pesos!$B$5+L272*Pesos!$B$6+M272*Pesos!$B$7+N272*Pesos!$B$8+O272*Pesos!$B$9+P272*Pesos!$B$10+Q272*Pesos!$B$11+R272*Pesos!$B$12+S272*Pesos!$B$13+T272*Pesos!$B$14+U272*Pesos!$B$15+V272*Pesos!$B$16+W272*Pesos!$B$17+X272*Pesos!$B$18+Y272*Pesos!$B$19+Z272*Pesos!$B$20+AA272*Pesos!$B$21+AB272*Pesos!$B$22+AC272*Pesos!$B$23+AD272*Pesos!$B$24+AE272*Pesos!$B$25+AF272*Pesos!$B$26+AG272*Pesos!$B$27+AH272*Pesos!$B$28+AI272*Pesos!$B$29+AJ272*Pesos!$B$30+AK272*Pesos!$B$31+AL272*Pesos!$B$32+AM272*Pesos!$B$33+AN272*Pesos!$B$34+AO272*Pesos!$B$35+AP272*Pesos!$B$36+AQ272*Pesos!$B$37+AR272*Pesos!$B$38+AS272*Pesos!$B$39+AT272*Pesos!$B$40+AU272*Pesos!$B$41+AV272*Pesos!$B$42+AW272*Pesos!$B$43+AX272*Pesos!$B$44+AY272*Pesos!$B$45+AZ272*Pesos!$B$46+BA272*Pesos!$B$47+BB272*Pesos!$B$48+BC272*Pesos!$B$49+BD272*Pesos!$B$50+BE272*Pesos!$B$51+BF272*Pesos!$B$52+BG272*Pesos!$B$53</f>
        <v>100</v>
      </c>
      <c r="G272" s="6" t="n">
        <f aca="false">E272*F272</f>
        <v>100</v>
      </c>
      <c r="H272" s="3" t="n">
        <v>49</v>
      </c>
      <c r="I272" s="3" t="n">
        <v>100</v>
      </c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customFormat="false" ht="15" hidden="false" customHeight="false" outlineLevel="0" collapsed="false">
      <c r="A273" s="3" t="s">
        <v>64</v>
      </c>
      <c r="B273" s="3" t="s">
        <v>114</v>
      </c>
      <c r="C273" s="3" t="s">
        <v>804</v>
      </c>
      <c r="D273" s="3" t="s">
        <v>805</v>
      </c>
      <c r="E273" s="3" t="n">
        <v>1</v>
      </c>
      <c r="F273" s="6" t="n">
        <f aca="false">H273*Pesos!$B$2+I273*Pesos!$B$3+J273*Pesos!$B$4+K273*Pesos!$B$5+L273*Pesos!$B$6+M273*Pesos!$B$7+N273*Pesos!$B$8+O273*Pesos!$B$9+P273*Pesos!$B$10+Q273*Pesos!$B$11+R273*Pesos!$B$12+S273*Pesos!$B$13+T273*Pesos!$B$14+U273*Pesos!$B$15+V273*Pesos!$B$16+W273*Pesos!$B$17+X273*Pesos!$B$18+Y273*Pesos!$B$19+Z273*Pesos!$B$20+AA273*Pesos!$B$21+AB273*Pesos!$B$22+AC273*Pesos!$B$23+AD273*Pesos!$B$24+AE273*Pesos!$B$25+AF273*Pesos!$B$26+AG273*Pesos!$B$27+AH273*Pesos!$B$28+AI273*Pesos!$B$29+AJ273*Pesos!$B$30+AK273*Pesos!$B$31+AL273*Pesos!$B$32+AM273*Pesos!$B$33+AN273*Pesos!$B$34+AO273*Pesos!$B$35+AP273*Pesos!$B$36+AQ273*Pesos!$B$37+AR273*Pesos!$B$38+AS273*Pesos!$B$39+AT273*Pesos!$B$40+AU273*Pesos!$B$41+AV273*Pesos!$B$42+AW273*Pesos!$B$43+AX273*Pesos!$B$44+AY273*Pesos!$B$45+AZ273*Pesos!$B$46+BA273*Pesos!$B$47+BB273*Pesos!$B$48+BC273*Pesos!$B$49+BD273*Pesos!$B$50+BE273*Pesos!$B$51+BF273*Pesos!$B$52+BG273*Pesos!$B$53</f>
        <v>80</v>
      </c>
      <c r="G273" s="6" t="n">
        <f aca="false">E273*F273</f>
        <v>80</v>
      </c>
      <c r="H273" s="3" t="n">
        <v>49</v>
      </c>
      <c r="I273" s="3" t="n">
        <v>50</v>
      </c>
      <c r="J273" s="3" t="n">
        <v>3</v>
      </c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customFormat="false" ht="15" hidden="false" customHeight="false" outlineLevel="0" collapsed="false">
      <c r="A274" s="3" t="s">
        <v>64</v>
      </c>
      <c r="B274" s="3" t="s">
        <v>114</v>
      </c>
      <c r="C274" s="3" t="s">
        <v>806</v>
      </c>
      <c r="D274" s="3" t="s">
        <v>807</v>
      </c>
      <c r="E274" s="3" t="n">
        <v>0.5</v>
      </c>
      <c r="F274" s="6" t="n">
        <f aca="false">H274*Pesos!$B$2+I274*Pesos!$B$3+J274*Pesos!$B$4+K274*Pesos!$B$5+L274*Pesos!$B$6+M274*Pesos!$B$7+N274*Pesos!$B$8+O274*Pesos!$B$9+P274*Pesos!$B$10+Q274*Pesos!$B$11+R274*Pesos!$B$12+S274*Pesos!$B$13+T274*Pesos!$B$14+U274*Pesos!$B$15+V274*Pesos!$B$16+W274*Pesos!$B$17+X274*Pesos!$B$18+Y274*Pesos!$B$19+Z274*Pesos!$B$20+AA274*Pesos!$B$21+AB274*Pesos!$B$22+AC274*Pesos!$B$23+AD274*Pesos!$B$24+AE274*Pesos!$B$25+AF274*Pesos!$B$26+AG274*Pesos!$B$27+AH274*Pesos!$B$28+AI274*Pesos!$B$29+AJ274*Pesos!$B$30+AK274*Pesos!$B$31+AL274*Pesos!$B$32+AM274*Pesos!$B$33+AN274*Pesos!$B$34+AO274*Pesos!$B$35+AP274*Pesos!$B$36+AQ274*Pesos!$B$37+AR274*Pesos!$B$38+AS274*Pesos!$B$39+AT274*Pesos!$B$40+AU274*Pesos!$B$41+AV274*Pesos!$B$42+AW274*Pesos!$B$43+AX274*Pesos!$B$44+AY274*Pesos!$B$45+AZ274*Pesos!$B$46+BA274*Pesos!$B$47+BB274*Pesos!$B$48+BC274*Pesos!$B$49+BD274*Pesos!$B$50+BE274*Pesos!$B$51+BF274*Pesos!$B$52+BG274*Pesos!$B$53</f>
        <v>150</v>
      </c>
      <c r="G274" s="6" t="n">
        <f aca="false">E274*F274</f>
        <v>75</v>
      </c>
      <c r="H274" s="3" t="n">
        <v>49</v>
      </c>
      <c r="I274" s="3" t="n">
        <v>100</v>
      </c>
      <c r="J274" s="3" t="n">
        <v>5</v>
      </c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 t="s">
        <v>808</v>
      </c>
    </row>
    <row r="275" customFormat="false" ht="15" hidden="false" customHeight="false" outlineLevel="0" collapsed="false">
      <c r="A275" s="3" t="s">
        <v>64</v>
      </c>
      <c r="B275" s="3" t="s">
        <v>114</v>
      </c>
      <c r="C275" s="3" t="s">
        <v>809</v>
      </c>
      <c r="D275" s="3" t="s">
        <v>810</v>
      </c>
      <c r="E275" s="3" t="n">
        <v>0.5</v>
      </c>
      <c r="F275" s="6" t="n">
        <f aca="false">H275*Pesos!$B$2+I275*Pesos!$B$3+J275*Pesos!$B$4+K275*Pesos!$B$5+L275*Pesos!$B$6+M275*Pesos!$B$7+N275*Pesos!$B$8+O275*Pesos!$B$9+P275*Pesos!$B$10+Q275*Pesos!$B$11+R275*Pesos!$B$12+S275*Pesos!$B$13+T275*Pesos!$B$14+U275*Pesos!$B$15+V275*Pesos!$B$16+W275*Pesos!$B$17+X275*Pesos!$B$18+Y275*Pesos!$B$19+Z275*Pesos!$B$20+AA275*Pesos!$B$21+AB275*Pesos!$B$22+AC275*Pesos!$B$23+AD275*Pesos!$B$24+AE275*Pesos!$B$25+AF275*Pesos!$B$26+AG275*Pesos!$B$27+AH275*Pesos!$B$28+AI275*Pesos!$B$29+AJ275*Pesos!$B$30+AK275*Pesos!$B$31+AL275*Pesos!$B$32+AM275*Pesos!$B$33+AN275*Pesos!$B$34+AO275*Pesos!$B$35+AP275*Pesos!$B$36+AQ275*Pesos!$B$37+AR275*Pesos!$B$38+AS275*Pesos!$B$39+AT275*Pesos!$B$40+AU275*Pesos!$B$41+AV275*Pesos!$B$42+AW275*Pesos!$B$43+AX275*Pesos!$B$44+AY275*Pesos!$B$45+AZ275*Pesos!$B$46+BA275*Pesos!$B$47+BB275*Pesos!$B$48+BC275*Pesos!$B$49+BD275*Pesos!$B$50+BE275*Pesos!$B$51+BF275*Pesos!$B$52+BG275*Pesos!$B$53</f>
        <v>123</v>
      </c>
      <c r="G275" s="6" t="n">
        <f aca="false">E275*F275</f>
        <v>61.5</v>
      </c>
      <c r="H275" s="3" t="n">
        <v>49</v>
      </c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 t="n">
        <v>0.1</v>
      </c>
      <c r="AB275" s="3" t="n">
        <v>5</v>
      </c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 t="s">
        <v>810</v>
      </c>
      <c r="BI275" s="3"/>
      <c r="BJ275" s="3"/>
      <c r="BK275" s="3"/>
      <c r="BL275" s="3"/>
      <c r="BM275" s="3"/>
    </row>
    <row r="276" customFormat="false" ht="15" hidden="false" customHeight="false" outlineLevel="0" collapsed="false">
      <c r="A276" s="3" t="s">
        <v>64</v>
      </c>
      <c r="B276" s="3" t="s">
        <v>114</v>
      </c>
      <c r="C276" s="3" t="s">
        <v>811</v>
      </c>
      <c r="D276" s="3" t="s">
        <v>812</v>
      </c>
      <c r="E276" s="3" t="n">
        <v>0.5</v>
      </c>
      <c r="F276" s="6" t="n">
        <f aca="false">H276*Pesos!$B$2+I276*Pesos!$B$3+J276*Pesos!$B$4+K276*Pesos!$B$5+L276*Pesos!$B$6+M276*Pesos!$B$7+N276*Pesos!$B$8+O276*Pesos!$B$9+P276*Pesos!$B$10+Q276*Pesos!$B$11+R276*Pesos!$B$12+S276*Pesos!$B$13+T276*Pesos!$B$14+U276*Pesos!$B$15+V276*Pesos!$B$16+W276*Pesos!$B$17+X276*Pesos!$B$18+Y276*Pesos!$B$19+Z276*Pesos!$B$20+AA276*Pesos!$B$21+AB276*Pesos!$B$22+AC276*Pesos!$B$23+AD276*Pesos!$B$24+AE276*Pesos!$B$25+AF276*Pesos!$B$26+AG276*Pesos!$B$27+AH276*Pesos!$B$28+AI276*Pesos!$B$29+AJ276*Pesos!$B$30+AK276*Pesos!$B$31+AL276*Pesos!$B$32+AM276*Pesos!$B$33+AN276*Pesos!$B$34+AO276*Pesos!$B$35+AP276*Pesos!$B$36+AQ276*Pesos!$B$37+AR276*Pesos!$B$38+AS276*Pesos!$B$39+AT276*Pesos!$B$40+AU276*Pesos!$B$41+AV276*Pesos!$B$42+AW276*Pesos!$B$43+AX276*Pesos!$B$44+AY276*Pesos!$B$45+AZ276*Pesos!$B$46+BA276*Pesos!$B$47+BB276*Pesos!$B$48+BC276*Pesos!$B$49+BD276*Pesos!$B$50+BE276*Pesos!$B$51+BF276*Pesos!$B$52+BG276*Pesos!$B$53</f>
        <v>205</v>
      </c>
      <c r="G276" s="6" t="n">
        <f aca="false">E276*F276</f>
        <v>102.5</v>
      </c>
      <c r="H276" s="3" t="n">
        <v>63</v>
      </c>
      <c r="I276" s="3"/>
      <c r="J276" s="3"/>
      <c r="K276" s="3"/>
      <c r="L276" s="3"/>
      <c r="M276" s="3"/>
      <c r="N276" s="3"/>
      <c r="O276" s="3"/>
      <c r="P276" s="3"/>
      <c r="Q276" s="3" t="n">
        <v>1</v>
      </c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 t="n">
        <v>15</v>
      </c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 t="s">
        <v>812</v>
      </c>
      <c r="BI276" s="3"/>
      <c r="BJ276" s="3"/>
      <c r="BK276" s="3"/>
      <c r="BL276" s="3"/>
      <c r="BM276" s="3"/>
    </row>
    <row r="277" customFormat="false" ht="15" hidden="false" customHeight="false" outlineLevel="0" collapsed="false">
      <c r="A277" s="3" t="s">
        <v>64</v>
      </c>
      <c r="B277" s="3" t="s">
        <v>114</v>
      </c>
      <c r="C277" s="3" t="s">
        <v>813</v>
      </c>
      <c r="D277" s="3" t="s">
        <v>814</v>
      </c>
      <c r="E277" s="3" t="n">
        <v>0.5</v>
      </c>
      <c r="F277" s="6" t="n">
        <f aca="false">H277*Pesos!$B$2+I277*Pesos!$B$3+J277*Pesos!$B$4+K277*Pesos!$B$5+L277*Pesos!$B$6+M277*Pesos!$B$7+N277*Pesos!$B$8+O277*Pesos!$B$9+P277*Pesos!$B$10+Q277*Pesos!$B$11+R277*Pesos!$B$12+S277*Pesos!$B$13+T277*Pesos!$B$14+U277*Pesos!$B$15+V277*Pesos!$B$16+W277*Pesos!$B$17+X277*Pesos!$B$18+Y277*Pesos!$B$19+Z277*Pesos!$B$20+AA277*Pesos!$B$21+AB277*Pesos!$B$22+AC277*Pesos!$B$23+AD277*Pesos!$B$24+AE277*Pesos!$B$25+AF277*Pesos!$B$26+AG277*Pesos!$B$27+AH277*Pesos!$B$28+AI277*Pesos!$B$29+AJ277*Pesos!$B$30+AK277*Pesos!$B$31+AL277*Pesos!$B$32+AM277*Pesos!$B$33+AN277*Pesos!$B$34+AO277*Pesos!$B$35+AP277*Pesos!$B$36+AQ277*Pesos!$B$37+AR277*Pesos!$B$38+AS277*Pesos!$B$39+AT277*Pesos!$B$40+AU277*Pesos!$B$41+AV277*Pesos!$B$42+AW277*Pesos!$B$43+AX277*Pesos!$B$44+AY277*Pesos!$B$45+AZ277*Pesos!$B$46+BA277*Pesos!$B$47+BB277*Pesos!$B$48+BC277*Pesos!$B$49+BD277*Pesos!$B$50+BE277*Pesos!$B$51+BF277*Pesos!$B$52+BG277*Pesos!$B$53</f>
        <v>70</v>
      </c>
      <c r="G277" s="6" t="n">
        <f aca="false">E277*F277</f>
        <v>35</v>
      </c>
      <c r="H277" s="3" t="n">
        <v>63</v>
      </c>
      <c r="I277" s="3" t="n">
        <v>50</v>
      </c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 t="n">
        <v>1</v>
      </c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customFormat="false" ht="15" hidden="false" customHeight="false" outlineLevel="0" collapsed="false">
      <c r="A278" s="3" t="s">
        <v>64</v>
      </c>
      <c r="B278" s="3" t="s">
        <v>114</v>
      </c>
      <c r="C278" s="3" t="s">
        <v>815</v>
      </c>
      <c r="D278" s="3" t="s">
        <v>816</v>
      </c>
      <c r="E278" s="3" t="n">
        <v>0.5</v>
      </c>
      <c r="F278" s="6" t="n">
        <f aca="false">H278*Pesos!$B$2+I278*Pesos!$B$3+J278*Pesos!$B$4+K278*Pesos!$B$5+L278*Pesos!$B$6+M278*Pesos!$B$7+N278*Pesos!$B$8+O278*Pesos!$B$9+P278*Pesos!$B$10+Q278*Pesos!$B$11+R278*Pesos!$B$12+S278*Pesos!$B$13+T278*Pesos!$B$14+U278*Pesos!$B$15+V278*Pesos!$B$16+W278*Pesos!$B$17+X278*Pesos!$B$18+Y278*Pesos!$B$19+Z278*Pesos!$B$20+AA278*Pesos!$B$21+AB278*Pesos!$B$22+AC278*Pesos!$B$23+AD278*Pesos!$B$24+AE278*Pesos!$B$25+AF278*Pesos!$B$26+AG278*Pesos!$B$27+AH278*Pesos!$B$28+AI278*Pesos!$B$29+AJ278*Pesos!$B$30+AK278*Pesos!$B$31+AL278*Pesos!$B$32+AM278*Pesos!$B$33+AN278*Pesos!$B$34+AO278*Pesos!$B$35+AP278*Pesos!$B$36+AQ278*Pesos!$B$37+AR278*Pesos!$B$38+AS278*Pesos!$B$39+AT278*Pesos!$B$40+AU278*Pesos!$B$41+AV278*Pesos!$B$42+AW278*Pesos!$B$43+AX278*Pesos!$B$44+AY278*Pesos!$B$45+AZ278*Pesos!$B$46+BA278*Pesos!$B$47+BB278*Pesos!$B$48+BC278*Pesos!$B$49+BD278*Pesos!$B$50+BE278*Pesos!$B$51+BF278*Pesos!$B$52+BG278*Pesos!$B$53</f>
        <v>70</v>
      </c>
      <c r="G278" s="6" t="n">
        <f aca="false">E278*F278</f>
        <v>35</v>
      </c>
      <c r="H278" s="3" t="n">
        <v>63</v>
      </c>
      <c r="I278" s="3" t="n">
        <v>50</v>
      </c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 t="n">
        <v>1</v>
      </c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customFormat="false" ht="15" hidden="false" customHeight="false" outlineLevel="0" collapsed="false">
      <c r="A279" s="3" t="s">
        <v>64</v>
      </c>
      <c r="B279" s="3" t="s">
        <v>114</v>
      </c>
      <c r="C279" s="3" t="s">
        <v>817</v>
      </c>
      <c r="D279" s="3" t="s">
        <v>818</v>
      </c>
      <c r="E279" s="3" t="n">
        <v>0.5</v>
      </c>
      <c r="F279" s="6" t="n">
        <f aca="false">H279*Pesos!$B$2+I279*Pesos!$B$3+J279*Pesos!$B$4+K279*Pesos!$B$5+L279*Pesos!$B$6+M279*Pesos!$B$7+N279*Pesos!$B$8+O279*Pesos!$B$9+P279*Pesos!$B$10+Q279*Pesos!$B$11+R279*Pesos!$B$12+S279*Pesos!$B$13+T279*Pesos!$B$14+U279*Pesos!$B$15+V279*Pesos!$B$16+W279*Pesos!$B$17+X279*Pesos!$B$18+Y279*Pesos!$B$19+Z279*Pesos!$B$20+AA279*Pesos!$B$21+AB279*Pesos!$B$22+AC279*Pesos!$B$23+AD279*Pesos!$B$24+AE279*Pesos!$B$25+AF279*Pesos!$B$26+AG279*Pesos!$B$27+AH279*Pesos!$B$28+AI279*Pesos!$B$29+AJ279*Pesos!$B$30+AK279*Pesos!$B$31+AL279*Pesos!$B$32+AM279*Pesos!$B$33+AN279*Pesos!$B$34+AO279*Pesos!$B$35+AP279*Pesos!$B$36+AQ279*Pesos!$B$37+AR279*Pesos!$B$38+AS279*Pesos!$B$39+AT279*Pesos!$B$40+AU279*Pesos!$B$41+AV279*Pesos!$B$42+AW279*Pesos!$B$43+AX279*Pesos!$B$44+AY279*Pesos!$B$45+AZ279*Pesos!$B$46+BA279*Pesos!$B$47+BB279*Pesos!$B$48+BC279*Pesos!$B$49+BD279*Pesos!$B$50+BE279*Pesos!$B$51+BF279*Pesos!$B$52+BG279*Pesos!$B$53</f>
        <v>173</v>
      </c>
      <c r="G279" s="6" t="n">
        <f aca="false">E279*F279</f>
        <v>86.5</v>
      </c>
      <c r="H279" s="3" t="n">
        <v>84</v>
      </c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 t="n">
        <v>0.1</v>
      </c>
      <c r="AB279" s="3" t="n">
        <v>10</v>
      </c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 t="s">
        <v>818</v>
      </c>
      <c r="BI279" s="3"/>
      <c r="BJ279" s="3"/>
      <c r="BK279" s="3"/>
      <c r="BL279" s="3"/>
      <c r="BM279" s="3"/>
    </row>
    <row r="280" customFormat="false" ht="15" hidden="false" customHeight="false" outlineLevel="0" collapsed="false">
      <c r="A280" s="3" t="s">
        <v>64</v>
      </c>
      <c r="B280" s="3" t="s">
        <v>114</v>
      </c>
      <c r="C280" s="3" t="s">
        <v>819</v>
      </c>
      <c r="D280" s="3" t="s">
        <v>820</v>
      </c>
      <c r="E280" s="3" t="n">
        <v>0.5</v>
      </c>
      <c r="F280" s="6" t="n">
        <f aca="false">H280*Pesos!$B$2+I280*Pesos!$B$3+J280*Pesos!$B$4+K280*Pesos!$B$5+L280*Pesos!$B$6+M280*Pesos!$B$7+N280*Pesos!$B$8+O280*Pesos!$B$9+P280*Pesos!$B$10+Q280*Pesos!$B$11+R280*Pesos!$B$12+S280*Pesos!$B$13+T280*Pesos!$B$14+U280*Pesos!$B$15+V280*Pesos!$B$16+W280*Pesos!$B$17+X280*Pesos!$B$18+Y280*Pesos!$B$19+Z280*Pesos!$B$20+AA280*Pesos!$B$21+AB280*Pesos!$B$22+AC280*Pesos!$B$23+AD280*Pesos!$B$24+AE280*Pesos!$B$25+AF280*Pesos!$B$26+AG280*Pesos!$B$27+AH280*Pesos!$B$28+AI280*Pesos!$B$29+AJ280*Pesos!$B$30+AK280*Pesos!$B$31+AL280*Pesos!$B$32+AM280*Pesos!$B$33+AN280*Pesos!$B$34+AO280*Pesos!$B$35+AP280*Pesos!$B$36+AQ280*Pesos!$B$37+AR280*Pesos!$B$38+AS280*Pesos!$B$39+AT280*Pesos!$B$40+AU280*Pesos!$B$41+AV280*Pesos!$B$42+AW280*Pesos!$B$43+AX280*Pesos!$B$44+AY280*Pesos!$B$45+AZ280*Pesos!$B$46+BA280*Pesos!$B$47+BB280*Pesos!$B$48+BC280*Pesos!$B$49+BD280*Pesos!$B$50+BE280*Pesos!$B$51+BF280*Pesos!$B$52+BG280*Pesos!$B$53</f>
        <v>50</v>
      </c>
      <c r="G280" s="6" t="n">
        <f aca="false">E280*F280</f>
        <v>25</v>
      </c>
      <c r="H280" s="3" t="n">
        <v>105</v>
      </c>
      <c r="I280" s="3" t="n">
        <v>50</v>
      </c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 t="s">
        <v>821</v>
      </c>
      <c r="BL280" s="3"/>
      <c r="BM280" s="3"/>
    </row>
    <row r="281" customFormat="false" ht="15" hidden="false" customHeight="false" outlineLevel="0" collapsed="false">
      <c r="A281" s="3" t="s">
        <v>64</v>
      </c>
      <c r="B281" s="3" t="s">
        <v>114</v>
      </c>
      <c r="C281" s="3" t="s">
        <v>822</v>
      </c>
      <c r="D281" s="3" t="s">
        <v>823</v>
      </c>
      <c r="E281" s="3" t="n">
        <v>0.5</v>
      </c>
      <c r="F281" s="6" t="n">
        <f aca="false">H281*Pesos!$B$2+I281*Pesos!$B$3+J281*Pesos!$B$4+K281*Pesos!$B$5+L281*Pesos!$B$6+M281*Pesos!$B$7+N281*Pesos!$B$8+O281*Pesos!$B$9+P281*Pesos!$B$10+Q281*Pesos!$B$11+R281*Pesos!$B$12+S281*Pesos!$B$13+T281*Pesos!$B$14+U281*Pesos!$B$15+V281*Pesos!$B$16+W281*Pesos!$B$17+X281*Pesos!$B$18+Y281*Pesos!$B$19+Z281*Pesos!$B$20+AA281*Pesos!$B$21+AB281*Pesos!$B$22+AC281*Pesos!$B$23+AD281*Pesos!$B$24+AE281*Pesos!$B$25+AF281*Pesos!$B$26+AG281*Pesos!$B$27+AH281*Pesos!$B$28+AI281*Pesos!$B$29+AJ281*Pesos!$B$30+AK281*Pesos!$B$31+AL281*Pesos!$B$32+AM281*Pesos!$B$33+AN281*Pesos!$B$34+AO281*Pesos!$B$35+AP281*Pesos!$B$36+AQ281*Pesos!$B$37+AR281*Pesos!$B$38+AS281*Pesos!$B$39+AT281*Pesos!$B$40+AU281*Pesos!$B$41+AV281*Pesos!$B$42+AW281*Pesos!$B$43+AX281*Pesos!$B$44+AY281*Pesos!$B$45+AZ281*Pesos!$B$46+BA281*Pesos!$B$47+BB281*Pesos!$B$48+BC281*Pesos!$B$49+BD281*Pesos!$B$50+BE281*Pesos!$B$51+BF281*Pesos!$B$52+BG281*Pesos!$B$53</f>
        <v>556.5</v>
      </c>
      <c r="G281" s="6" t="n">
        <f aca="false">E281*F281</f>
        <v>278.25</v>
      </c>
      <c r="H281" s="3" t="n">
        <v>84</v>
      </c>
      <c r="I281" s="3"/>
      <c r="J281" s="3"/>
      <c r="K281" s="3"/>
      <c r="L281" s="3"/>
      <c r="M281" s="3"/>
      <c r="N281" s="3"/>
      <c r="O281" s="3"/>
      <c r="P281" s="3" t="n">
        <v>1</v>
      </c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 t="n">
        <v>0.05</v>
      </c>
      <c r="AB281" s="3" t="n">
        <v>10</v>
      </c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 t="n">
        <v>10</v>
      </c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 t="s">
        <v>824</v>
      </c>
      <c r="BI281" s="3"/>
      <c r="BJ281" s="3"/>
      <c r="BK281" s="3"/>
      <c r="BL281" s="3"/>
      <c r="BM281" s="3"/>
    </row>
    <row r="282" customFormat="false" ht="15" hidden="false" customHeight="false" outlineLevel="0" collapsed="false">
      <c r="A282" s="3" t="s">
        <v>64</v>
      </c>
      <c r="B282" s="3" t="s">
        <v>115</v>
      </c>
      <c r="C282" s="3" t="s">
        <v>808</v>
      </c>
      <c r="D282" s="3" t="s">
        <v>825</v>
      </c>
      <c r="E282" s="3" t="n">
        <v>0.5</v>
      </c>
      <c r="F282" s="6" t="n">
        <f aca="false">H282*Pesos!$B$2+I282*Pesos!$B$3+J282*Pesos!$B$4+K282*Pesos!$B$5+L282*Pesos!$B$6+M282*Pesos!$B$7+N282*Pesos!$B$8+O282*Pesos!$B$9+P282*Pesos!$B$10+Q282*Pesos!$B$11+R282*Pesos!$B$12+S282*Pesos!$B$13+T282*Pesos!$B$14+U282*Pesos!$B$15+V282*Pesos!$B$16+W282*Pesos!$B$17+X282*Pesos!$B$18+Y282*Pesos!$B$19+Z282*Pesos!$B$20+AA282*Pesos!$B$21+AB282*Pesos!$B$22+AC282*Pesos!$B$23+AD282*Pesos!$B$24+AE282*Pesos!$B$25+AF282*Pesos!$B$26+AG282*Pesos!$B$27+AH282*Pesos!$B$28+AI282*Pesos!$B$29+AJ282*Pesos!$B$30+AK282*Pesos!$B$31+AL282*Pesos!$B$32+AM282*Pesos!$B$33+AN282*Pesos!$B$34+AO282*Pesos!$B$35+AP282*Pesos!$B$36+AQ282*Pesos!$B$37+AR282*Pesos!$B$38+AS282*Pesos!$B$39+AT282*Pesos!$B$40+AU282*Pesos!$B$41+AV282*Pesos!$B$42+AW282*Pesos!$B$43+AX282*Pesos!$B$44+AY282*Pesos!$B$45+AZ282*Pesos!$B$46+BA282*Pesos!$B$47+BB282*Pesos!$B$48+BC282*Pesos!$B$49+BD282*Pesos!$B$50+BE282*Pesos!$B$51+BF282*Pesos!$B$52+BG282*Pesos!$B$53</f>
        <v>130</v>
      </c>
      <c r="G282" s="6" t="n">
        <f aca="false">E282*F282</f>
        <v>65</v>
      </c>
      <c r="H282" s="3" t="n">
        <v>35</v>
      </c>
      <c r="I282" s="3" t="n">
        <v>50</v>
      </c>
      <c r="J282" s="3"/>
      <c r="K282" s="3" t="n">
        <v>10</v>
      </c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 t="s">
        <v>826</v>
      </c>
      <c r="BL282" s="3"/>
      <c r="BM282" s="3" t="s">
        <v>806</v>
      </c>
    </row>
    <row r="283" customFormat="false" ht="15" hidden="false" customHeight="false" outlineLevel="0" collapsed="false">
      <c r="A283" s="3" t="s">
        <v>64</v>
      </c>
      <c r="B283" s="3" t="s">
        <v>115</v>
      </c>
      <c r="C283" s="3" t="s">
        <v>827</v>
      </c>
      <c r="D283" s="3" t="s">
        <v>828</v>
      </c>
      <c r="E283" s="3" t="n">
        <v>0.5</v>
      </c>
      <c r="F283" s="6" t="n">
        <f aca="false">H283*Pesos!$B$2+I283*Pesos!$B$3+J283*Pesos!$B$4+K283*Pesos!$B$5+L283*Pesos!$B$6+M283*Pesos!$B$7+N283*Pesos!$B$8+O283*Pesos!$B$9+P283*Pesos!$B$10+Q283*Pesos!$B$11+R283*Pesos!$B$12+S283*Pesos!$B$13+T283*Pesos!$B$14+U283*Pesos!$B$15+V283*Pesos!$B$16+W283*Pesos!$B$17+X283*Pesos!$B$18+Y283*Pesos!$B$19+Z283*Pesos!$B$20+AA283*Pesos!$B$21+AB283*Pesos!$B$22+AC283*Pesos!$B$23+AD283*Pesos!$B$24+AE283*Pesos!$B$25+AF283*Pesos!$B$26+AG283*Pesos!$B$27+AH283*Pesos!$B$28+AI283*Pesos!$B$29+AJ283*Pesos!$B$30+AK283*Pesos!$B$31+AL283*Pesos!$B$32+AM283*Pesos!$B$33+AN283*Pesos!$B$34+AO283*Pesos!$B$35+AP283*Pesos!$B$36+AQ283*Pesos!$B$37+AR283*Pesos!$B$38+AS283*Pesos!$B$39+AT283*Pesos!$B$40+AU283*Pesos!$B$41+AV283*Pesos!$B$42+AW283*Pesos!$B$43+AX283*Pesos!$B$44+AY283*Pesos!$B$45+AZ283*Pesos!$B$46+BA283*Pesos!$B$47+BB283*Pesos!$B$48+BC283*Pesos!$B$49+BD283*Pesos!$B$50+BE283*Pesos!$B$51+BF283*Pesos!$B$52+BG283*Pesos!$B$53</f>
        <v>380</v>
      </c>
      <c r="G283" s="6" t="n">
        <f aca="false">E283*F283</f>
        <v>190</v>
      </c>
      <c r="H283" s="3" t="n">
        <v>63</v>
      </c>
      <c r="I283" s="3" t="n">
        <v>50</v>
      </c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 t="n">
        <v>2</v>
      </c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 t="n">
        <v>10</v>
      </c>
      <c r="AJ283" s="3"/>
      <c r="AK283" s="3"/>
      <c r="AL283" s="3" t="n">
        <v>-5</v>
      </c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 t="s">
        <v>829</v>
      </c>
      <c r="BI283" s="3"/>
      <c r="BJ283" s="3"/>
      <c r="BK283" s="3"/>
      <c r="BL283" s="3"/>
      <c r="BM283" s="3"/>
    </row>
    <row r="284" customFormat="false" ht="15" hidden="false" customHeight="false" outlineLevel="0" collapsed="false">
      <c r="A284" s="3" t="s">
        <v>64</v>
      </c>
      <c r="B284" s="3" t="s">
        <v>115</v>
      </c>
      <c r="C284" s="3" t="s">
        <v>830</v>
      </c>
      <c r="D284" s="3" t="s">
        <v>831</v>
      </c>
      <c r="E284" s="3" t="n">
        <v>0.5</v>
      </c>
      <c r="F284" s="6" t="n">
        <f aca="false">H284*Pesos!$B$2+I284*Pesos!$B$3+J284*Pesos!$B$4+K284*Pesos!$B$5+L284*Pesos!$B$6+M284*Pesos!$B$7+N284*Pesos!$B$8+O284*Pesos!$B$9+P284*Pesos!$B$10+Q284*Pesos!$B$11+R284*Pesos!$B$12+S284*Pesos!$B$13+T284*Pesos!$B$14+U284*Pesos!$B$15+V284*Pesos!$B$16+W284*Pesos!$B$17+X284*Pesos!$B$18+Y284*Pesos!$B$19+Z284*Pesos!$B$20+AA284*Pesos!$B$21+AB284*Pesos!$B$22+AC284*Pesos!$B$23+AD284*Pesos!$B$24+AE284*Pesos!$B$25+AF284*Pesos!$B$26+AG284*Pesos!$B$27+AH284*Pesos!$B$28+AI284*Pesos!$B$29+AJ284*Pesos!$B$30+AK284*Pesos!$B$31+AL284*Pesos!$B$32+AM284*Pesos!$B$33+AN284*Pesos!$B$34+AO284*Pesos!$B$35+AP284*Pesos!$B$36+AQ284*Pesos!$B$37+AR284*Pesos!$B$38+AS284*Pesos!$B$39+AT284*Pesos!$B$40+AU284*Pesos!$B$41+AV284*Pesos!$B$42+AW284*Pesos!$B$43+AX284*Pesos!$B$44+AY284*Pesos!$B$45+AZ284*Pesos!$B$46+BA284*Pesos!$B$47+BB284*Pesos!$B$48+BC284*Pesos!$B$49+BD284*Pesos!$B$50+BE284*Pesos!$B$51+BF284*Pesos!$B$52+BG284*Pesos!$B$53</f>
        <v>280</v>
      </c>
      <c r="G284" s="6" t="n">
        <f aca="false">E284*F284</f>
        <v>140</v>
      </c>
      <c r="H284" s="3" t="n">
        <v>49</v>
      </c>
      <c r="I284" s="3"/>
      <c r="J284" s="3"/>
      <c r="K284" s="3"/>
      <c r="L284" s="3" t="n">
        <v>50000</v>
      </c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 t="n">
        <v>10</v>
      </c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 t="n">
        <v>10</v>
      </c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 t="s">
        <v>831</v>
      </c>
      <c r="BI284" s="3"/>
      <c r="BJ284" s="3"/>
      <c r="BK284" s="3"/>
      <c r="BL284" s="3"/>
      <c r="BM284" s="3"/>
    </row>
    <row r="285" customFormat="false" ht="15" hidden="false" customHeight="false" outlineLevel="0" collapsed="false">
      <c r="A285" s="3" t="s">
        <v>64</v>
      </c>
      <c r="B285" s="3" t="s">
        <v>115</v>
      </c>
      <c r="C285" s="3" t="s">
        <v>832</v>
      </c>
      <c r="D285" s="3" t="s">
        <v>833</v>
      </c>
      <c r="E285" s="3" t="n">
        <v>0.5</v>
      </c>
      <c r="F285" s="6" t="n">
        <f aca="false">H285*Pesos!$B$2+I285*Pesos!$B$3+J285*Pesos!$B$4+K285*Pesos!$B$5+L285*Pesos!$B$6+M285*Pesos!$B$7+N285*Pesos!$B$8+O285*Pesos!$B$9+P285*Pesos!$B$10+Q285*Pesos!$B$11+R285*Pesos!$B$12+S285*Pesos!$B$13+T285*Pesos!$B$14+U285*Pesos!$B$15+V285*Pesos!$B$16+W285*Pesos!$B$17+X285*Pesos!$B$18+Y285*Pesos!$B$19+Z285*Pesos!$B$20+AA285*Pesos!$B$21+AB285*Pesos!$B$22+AC285*Pesos!$B$23+AD285*Pesos!$B$24+AE285*Pesos!$B$25+AF285*Pesos!$B$26+AG285*Pesos!$B$27+AH285*Pesos!$B$28+AI285*Pesos!$B$29+AJ285*Pesos!$B$30+AK285*Pesos!$B$31+AL285*Pesos!$B$32+AM285*Pesos!$B$33+AN285*Pesos!$B$34+AO285*Pesos!$B$35+AP285*Pesos!$B$36+AQ285*Pesos!$B$37+AR285*Pesos!$B$38+AS285*Pesos!$B$39+AT285*Pesos!$B$40+AU285*Pesos!$B$41+AV285*Pesos!$B$42+AW285*Pesos!$B$43+AX285*Pesos!$B$44+AY285*Pesos!$B$45+AZ285*Pesos!$B$46+BA285*Pesos!$B$47+BB285*Pesos!$B$48+BC285*Pesos!$B$49+BD285*Pesos!$B$50+BE285*Pesos!$B$51+BF285*Pesos!$B$52+BG285*Pesos!$B$53</f>
        <v>110</v>
      </c>
      <c r="G285" s="6" t="n">
        <f aca="false">E285*F285</f>
        <v>55</v>
      </c>
      <c r="H285" s="3" t="n">
        <v>49</v>
      </c>
      <c r="I285" s="3" t="n">
        <v>50</v>
      </c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 t="n">
        <v>3</v>
      </c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customFormat="false" ht="15" hidden="false" customHeight="false" outlineLevel="0" collapsed="false">
      <c r="A286" s="3" t="s">
        <v>64</v>
      </c>
      <c r="B286" s="3" t="s">
        <v>115</v>
      </c>
      <c r="C286" s="3" t="s">
        <v>834</v>
      </c>
      <c r="D286" s="3" t="s">
        <v>835</v>
      </c>
      <c r="E286" s="3" t="n">
        <v>0.5</v>
      </c>
      <c r="F286" s="6" t="n">
        <f aca="false">H286*Pesos!$B$2+I286*Pesos!$B$3+J286*Pesos!$B$4+K286*Pesos!$B$5+L286*Pesos!$B$6+M286*Pesos!$B$7+N286*Pesos!$B$8+O286*Pesos!$B$9+P286*Pesos!$B$10+Q286*Pesos!$B$11+R286*Pesos!$B$12+S286*Pesos!$B$13+T286*Pesos!$B$14+U286*Pesos!$B$15+V286*Pesos!$B$16+W286*Pesos!$B$17+X286*Pesos!$B$18+Y286*Pesos!$B$19+Z286*Pesos!$B$20+AA286*Pesos!$B$21+AB286*Pesos!$B$22+AC286*Pesos!$B$23+AD286*Pesos!$B$24+AE286*Pesos!$B$25+AF286*Pesos!$B$26+AG286*Pesos!$B$27+AH286*Pesos!$B$28+AI286*Pesos!$B$29+AJ286*Pesos!$B$30+AK286*Pesos!$B$31+AL286*Pesos!$B$32+AM286*Pesos!$B$33+AN286*Pesos!$B$34+AO286*Pesos!$B$35+AP286*Pesos!$B$36+AQ286*Pesos!$B$37+AR286*Pesos!$B$38+AS286*Pesos!$B$39+AT286*Pesos!$B$40+AU286*Pesos!$B$41+AV286*Pesos!$B$42+AW286*Pesos!$B$43+AX286*Pesos!$B$44+AY286*Pesos!$B$45+AZ286*Pesos!$B$46+BA286*Pesos!$B$47+BB286*Pesos!$B$48+BC286*Pesos!$B$49+BD286*Pesos!$B$50+BE286*Pesos!$B$51+BF286*Pesos!$B$52+BG286*Pesos!$B$53</f>
        <v>60</v>
      </c>
      <c r="G286" s="6" t="n">
        <f aca="false">E286*F286</f>
        <v>30</v>
      </c>
      <c r="H286" s="3" t="n">
        <v>63</v>
      </c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 t="n">
        <v>3</v>
      </c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customFormat="false" ht="15" hidden="false" customHeight="false" outlineLevel="0" collapsed="false">
      <c r="A287" s="3" t="s">
        <v>64</v>
      </c>
      <c r="B287" s="3" t="s">
        <v>115</v>
      </c>
      <c r="C287" s="3" t="s">
        <v>836</v>
      </c>
      <c r="D287" s="3" t="s">
        <v>837</v>
      </c>
      <c r="E287" s="3" t="n">
        <v>0.5</v>
      </c>
      <c r="F287" s="6" t="n">
        <f aca="false">H287*Pesos!$B$2+I287*Pesos!$B$3+J287*Pesos!$B$4+K287*Pesos!$B$5+L287*Pesos!$B$6+M287*Pesos!$B$7+N287*Pesos!$B$8+O287*Pesos!$B$9+P287*Pesos!$B$10+Q287*Pesos!$B$11+R287*Pesos!$B$12+S287*Pesos!$B$13+T287*Pesos!$B$14+U287*Pesos!$B$15+V287*Pesos!$B$16+W287*Pesos!$B$17+X287*Pesos!$B$18+Y287*Pesos!$B$19+Z287*Pesos!$B$20+AA287*Pesos!$B$21+AB287*Pesos!$B$22+AC287*Pesos!$B$23+AD287*Pesos!$B$24+AE287*Pesos!$B$25+AF287*Pesos!$B$26+AG287*Pesos!$B$27+AH287*Pesos!$B$28+AI287*Pesos!$B$29+AJ287*Pesos!$B$30+AK287*Pesos!$B$31+AL287*Pesos!$B$32+AM287*Pesos!$B$33+AN287*Pesos!$B$34+AO287*Pesos!$B$35+AP287*Pesos!$B$36+AQ287*Pesos!$B$37+AR287*Pesos!$B$38+AS287*Pesos!$B$39+AT287*Pesos!$B$40+AU287*Pesos!$B$41+AV287*Pesos!$B$42+AW287*Pesos!$B$43+AX287*Pesos!$B$44+AY287*Pesos!$B$45+AZ287*Pesos!$B$46+BA287*Pesos!$B$47+BB287*Pesos!$B$48+BC287*Pesos!$B$49+BD287*Pesos!$B$50+BE287*Pesos!$B$51+BF287*Pesos!$B$52+BG287*Pesos!$B$53</f>
        <v>85</v>
      </c>
      <c r="G287" s="6" t="n">
        <f aca="false">E287*F287</f>
        <v>42.5</v>
      </c>
      <c r="H287" s="3" t="n">
        <v>63</v>
      </c>
      <c r="I287" s="3"/>
      <c r="J287" s="3"/>
      <c r="K287" s="3"/>
      <c r="L287" s="3"/>
      <c r="M287" s="3" t="n">
        <v>25</v>
      </c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 t="n">
        <v>3</v>
      </c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 t="s">
        <v>838</v>
      </c>
      <c r="BL287" s="3"/>
      <c r="BM287" s="3"/>
    </row>
    <row r="288" customFormat="false" ht="15" hidden="false" customHeight="false" outlineLevel="0" collapsed="false">
      <c r="A288" s="3" t="s">
        <v>64</v>
      </c>
      <c r="B288" s="3" t="s">
        <v>115</v>
      </c>
      <c r="C288" s="3" t="s">
        <v>839</v>
      </c>
      <c r="D288" s="3" t="s">
        <v>840</v>
      </c>
      <c r="E288" s="3" t="n">
        <v>0.5</v>
      </c>
      <c r="F288" s="6" t="n">
        <f aca="false">H288*Pesos!$B$2+I288*Pesos!$B$3+J288*Pesos!$B$4+K288*Pesos!$B$5+L288*Pesos!$B$6+M288*Pesos!$B$7+N288*Pesos!$B$8+O288*Pesos!$B$9+P288*Pesos!$B$10+Q288*Pesos!$B$11+R288*Pesos!$B$12+S288*Pesos!$B$13+T288*Pesos!$B$14+U288*Pesos!$B$15+V288*Pesos!$B$16+W288*Pesos!$B$17+X288*Pesos!$B$18+Y288*Pesos!$B$19+Z288*Pesos!$B$20+AA288*Pesos!$B$21+AB288*Pesos!$B$22+AC288*Pesos!$B$23+AD288*Pesos!$B$24+AE288*Pesos!$B$25+AF288*Pesos!$B$26+AG288*Pesos!$B$27+AH288*Pesos!$B$28+AI288*Pesos!$B$29+AJ288*Pesos!$B$30+AK288*Pesos!$B$31+AL288*Pesos!$B$32+AM288*Pesos!$B$33+AN288*Pesos!$B$34+AO288*Pesos!$B$35+AP288*Pesos!$B$36+AQ288*Pesos!$B$37+AR288*Pesos!$B$38+AS288*Pesos!$B$39+AT288*Pesos!$B$40+AU288*Pesos!$B$41+AV288*Pesos!$B$42+AW288*Pesos!$B$43+AX288*Pesos!$B$44+AY288*Pesos!$B$45+AZ288*Pesos!$B$46+BA288*Pesos!$B$47+BB288*Pesos!$B$48+BC288*Pesos!$B$49+BD288*Pesos!$B$50+BE288*Pesos!$B$51+BF288*Pesos!$B$52+BG288*Pesos!$B$53</f>
        <v>100</v>
      </c>
      <c r="G288" s="6" t="n">
        <f aca="false">E288*F288</f>
        <v>50</v>
      </c>
      <c r="H288" s="3" t="n">
        <v>63</v>
      </c>
      <c r="I288" s="3"/>
      <c r="J288" s="3"/>
      <c r="K288" s="3" t="n">
        <v>5</v>
      </c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 t="n">
        <v>3</v>
      </c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 t="s">
        <v>841</v>
      </c>
      <c r="BL288" s="3" t="s">
        <v>842</v>
      </c>
      <c r="BM288" s="3"/>
    </row>
    <row r="289" customFormat="false" ht="15" hidden="false" customHeight="false" outlineLevel="0" collapsed="false">
      <c r="A289" s="3" t="s">
        <v>64</v>
      </c>
      <c r="B289" s="3" t="s">
        <v>115</v>
      </c>
      <c r="C289" s="3" t="s">
        <v>843</v>
      </c>
      <c r="D289" s="3" t="s">
        <v>844</v>
      </c>
      <c r="E289" s="3" t="n">
        <v>0.5</v>
      </c>
      <c r="F289" s="6" t="n">
        <f aca="false">H289*Pesos!$B$2+I289*Pesos!$B$3+J289*Pesos!$B$4+K289*Pesos!$B$5+L289*Pesos!$B$6+M289*Pesos!$B$7+N289*Pesos!$B$8+O289*Pesos!$B$9+P289*Pesos!$B$10+Q289*Pesos!$B$11+R289*Pesos!$B$12+S289*Pesos!$B$13+T289*Pesos!$B$14+U289*Pesos!$B$15+V289*Pesos!$B$16+W289*Pesos!$B$17+X289*Pesos!$B$18+Y289*Pesos!$B$19+Z289*Pesos!$B$20+AA289*Pesos!$B$21+AB289*Pesos!$B$22+AC289*Pesos!$B$23+AD289*Pesos!$B$24+AE289*Pesos!$B$25+AF289*Pesos!$B$26+AG289*Pesos!$B$27+AH289*Pesos!$B$28+AI289*Pesos!$B$29+AJ289*Pesos!$B$30+AK289*Pesos!$B$31+AL289*Pesos!$B$32+AM289*Pesos!$B$33+AN289*Pesos!$B$34+AO289*Pesos!$B$35+AP289*Pesos!$B$36+AQ289*Pesos!$B$37+AR289*Pesos!$B$38+AS289*Pesos!$B$39+AT289*Pesos!$B$40+AU289*Pesos!$B$41+AV289*Pesos!$B$42+AW289*Pesos!$B$43+AX289*Pesos!$B$44+AY289*Pesos!$B$45+AZ289*Pesos!$B$46+BA289*Pesos!$B$47+BB289*Pesos!$B$48+BC289*Pesos!$B$49+BD289*Pesos!$B$50+BE289*Pesos!$B$51+BF289*Pesos!$B$52+BG289*Pesos!$B$53</f>
        <v>150</v>
      </c>
      <c r="G289" s="6" t="n">
        <f aca="false">E289*F289</f>
        <v>75</v>
      </c>
      <c r="H289" s="3" t="n">
        <v>105</v>
      </c>
      <c r="I289" s="3"/>
      <c r="J289" s="3"/>
      <c r="K289" s="3" t="n">
        <v>10</v>
      </c>
      <c r="L289" s="3"/>
      <c r="M289" s="3" t="n">
        <v>50</v>
      </c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 t="n">
        <v>1</v>
      </c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customFormat="false" ht="15" hidden="false" customHeight="false" outlineLevel="0" collapsed="false">
      <c r="A290" s="3" t="s">
        <v>64</v>
      </c>
      <c r="B290" s="3" t="s">
        <v>115</v>
      </c>
      <c r="C290" s="3" t="s">
        <v>845</v>
      </c>
      <c r="D290" s="3" t="s">
        <v>846</v>
      </c>
      <c r="E290" s="3" t="n">
        <v>0.5</v>
      </c>
      <c r="F290" s="6" t="n">
        <f aca="false">H290*Pesos!$B$2+I290*Pesos!$B$3+J290*Pesos!$B$4+K290*Pesos!$B$5+L290*Pesos!$B$6+M290*Pesos!$B$7+N290*Pesos!$B$8+O290*Pesos!$B$9+P290*Pesos!$B$10+Q290*Pesos!$B$11+R290*Pesos!$B$12+S290*Pesos!$B$13+T290*Pesos!$B$14+U290*Pesos!$B$15+V290*Pesos!$B$16+W290*Pesos!$B$17+X290*Pesos!$B$18+Y290*Pesos!$B$19+Z290*Pesos!$B$20+AA290*Pesos!$B$21+AB290*Pesos!$B$22+AC290*Pesos!$B$23+AD290*Pesos!$B$24+AE290*Pesos!$B$25+AF290*Pesos!$B$26+AG290*Pesos!$B$27+AH290*Pesos!$B$28+AI290*Pesos!$B$29+AJ290*Pesos!$B$30+AK290*Pesos!$B$31+AL290*Pesos!$B$32+AM290*Pesos!$B$33+AN290*Pesos!$B$34+AO290*Pesos!$B$35+AP290*Pesos!$B$36+AQ290*Pesos!$B$37+AR290*Pesos!$B$38+AS290*Pesos!$B$39+AT290*Pesos!$B$40+AU290*Pesos!$B$41+AV290*Pesos!$B$42+AW290*Pesos!$B$43+AX290*Pesos!$B$44+AY290*Pesos!$B$45+AZ290*Pesos!$B$46+BA290*Pesos!$B$47+BB290*Pesos!$B$48+BC290*Pesos!$B$49+BD290*Pesos!$B$50+BE290*Pesos!$B$51+BF290*Pesos!$B$52+BG290*Pesos!$B$53</f>
        <v>1009.5</v>
      </c>
      <c r="G290" s="6" t="n">
        <f aca="false">E290*F290</f>
        <v>504.75</v>
      </c>
      <c r="H290" s="3" t="n">
        <v>105</v>
      </c>
      <c r="I290" s="3"/>
      <c r="J290" s="3"/>
      <c r="K290" s="3"/>
      <c r="L290" s="3"/>
      <c r="M290" s="3"/>
      <c r="N290" s="3"/>
      <c r="O290" s="3"/>
      <c r="P290" s="3" t="n">
        <v>1</v>
      </c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 t="n">
        <v>0.15</v>
      </c>
      <c r="AB290" s="3" t="n">
        <v>15</v>
      </c>
      <c r="AC290" s="3"/>
      <c r="AD290" s="3"/>
      <c r="AE290" s="3"/>
      <c r="AF290" s="3"/>
      <c r="AG290" s="3" t="n">
        <v>10</v>
      </c>
      <c r="AH290" s="3"/>
      <c r="AI290" s="3"/>
      <c r="AJ290" s="3"/>
      <c r="AK290" s="3"/>
      <c r="AL290" s="3"/>
      <c r="AM290" s="3"/>
      <c r="AN290" s="3"/>
      <c r="AO290" s="3"/>
      <c r="AP290" s="3"/>
      <c r="AQ290" s="3" t="n">
        <v>10</v>
      </c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 t="s">
        <v>846</v>
      </c>
      <c r="BI290" s="3"/>
      <c r="BJ290" s="3"/>
      <c r="BK290" s="3"/>
      <c r="BL290" s="3"/>
      <c r="BM290" s="3"/>
    </row>
    <row r="291" customFormat="false" ht="15" hidden="false" customHeight="false" outlineLevel="0" collapsed="false">
      <c r="A291" s="3" t="s">
        <v>64</v>
      </c>
      <c r="B291" s="3" t="s">
        <v>80</v>
      </c>
      <c r="C291" s="3" t="s">
        <v>847</v>
      </c>
      <c r="D291" s="3" t="s">
        <v>848</v>
      </c>
      <c r="E291" s="3" t="n">
        <v>1</v>
      </c>
      <c r="F291" s="6" t="n">
        <f aca="false">H291*Pesos!$B$2+I291*Pesos!$B$3+J291*Pesos!$B$4+K291*Pesos!$B$5+L291*Pesos!$B$6+M291*Pesos!$B$7+N291*Pesos!$B$8+O291*Pesos!$B$9+P291*Pesos!$B$10+Q291*Pesos!$B$11+R291*Pesos!$B$12+S291*Pesos!$B$13+T291*Pesos!$B$14+U291*Pesos!$B$15+V291*Pesos!$B$16+W291*Pesos!$B$17+X291*Pesos!$B$18+Y291*Pesos!$B$19+Z291*Pesos!$B$20+AA291*Pesos!$B$21+AB291*Pesos!$B$22+AC291*Pesos!$B$23+AD291*Pesos!$B$24+AE291*Pesos!$B$25+AF291*Pesos!$B$26+AG291*Pesos!$B$27+AH291*Pesos!$B$28+AI291*Pesos!$B$29+AJ291*Pesos!$B$30+AK291*Pesos!$B$31+AL291*Pesos!$B$32+AM291*Pesos!$B$33+AN291*Pesos!$B$34+AO291*Pesos!$B$35+AP291*Pesos!$B$36+AQ291*Pesos!$B$37+AR291*Pesos!$B$38+AS291*Pesos!$B$39+AT291*Pesos!$B$40+AU291*Pesos!$B$41+AV291*Pesos!$B$42+AW291*Pesos!$B$43+AX291*Pesos!$B$44+AY291*Pesos!$B$45+AZ291*Pesos!$B$46+BA291*Pesos!$B$47+BB291*Pesos!$B$48+BC291*Pesos!$B$49+BD291*Pesos!$B$50+BE291*Pesos!$B$51+BF291*Pesos!$B$52+BG291*Pesos!$B$53</f>
        <v>170</v>
      </c>
      <c r="G291" s="6" t="n">
        <f aca="false">E291*F291</f>
        <v>170</v>
      </c>
      <c r="H291" s="3" t="n">
        <v>70</v>
      </c>
      <c r="I291" s="3" t="n">
        <v>120</v>
      </c>
      <c r="J291" s="3" t="n">
        <v>5</v>
      </c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customFormat="false" ht="15" hidden="false" customHeight="false" outlineLevel="0" collapsed="false">
      <c r="A292" s="3" t="s">
        <v>64</v>
      </c>
      <c r="B292" s="3" t="s">
        <v>80</v>
      </c>
      <c r="C292" s="3" t="s">
        <v>849</v>
      </c>
      <c r="D292" s="3" t="s">
        <v>850</v>
      </c>
      <c r="E292" s="3" t="n">
        <v>1</v>
      </c>
      <c r="F292" s="6" t="n">
        <f aca="false">H292*Pesos!$B$2+I292*Pesos!$B$3+J292*Pesos!$B$4+K292*Pesos!$B$5+L292*Pesos!$B$6+M292*Pesos!$B$7+N292*Pesos!$B$8+O292*Pesos!$B$9+P292*Pesos!$B$10+Q292*Pesos!$B$11+R292*Pesos!$B$12+S292*Pesos!$B$13+T292*Pesos!$B$14+U292*Pesos!$B$15+V292*Pesos!$B$16+W292*Pesos!$B$17+X292*Pesos!$B$18+Y292*Pesos!$B$19+Z292*Pesos!$B$20+AA292*Pesos!$B$21+AB292*Pesos!$B$22+AC292*Pesos!$B$23+AD292*Pesos!$B$24+AE292*Pesos!$B$25+AF292*Pesos!$B$26+AG292*Pesos!$B$27+AH292*Pesos!$B$28+AI292*Pesos!$B$29+AJ292*Pesos!$B$30+AK292*Pesos!$B$31+AL292*Pesos!$B$32+AM292*Pesos!$B$33+AN292*Pesos!$B$34+AO292*Pesos!$B$35+AP292*Pesos!$B$36+AQ292*Pesos!$B$37+AR292*Pesos!$B$38+AS292*Pesos!$B$39+AT292*Pesos!$B$40+AU292*Pesos!$B$41+AV292*Pesos!$B$42+AW292*Pesos!$B$43+AX292*Pesos!$B$44+AY292*Pesos!$B$45+AZ292*Pesos!$B$46+BA292*Pesos!$B$47+BB292*Pesos!$B$48+BC292*Pesos!$B$49+BD292*Pesos!$B$50+BE292*Pesos!$B$51+BF292*Pesos!$B$52+BG292*Pesos!$B$53</f>
        <v>309.5</v>
      </c>
      <c r="G292" s="6" t="n">
        <f aca="false">E292*F292</f>
        <v>309.5</v>
      </c>
      <c r="H292" s="3" t="n">
        <v>70</v>
      </c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 t="n">
        <v>0.15</v>
      </c>
      <c r="AB292" s="3" t="n">
        <v>5</v>
      </c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 t="n">
        <v>5</v>
      </c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 t="s">
        <v>850</v>
      </c>
      <c r="BI292" s="3"/>
      <c r="BJ292" s="3"/>
      <c r="BK292" s="3"/>
      <c r="BL292" s="3"/>
      <c r="BM292" s="3"/>
    </row>
    <row r="293" customFormat="false" ht="15" hidden="false" customHeight="false" outlineLevel="0" collapsed="false">
      <c r="A293" s="3" t="s">
        <v>64</v>
      </c>
      <c r="B293" s="3" t="s">
        <v>80</v>
      </c>
      <c r="C293" s="3" t="s">
        <v>851</v>
      </c>
      <c r="D293" s="3" t="s">
        <v>852</v>
      </c>
      <c r="E293" s="3" t="n">
        <v>1</v>
      </c>
      <c r="F293" s="6" t="n">
        <f aca="false">H293*Pesos!$B$2+I293*Pesos!$B$3+J293*Pesos!$B$4+K293*Pesos!$B$5+L293*Pesos!$B$6+M293*Pesos!$B$7+N293*Pesos!$B$8+O293*Pesos!$B$9+P293*Pesos!$B$10+Q293*Pesos!$B$11+R293*Pesos!$B$12+S293*Pesos!$B$13+T293*Pesos!$B$14+U293*Pesos!$B$15+V293*Pesos!$B$16+W293*Pesos!$B$17+X293*Pesos!$B$18+Y293*Pesos!$B$19+Z293*Pesos!$B$20+AA293*Pesos!$B$21+AB293*Pesos!$B$22+AC293*Pesos!$B$23+AD293*Pesos!$B$24+AE293*Pesos!$B$25+AF293*Pesos!$B$26+AG293*Pesos!$B$27+AH293*Pesos!$B$28+AI293*Pesos!$B$29+AJ293*Pesos!$B$30+AK293*Pesos!$B$31+AL293*Pesos!$B$32+AM293*Pesos!$B$33+AN293*Pesos!$B$34+AO293*Pesos!$B$35+AP293*Pesos!$B$36+AQ293*Pesos!$B$37+AR293*Pesos!$B$38+AS293*Pesos!$B$39+AT293*Pesos!$B$40+AU293*Pesos!$B$41+AV293*Pesos!$B$42+AW293*Pesos!$B$43+AX293*Pesos!$B$44+AY293*Pesos!$B$45+AZ293*Pesos!$B$46+BA293*Pesos!$B$47+BB293*Pesos!$B$48+BC293*Pesos!$B$49+BD293*Pesos!$B$50+BE293*Pesos!$B$51+BF293*Pesos!$B$52+BG293*Pesos!$B$53</f>
        <v>65</v>
      </c>
      <c r="G293" s="6" t="n">
        <f aca="false">E293*F293</f>
        <v>65</v>
      </c>
      <c r="H293" s="3" t="n">
        <v>70</v>
      </c>
      <c r="I293" s="3"/>
      <c r="J293" s="3"/>
      <c r="K293" s="3" t="n">
        <v>5</v>
      </c>
      <c r="L293" s="3"/>
      <c r="M293" s="3" t="n">
        <v>25</v>
      </c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customFormat="false" ht="15" hidden="false" customHeight="false" outlineLevel="0" collapsed="false">
      <c r="A294" s="3" t="s">
        <v>64</v>
      </c>
      <c r="B294" s="3" t="s">
        <v>80</v>
      </c>
      <c r="C294" s="3" t="s">
        <v>853</v>
      </c>
      <c r="D294" s="3" t="s">
        <v>854</v>
      </c>
      <c r="E294" s="3" t="n">
        <v>1</v>
      </c>
      <c r="F294" s="6" t="n">
        <f aca="false">H294*Pesos!$B$2+I294*Pesos!$B$3+J294*Pesos!$B$4+K294*Pesos!$B$5+L294*Pesos!$B$6+M294*Pesos!$B$7+N294*Pesos!$B$8+O294*Pesos!$B$9+P294*Pesos!$B$10+Q294*Pesos!$B$11+R294*Pesos!$B$12+S294*Pesos!$B$13+T294*Pesos!$B$14+U294*Pesos!$B$15+V294*Pesos!$B$16+W294*Pesos!$B$17+X294*Pesos!$B$18+Y294*Pesos!$B$19+Z294*Pesos!$B$20+AA294*Pesos!$B$21+AB294*Pesos!$B$22+AC294*Pesos!$B$23+AD294*Pesos!$B$24+AE294*Pesos!$B$25+AF294*Pesos!$B$26+AG294*Pesos!$B$27+AH294*Pesos!$B$28+AI294*Pesos!$B$29+AJ294*Pesos!$B$30+AK294*Pesos!$B$31+AL294*Pesos!$B$32+AM294*Pesos!$B$33+AN294*Pesos!$B$34+AO294*Pesos!$B$35+AP294*Pesos!$B$36+AQ294*Pesos!$B$37+AR294*Pesos!$B$38+AS294*Pesos!$B$39+AT294*Pesos!$B$40+AU294*Pesos!$B$41+AV294*Pesos!$B$42+AW294*Pesos!$B$43+AX294*Pesos!$B$44+AY294*Pesos!$B$45+AZ294*Pesos!$B$46+BA294*Pesos!$B$47+BB294*Pesos!$B$48+BC294*Pesos!$B$49+BD294*Pesos!$B$50+BE294*Pesos!$B$51+BF294*Pesos!$B$52+BG294*Pesos!$B$53</f>
        <v>190</v>
      </c>
      <c r="G294" s="6" t="n">
        <f aca="false">E294*F294</f>
        <v>190</v>
      </c>
      <c r="H294" s="3" t="n">
        <v>105</v>
      </c>
      <c r="I294" s="3" t="n">
        <v>50</v>
      </c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 t="n">
        <v>7</v>
      </c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customFormat="false" ht="15" hidden="false" customHeight="false" outlineLevel="0" collapsed="false">
      <c r="A295" s="3" t="s">
        <v>64</v>
      </c>
      <c r="B295" s="3" t="s">
        <v>116</v>
      </c>
      <c r="C295" s="3" t="s">
        <v>855</v>
      </c>
      <c r="D295" s="3" t="s">
        <v>856</v>
      </c>
      <c r="E295" s="3" t="n">
        <v>1</v>
      </c>
      <c r="F295" s="6" t="n">
        <f aca="false">H295*Pesos!$B$2+I295*Pesos!$B$3+J295*Pesos!$B$4+K295*Pesos!$B$5+L295*Pesos!$B$6+M295*Pesos!$B$7+N295*Pesos!$B$8+O295*Pesos!$B$9+P295*Pesos!$B$10+Q295*Pesos!$B$11+R295*Pesos!$B$12+S295*Pesos!$B$13+T295*Pesos!$B$14+U295*Pesos!$B$15+V295*Pesos!$B$16+W295*Pesos!$B$17+X295*Pesos!$B$18+Y295*Pesos!$B$19+Z295*Pesos!$B$20+AA295*Pesos!$B$21+AB295*Pesos!$B$22+AC295*Pesos!$B$23+AD295*Pesos!$B$24+AE295*Pesos!$B$25+AF295*Pesos!$B$26+AG295*Pesos!$B$27+AH295*Pesos!$B$28+AI295*Pesos!$B$29+AJ295*Pesos!$B$30+AK295*Pesos!$B$31+AL295*Pesos!$B$32+AM295*Pesos!$B$33+AN295*Pesos!$B$34+AO295*Pesos!$B$35+AP295*Pesos!$B$36+AQ295*Pesos!$B$37+AR295*Pesos!$B$38+AS295*Pesos!$B$39+AT295*Pesos!$B$40+AU295*Pesos!$B$41+AV295*Pesos!$B$42+AW295*Pesos!$B$43+AX295*Pesos!$B$44+AY295*Pesos!$B$45+AZ295*Pesos!$B$46+BA295*Pesos!$B$47+BB295*Pesos!$B$48+BC295*Pesos!$B$49+BD295*Pesos!$B$50+BE295*Pesos!$B$51+BF295*Pesos!$B$52+BG295*Pesos!$B$53</f>
        <v>200</v>
      </c>
      <c r="G295" s="6" t="n">
        <f aca="false">E295*F295</f>
        <v>200</v>
      </c>
      <c r="H295" s="3" t="n">
        <v>49</v>
      </c>
      <c r="I295" s="3"/>
      <c r="J295" s="3"/>
      <c r="K295" s="3"/>
      <c r="L295" s="3"/>
      <c r="M295" s="3"/>
      <c r="N295" s="3"/>
      <c r="O295" s="3"/>
      <c r="P295" s="3"/>
      <c r="Q295" s="3"/>
      <c r="R295" s="3" t="n">
        <v>2</v>
      </c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customFormat="false" ht="15" hidden="false" customHeight="false" outlineLevel="0" collapsed="false">
      <c r="A296" s="3" t="s">
        <v>64</v>
      </c>
      <c r="B296" s="3" t="s">
        <v>116</v>
      </c>
      <c r="C296" s="3" t="s">
        <v>857</v>
      </c>
      <c r="D296" s="3" t="s">
        <v>858</v>
      </c>
      <c r="E296" s="3" t="n">
        <v>0.5</v>
      </c>
      <c r="F296" s="6" t="n">
        <f aca="false">H296*Pesos!$B$2+I296*Pesos!$B$3+J296*Pesos!$B$4+K296*Pesos!$B$5+L296*Pesos!$B$6+M296*Pesos!$B$7+N296*Pesos!$B$8+O296*Pesos!$B$9+P296*Pesos!$B$10+Q296*Pesos!$B$11+R296*Pesos!$B$12+S296*Pesos!$B$13+T296*Pesos!$B$14+U296*Pesos!$B$15+V296*Pesos!$B$16+W296*Pesos!$B$17+X296*Pesos!$B$18+Y296*Pesos!$B$19+Z296*Pesos!$B$20+AA296*Pesos!$B$21+AB296*Pesos!$B$22+AC296*Pesos!$B$23+AD296*Pesos!$B$24+AE296*Pesos!$B$25+AF296*Pesos!$B$26+AG296*Pesos!$B$27+AH296*Pesos!$B$28+AI296*Pesos!$B$29+AJ296*Pesos!$B$30+AK296*Pesos!$B$31+AL296*Pesos!$B$32+AM296*Pesos!$B$33+AN296*Pesos!$B$34+AO296*Pesos!$B$35+AP296*Pesos!$B$36+AQ296*Pesos!$B$37+AR296*Pesos!$B$38+AS296*Pesos!$B$39+AT296*Pesos!$B$40+AU296*Pesos!$B$41+AV296*Pesos!$B$42+AW296*Pesos!$B$43+AX296*Pesos!$B$44+AY296*Pesos!$B$45+AZ296*Pesos!$B$46+BA296*Pesos!$B$47+BB296*Pesos!$B$48+BC296*Pesos!$B$49+BD296*Pesos!$B$50+BE296*Pesos!$B$51+BF296*Pesos!$B$52+BG296*Pesos!$B$53</f>
        <v>160</v>
      </c>
      <c r="G296" s="6" t="n">
        <f aca="false">E296*F296</f>
        <v>80</v>
      </c>
      <c r="H296" s="3" t="n">
        <v>63</v>
      </c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 t="n">
        <v>10</v>
      </c>
      <c r="AC296" s="3"/>
      <c r="AD296" s="3"/>
      <c r="AE296" s="3"/>
      <c r="AF296" s="3"/>
      <c r="AG296" s="3" t="n">
        <v>-3</v>
      </c>
      <c r="AH296" s="3"/>
      <c r="AI296" s="3" t="n">
        <v>10</v>
      </c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 t="s">
        <v>858</v>
      </c>
      <c r="BI296" s="3"/>
      <c r="BJ296" s="3"/>
      <c r="BK296" s="3"/>
      <c r="BL296" s="3"/>
      <c r="BM296" s="3" t="s">
        <v>859</v>
      </c>
    </row>
    <row r="297" customFormat="false" ht="15" hidden="false" customHeight="false" outlineLevel="0" collapsed="false">
      <c r="A297" s="3" t="s">
        <v>64</v>
      </c>
      <c r="B297" s="3" t="s">
        <v>116</v>
      </c>
      <c r="C297" s="3" t="s">
        <v>860</v>
      </c>
      <c r="D297" s="3" t="s">
        <v>861</v>
      </c>
      <c r="E297" s="3" t="n">
        <v>0.5</v>
      </c>
      <c r="F297" s="6" t="n">
        <f aca="false">H297*Pesos!$B$2+I297*Pesos!$B$3+J297*Pesos!$B$4+K297*Pesos!$B$5+L297*Pesos!$B$6+M297*Pesos!$B$7+N297*Pesos!$B$8+O297*Pesos!$B$9+P297*Pesos!$B$10+Q297*Pesos!$B$11+R297*Pesos!$B$12+S297*Pesos!$B$13+T297*Pesos!$B$14+U297*Pesos!$B$15+V297*Pesos!$B$16+W297*Pesos!$B$17+X297*Pesos!$B$18+Y297*Pesos!$B$19+Z297*Pesos!$B$20+AA297*Pesos!$B$21+AB297*Pesos!$B$22+AC297*Pesos!$B$23+AD297*Pesos!$B$24+AE297*Pesos!$B$25+AF297*Pesos!$B$26+AG297*Pesos!$B$27+AH297*Pesos!$B$28+AI297*Pesos!$B$29+AJ297*Pesos!$B$30+AK297*Pesos!$B$31+AL297*Pesos!$B$32+AM297*Pesos!$B$33+AN297*Pesos!$B$34+AO297*Pesos!$B$35+AP297*Pesos!$B$36+AQ297*Pesos!$B$37+AR297*Pesos!$B$38+AS297*Pesos!$B$39+AT297*Pesos!$B$40+AU297*Pesos!$B$41+AV297*Pesos!$B$42+AW297*Pesos!$B$43+AX297*Pesos!$B$44+AY297*Pesos!$B$45+AZ297*Pesos!$B$46+BA297*Pesos!$B$47+BB297*Pesos!$B$48+BC297*Pesos!$B$49+BD297*Pesos!$B$50+BE297*Pesos!$B$51+BF297*Pesos!$B$52+BG297*Pesos!$B$53</f>
        <v>200</v>
      </c>
      <c r="G297" s="6" t="n">
        <f aca="false">E297*F297</f>
        <v>100</v>
      </c>
      <c r="H297" s="3" t="n">
        <v>49</v>
      </c>
      <c r="I297" s="3"/>
      <c r="J297" s="3"/>
      <c r="K297" s="3"/>
      <c r="L297" s="3"/>
      <c r="M297" s="3"/>
      <c r="N297" s="3"/>
      <c r="O297" s="3"/>
      <c r="P297" s="3"/>
      <c r="Q297" s="3"/>
      <c r="R297" s="3" t="n">
        <v>2</v>
      </c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customFormat="false" ht="15" hidden="false" customHeight="false" outlineLevel="0" collapsed="false">
      <c r="A298" s="3" t="s">
        <v>64</v>
      </c>
      <c r="B298" s="3" t="s">
        <v>116</v>
      </c>
      <c r="C298" s="3" t="s">
        <v>862</v>
      </c>
      <c r="D298" s="3" t="s">
        <v>863</v>
      </c>
      <c r="E298" s="3" t="n">
        <v>0.5</v>
      </c>
      <c r="F298" s="6" t="n">
        <f aca="false">H298*Pesos!$B$2+I298*Pesos!$B$3+J298*Pesos!$B$4+K298*Pesos!$B$5+L298*Pesos!$B$6+M298*Pesos!$B$7+N298*Pesos!$B$8+O298*Pesos!$B$9+P298*Pesos!$B$10+Q298*Pesos!$B$11+R298*Pesos!$B$12+S298*Pesos!$B$13+T298*Pesos!$B$14+U298*Pesos!$B$15+V298*Pesos!$B$16+W298*Pesos!$B$17+X298*Pesos!$B$18+Y298*Pesos!$B$19+Z298*Pesos!$B$20+AA298*Pesos!$B$21+AB298*Pesos!$B$22+AC298*Pesos!$B$23+AD298*Pesos!$B$24+AE298*Pesos!$B$25+AF298*Pesos!$B$26+AG298*Pesos!$B$27+AH298*Pesos!$B$28+AI298*Pesos!$B$29+AJ298*Pesos!$B$30+AK298*Pesos!$B$31+AL298*Pesos!$B$32+AM298*Pesos!$B$33+AN298*Pesos!$B$34+AO298*Pesos!$B$35+AP298*Pesos!$B$36+AQ298*Pesos!$B$37+AR298*Pesos!$B$38+AS298*Pesos!$B$39+AT298*Pesos!$B$40+AU298*Pesos!$B$41+AV298*Pesos!$B$42+AW298*Pesos!$B$43+AX298*Pesos!$B$44+AY298*Pesos!$B$45+AZ298*Pesos!$B$46+BA298*Pesos!$B$47+BB298*Pesos!$B$48+BC298*Pesos!$B$49+BD298*Pesos!$B$50+BE298*Pesos!$B$51+BF298*Pesos!$B$52+BG298*Pesos!$B$53</f>
        <v>150</v>
      </c>
      <c r="G298" s="6" t="n">
        <f aca="false">E298*F298</f>
        <v>75</v>
      </c>
      <c r="H298" s="3" t="n">
        <v>49</v>
      </c>
      <c r="I298" s="3" t="n">
        <v>100</v>
      </c>
      <c r="J298" s="3" t="n">
        <v>5</v>
      </c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customFormat="false" ht="15" hidden="false" customHeight="false" outlineLevel="0" collapsed="false">
      <c r="A299" s="3" t="s">
        <v>64</v>
      </c>
      <c r="B299" s="3" t="s">
        <v>116</v>
      </c>
      <c r="C299" s="3" t="s">
        <v>864</v>
      </c>
      <c r="D299" s="3" t="s">
        <v>865</v>
      </c>
      <c r="E299" s="3" t="n">
        <v>0.5</v>
      </c>
      <c r="F299" s="6" t="n">
        <f aca="false">H299*Pesos!$B$2+I299*Pesos!$B$3+J299*Pesos!$B$4+K299*Pesos!$B$5+L299*Pesos!$B$6+M299*Pesos!$B$7+N299*Pesos!$B$8+O299*Pesos!$B$9+P299*Pesos!$B$10+Q299*Pesos!$B$11+R299*Pesos!$B$12+S299*Pesos!$B$13+T299*Pesos!$B$14+U299*Pesos!$B$15+V299*Pesos!$B$16+W299*Pesos!$B$17+X299*Pesos!$B$18+Y299*Pesos!$B$19+Z299*Pesos!$B$20+AA299*Pesos!$B$21+AB299*Pesos!$B$22+AC299*Pesos!$B$23+AD299*Pesos!$B$24+AE299*Pesos!$B$25+AF299*Pesos!$B$26+AG299*Pesos!$B$27+AH299*Pesos!$B$28+AI299*Pesos!$B$29+AJ299*Pesos!$B$30+AK299*Pesos!$B$31+AL299*Pesos!$B$32+AM299*Pesos!$B$33+AN299*Pesos!$B$34+AO299*Pesos!$B$35+AP299*Pesos!$B$36+AQ299*Pesos!$B$37+AR299*Pesos!$B$38+AS299*Pesos!$B$39+AT299*Pesos!$B$40+AU299*Pesos!$B$41+AV299*Pesos!$B$42+AW299*Pesos!$B$43+AX299*Pesos!$B$44+AY299*Pesos!$B$45+AZ299*Pesos!$B$46+BA299*Pesos!$B$47+BB299*Pesos!$B$48+BC299*Pesos!$B$49+BD299*Pesos!$B$50+BE299*Pesos!$B$51+BF299*Pesos!$B$52+BG299*Pesos!$B$53</f>
        <v>288</v>
      </c>
      <c r="G299" s="6" t="n">
        <f aca="false">E299*F299</f>
        <v>144</v>
      </c>
      <c r="H299" s="3" t="n">
        <v>84</v>
      </c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 t="n">
        <v>0.1</v>
      </c>
      <c r="AB299" s="3" t="n">
        <v>5</v>
      </c>
      <c r="AC299" s="3"/>
      <c r="AD299" s="3"/>
      <c r="AE299" s="3"/>
      <c r="AF299" s="3"/>
      <c r="AG299" s="3" t="n">
        <v>3</v>
      </c>
      <c r="AH299" s="3"/>
      <c r="AI299" s="3" t="n">
        <v>5</v>
      </c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 t="s">
        <v>866</v>
      </c>
      <c r="BI299" s="3"/>
      <c r="BJ299" s="3"/>
      <c r="BK299" s="3"/>
      <c r="BL299" s="3"/>
      <c r="BM299" s="3"/>
    </row>
    <row r="300" customFormat="false" ht="15" hidden="false" customHeight="false" outlineLevel="0" collapsed="false">
      <c r="A300" s="3" t="s">
        <v>64</v>
      </c>
      <c r="B300" s="3" t="s">
        <v>116</v>
      </c>
      <c r="C300" s="3" t="s">
        <v>867</v>
      </c>
      <c r="D300" s="3" t="s">
        <v>868</v>
      </c>
      <c r="E300" s="3" t="n">
        <v>0.5</v>
      </c>
      <c r="F300" s="6" t="n">
        <f aca="false">H300*Pesos!$B$2+I300*Pesos!$B$3+J300*Pesos!$B$4+K300*Pesos!$B$5+L300*Pesos!$B$6+M300*Pesos!$B$7+N300*Pesos!$B$8+O300*Pesos!$B$9+P300*Pesos!$B$10+Q300*Pesos!$B$11+R300*Pesos!$B$12+S300*Pesos!$B$13+T300*Pesos!$B$14+U300*Pesos!$B$15+V300*Pesos!$B$16+W300*Pesos!$B$17+X300*Pesos!$B$18+Y300*Pesos!$B$19+Z300*Pesos!$B$20+AA300*Pesos!$B$21+AB300*Pesos!$B$22+AC300*Pesos!$B$23+AD300*Pesos!$B$24+AE300*Pesos!$B$25+AF300*Pesos!$B$26+AG300*Pesos!$B$27+AH300*Pesos!$B$28+AI300*Pesos!$B$29+AJ300*Pesos!$B$30+AK300*Pesos!$B$31+AL300*Pesos!$B$32+AM300*Pesos!$B$33+AN300*Pesos!$B$34+AO300*Pesos!$B$35+AP300*Pesos!$B$36+AQ300*Pesos!$B$37+AR300*Pesos!$B$38+AS300*Pesos!$B$39+AT300*Pesos!$B$40+AU300*Pesos!$B$41+AV300*Pesos!$B$42+AW300*Pesos!$B$43+AX300*Pesos!$B$44+AY300*Pesos!$B$45+AZ300*Pesos!$B$46+BA300*Pesos!$B$47+BB300*Pesos!$B$48+BC300*Pesos!$B$49+BD300*Pesos!$B$50+BE300*Pesos!$B$51+BF300*Pesos!$B$52+BG300*Pesos!$B$53</f>
        <v>150</v>
      </c>
      <c r="G300" s="6" t="n">
        <f aca="false">E300*F300</f>
        <v>75</v>
      </c>
      <c r="H300" s="3" t="n">
        <v>77</v>
      </c>
      <c r="I300" s="3"/>
      <c r="J300" s="3" t="n">
        <v>5</v>
      </c>
      <c r="K300" s="3"/>
      <c r="L300" s="3"/>
      <c r="M300" s="3"/>
      <c r="N300" s="3"/>
      <c r="O300" s="3"/>
      <c r="P300" s="3"/>
      <c r="Q300" s="3"/>
      <c r="R300" s="3" t="n">
        <v>1</v>
      </c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customFormat="false" ht="15" hidden="false" customHeight="false" outlineLevel="0" collapsed="false">
      <c r="A301" s="3" t="s">
        <v>64</v>
      </c>
      <c r="B301" s="3" t="s">
        <v>116</v>
      </c>
      <c r="C301" s="3" t="s">
        <v>869</v>
      </c>
      <c r="D301" s="3" t="s">
        <v>870</v>
      </c>
      <c r="E301" s="3" t="n">
        <v>0.5</v>
      </c>
      <c r="F301" s="6" t="n">
        <f aca="false">H301*Pesos!$B$2+I301*Pesos!$B$3+J301*Pesos!$B$4+K301*Pesos!$B$5+L301*Pesos!$B$6+M301*Pesos!$B$7+N301*Pesos!$B$8+O301*Pesos!$B$9+P301*Pesos!$B$10+Q301*Pesos!$B$11+R301*Pesos!$B$12+S301*Pesos!$B$13+T301*Pesos!$B$14+U301*Pesos!$B$15+V301*Pesos!$B$16+W301*Pesos!$B$17+X301*Pesos!$B$18+Y301*Pesos!$B$19+Z301*Pesos!$B$20+AA301*Pesos!$B$21+AB301*Pesos!$B$22+AC301*Pesos!$B$23+AD301*Pesos!$B$24+AE301*Pesos!$B$25+AF301*Pesos!$B$26+AG301*Pesos!$B$27+AH301*Pesos!$B$28+AI301*Pesos!$B$29+AJ301*Pesos!$B$30+AK301*Pesos!$B$31+AL301*Pesos!$B$32+AM301*Pesos!$B$33+AN301*Pesos!$B$34+AO301*Pesos!$B$35+AP301*Pesos!$B$36+AQ301*Pesos!$B$37+AR301*Pesos!$B$38+AS301*Pesos!$B$39+AT301*Pesos!$B$40+AU301*Pesos!$B$41+AV301*Pesos!$B$42+AW301*Pesos!$B$43+AX301*Pesos!$B$44+AY301*Pesos!$B$45+AZ301*Pesos!$B$46+BA301*Pesos!$B$47+BB301*Pesos!$B$48+BC301*Pesos!$B$49+BD301*Pesos!$B$50+BE301*Pesos!$B$51+BF301*Pesos!$B$52+BG301*Pesos!$B$53</f>
        <v>200</v>
      </c>
      <c r="G301" s="6" t="n">
        <f aca="false">E301*F301</f>
        <v>100</v>
      </c>
      <c r="H301" s="3" t="n">
        <v>98</v>
      </c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 t="n">
        <v>5</v>
      </c>
      <c r="AC301" s="3"/>
      <c r="AD301" s="3"/>
      <c r="AE301" s="3"/>
      <c r="AF301" s="3"/>
      <c r="AG301" s="3" t="n">
        <v>-5</v>
      </c>
      <c r="AH301" s="3"/>
      <c r="AI301" s="3"/>
      <c r="AJ301" s="3"/>
      <c r="AK301" s="3"/>
      <c r="AL301" s="3"/>
      <c r="AM301" s="3"/>
      <c r="AN301" s="3"/>
      <c r="AO301" s="3"/>
      <c r="AP301" s="3" t="n">
        <v>10</v>
      </c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 t="s">
        <v>871</v>
      </c>
      <c r="BI301" s="3"/>
      <c r="BJ301" s="3"/>
      <c r="BK301" s="3"/>
      <c r="BL301" s="3"/>
      <c r="BM301" s="3"/>
    </row>
    <row r="302" customFormat="false" ht="15" hidden="false" customHeight="false" outlineLevel="0" collapsed="false">
      <c r="A302" s="3" t="s">
        <v>64</v>
      </c>
      <c r="B302" s="3" t="s">
        <v>117</v>
      </c>
      <c r="C302" s="3" t="s">
        <v>859</v>
      </c>
      <c r="D302" s="3" t="s">
        <v>872</v>
      </c>
      <c r="E302" s="3" t="n">
        <v>0.5</v>
      </c>
      <c r="F302" s="6" t="n">
        <f aca="false">H302*Pesos!$B$2+I302*Pesos!$B$3+J302*Pesos!$B$4+K302*Pesos!$B$5+L302*Pesos!$B$6+M302*Pesos!$B$7+N302*Pesos!$B$8+O302*Pesos!$B$9+P302*Pesos!$B$10+Q302*Pesos!$B$11+R302*Pesos!$B$12+S302*Pesos!$B$13+T302*Pesos!$B$14+U302*Pesos!$B$15+V302*Pesos!$B$16+W302*Pesos!$B$17+X302*Pesos!$B$18+Y302*Pesos!$B$19+Z302*Pesos!$B$20+AA302*Pesos!$B$21+AB302*Pesos!$B$22+AC302*Pesos!$B$23+AD302*Pesos!$B$24+AE302*Pesos!$B$25+AF302*Pesos!$B$26+AG302*Pesos!$B$27+AH302*Pesos!$B$28+AI302*Pesos!$B$29+AJ302*Pesos!$B$30+AK302*Pesos!$B$31+AL302*Pesos!$B$32+AM302*Pesos!$B$33+AN302*Pesos!$B$34+AO302*Pesos!$B$35+AP302*Pesos!$B$36+AQ302*Pesos!$B$37+AR302*Pesos!$B$38+AS302*Pesos!$B$39+AT302*Pesos!$B$40+AU302*Pesos!$B$41+AV302*Pesos!$B$42+AW302*Pesos!$B$43+AX302*Pesos!$B$44+AY302*Pesos!$B$45+AZ302*Pesos!$B$46+BA302*Pesos!$B$47+BB302*Pesos!$B$48+BC302*Pesos!$B$49+BD302*Pesos!$B$50+BE302*Pesos!$B$51+BF302*Pesos!$B$52+BG302*Pesos!$B$53</f>
        <v>115</v>
      </c>
      <c r="G302" s="6" t="n">
        <f aca="false">E302*F302</f>
        <v>57.5</v>
      </c>
      <c r="H302" s="3" t="n">
        <v>63</v>
      </c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 t="n">
        <v>-5</v>
      </c>
      <c r="AC302" s="3"/>
      <c r="AD302" s="3"/>
      <c r="AE302" s="3" t="n">
        <v>15</v>
      </c>
      <c r="AF302" s="3"/>
      <c r="AG302" s="3"/>
      <c r="AH302" s="3"/>
      <c r="AI302" s="3"/>
      <c r="AJ302" s="3"/>
      <c r="AK302" s="3"/>
      <c r="AL302" s="3"/>
      <c r="AM302" s="3" t="n">
        <v>15</v>
      </c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 t="s">
        <v>872</v>
      </c>
      <c r="BI302" s="3"/>
      <c r="BJ302" s="3"/>
      <c r="BK302" s="3"/>
      <c r="BL302" s="3"/>
      <c r="BM302" s="3" t="s">
        <v>857</v>
      </c>
    </row>
    <row r="303" customFormat="false" ht="15" hidden="false" customHeight="false" outlineLevel="0" collapsed="false">
      <c r="A303" s="3" t="s">
        <v>64</v>
      </c>
      <c r="B303" s="3" t="s">
        <v>117</v>
      </c>
      <c r="C303" s="3" t="s">
        <v>873</v>
      </c>
      <c r="D303" s="3" t="s">
        <v>874</v>
      </c>
      <c r="E303" s="3" t="n">
        <v>0.5</v>
      </c>
      <c r="F303" s="6" t="n">
        <f aca="false">H303*Pesos!$B$2+I303*Pesos!$B$3+J303*Pesos!$B$4+K303*Pesos!$B$5+L303*Pesos!$B$6+M303*Pesos!$B$7+N303*Pesos!$B$8+O303*Pesos!$B$9+P303*Pesos!$B$10+Q303*Pesos!$B$11+R303*Pesos!$B$12+S303*Pesos!$B$13+T303*Pesos!$B$14+U303*Pesos!$B$15+V303*Pesos!$B$16+W303*Pesos!$B$17+X303*Pesos!$B$18+Y303*Pesos!$B$19+Z303*Pesos!$B$20+AA303*Pesos!$B$21+AB303*Pesos!$B$22+AC303*Pesos!$B$23+AD303*Pesos!$B$24+AE303*Pesos!$B$25+AF303*Pesos!$B$26+AG303*Pesos!$B$27+AH303*Pesos!$B$28+AI303*Pesos!$B$29+AJ303*Pesos!$B$30+AK303*Pesos!$B$31+AL303*Pesos!$B$32+AM303*Pesos!$B$33+AN303*Pesos!$B$34+AO303*Pesos!$B$35+AP303*Pesos!$B$36+AQ303*Pesos!$B$37+AR303*Pesos!$B$38+AS303*Pesos!$B$39+AT303*Pesos!$B$40+AU303*Pesos!$B$41+AV303*Pesos!$B$42+AW303*Pesos!$B$43+AX303*Pesos!$B$44+AY303*Pesos!$B$45+AZ303*Pesos!$B$46+BA303*Pesos!$B$47+BB303*Pesos!$B$48+BC303*Pesos!$B$49+BD303*Pesos!$B$50+BE303*Pesos!$B$51+BF303*Pesos!$B$52+BG303*Pesos!$B$53</f>
        <v>200</v>
      </c>
      <c r="G303" s="6" t="n">
        <f aca="false">E303*F303</f>
        <v>100</v>
      </c>
      <c r="H303" s="3" t="n">
        <v>49</v>
      </c>
      <c r="I303" s="3"/>
      <c r="J303" s="3"/>
      <c r="K303" s="3"/>
      <c r="L303" s="3"/>
      <c r="M303" s="3"/>
      <c r="N303" s="3"/>
      <c r="O303" s="3"/>
      <c r="P303" s="3"/>
      <c r="Q303" s="3"/>
      <c r="R303" s="3" t="n">
        <v>2</v>
      </c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customFormat="false" ht="15" hidden="false" customHeight="false" outlineLevel="0" collapsed="false">
      <c r="A304" s="3" t="s">
        <v>64</v>
      </c>
      <c r="B304" s="3" t="s">
        <v>117</v>
      </c>
      <c r="C304" s="3" t="s">
        <v>875</v>
      </c>
      <c r="D304" s="3" t="s">
        <v>876</v>
      </c>
      <c r="E304" s="3" t="n">
        <v>0.5</v>
      </c>
      <c r="F304" s="6" t="n">
        <f aca="false">H304*Pesos!$B$2+I304*Pesos!$B$3+J304*Pesos!$B$4+K304*Pesos!$B$5+L304*Pesos!$B$6+M304*Pesos!$B$7+N304*Pesos!$B$8+O304*Pesos!$B$9+P304*Pesos!$B$10+Q304*Pesos!$B$11+R304*Pesos!$B$12+S304*Pesos!$B$13+T304*Pesos!$B$14+U304*Pesos!$B$15+V304*Pesos!$B$16+W304*Pesos!$B$17+X304*Pesos!$B$18+Y304*Pesos!$B$19+Z304*Pesos!$B$20+AA304*Pesos!$B$21+AB304*Pesos!$B$22+AC304*Pesos!$B$23+AD304*Pesos!$B$24+AE304*Pesos!$B$25+AF304*Pesos!$B$26+AG304*Pesos!$B$27+AH304*Pesos!$B$28+AI304*Pesos!$B$29+AJ304*Pesos!$B$30+AK304*Pesos!$B$31+AL304*Pesos!$B$32+AM304*Pesos!$B$33+AN304*Pesos!$B$34+AO304*Pesos!$B$35+AP304*Pesos!$B$36+AQ304*Pesos!$B$37+AR304*Pesos!$B$38+AS304*Pesos!$B$39+AT304*Pesos!$B$40+AU304*Pesos!$B$41+AV304*Pesos!$B$42+AW304*Pesos!$B$43+AX304*Pesos!$B$44+AY304*Pesos!$B$45+AZ304*Pesos!$B$46+BA304*Pesos!$B$47+BB304*Pesos!$B$48+BC304*Pesos!$B$49+BD304*Pesos!$B$50+BE304*Pesos!$B$51+BF304*Pesos!$B$52+BG304*Pesos!$B$53</f>
        <v>125</v>
      </c>
      <c r="G304" s="6" t="n">
        <f aca="false">E304*F304</f>
        <v>62.5</v>
      </c>
      <c r="H304" s="3" t="n">
        <v>49</v>
      </c>
      <c r="I304" s="3" t="n">
        <v>100</v>
      </c>
      <c r="J304" s="3"/>
      <c r="K304" s="3"/>
      <c r="L304" s="3"/>
      <c r="M304" s="3"/>
      <c r="N304" s="3"/>
      <c r="O304" s="3"/>
      <c r="P304" s="3"/>
      <c r="Q304" s="3" t="n">
        <v>1</v>
      </c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customFormat="false" ht="15" hidden="false" customHeight="false" outlineLevel="0" collapsed="false">
      <c r="A305" s="3" t="s">
        <v>64</v>
      </c>
      <c r="B305" s="3" t="s">
        <v>117</v>
      </c>
      <c r="C305" s="3" t="s">
        <v>877</v>
      </c>
      <c r="D305" s="3" t="s">
        <v>878</v>
      </c>
      <c r="E305" s="3" t="n">
        <v>0.5</v>
      </c>
      <c r="F305" s="6" t="n">
        <f aca="false">H305*Pesos!$B$2+I305*Pesos!$B$3+J305*Pesos!$B$4+K305*Pesos!$B$5+L305*Pesos!$B$6+M305*Pesos!$B$7+N305*Pesos!$B$8+O305*Pesos!$B$9+P305*Pesos!$B$10+Q305*Pesos!$B$11+R305*Pesos!$B$12+S305*Pesos!$B$13+T305*Pesos!$B$14+U305*Pesos!$B$15+V305*Pesos!$B$16+W305*Pesos!$B$17+X305*Pesos!$B$18+Y305*Pesos!$B$19+Z305*Pesos!$B$20+AA305*Pesos!$B$21+AB305*Pesos!$B$22+AC305*Pesos!$B$23+AD305*Pesos!$B$24+AE305*Pesos!$B$25+AF305*Pesos!$B$26+AG305*Pesos!$B$27+AH305*Pesos!$B$28+AI305*Pesos!$B$29+AJ305*Pesos!$B$30+AK305*Pesos!$B$31+AL305*Pesos!$B$32+AM305*Pesos!$B$33+AN305*Pesos!$B$34+AO305*Pesos!$B$35+AP305*Pesos!$B$36+AQ305*Pesos!$B$37+AR305*Pesos!$B$38+AS305*Pesos!$B$39+AT305*Pesos!$B$40+AU305*Pesos!$B$41+AV305*Pesos!$B$42+AW305*Pesos!$B$43+AX305*Pesos!$B$44+AY305*Pesos!$B$45+AZ305*Pesos!$B$46+BA305*Pesos!$B$47+BB305*Pesos!$B$48+BC305*Pesos!$B$49+BD305*Pesos!$B$50+BE305*Pesos!$B$51+BF305*Pesos!$B$52+BG305*Pesos!$B$53</f>
        <v>455</v>
      </c>
      <c r="G305" s="6" t="n">
        <f aca="false">E305*F305</f>
        <v>227.5</v>
      </c>
      <c r="H305" s="3" t="n">
        <v>84</v>
      </c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 t="n">
        <v>5</v>
      </c>
      <c r="AC305" s="3"/>
      <c r="AD305" s="3"/>
      <c r="AE305" s="3" t="n">
        <v>5</v>
      </c>
      <c r="AF305" s="3"/>
      <c r="AG305" s="3" t="n">
        <v>10</v>
      </c>
      <c r="AH305" s="3"/>
      <c r="AI305" s="3"/>
      <c r="AJ305" s="3"/>
      <c r="AK305" s="3"/>
      <c r="AL305" s="3"/>
      <c r="AM305" s="3" t="n">
        <v>10</v>
      </c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 t="s">
        <v>879</v>
      </c>
      <c r="BI305" s="3"/>
      <c r="BJ305" s="3"/>
      <c r="BK305" s="3"/>
      <c r="BL305" s="3"/>
      <c r="BM305" s="3"/>
    </row>
    <row r="306" customFormat="false" ht="15" hidden="false" customHeight="false" outlineLevel="0" collapsed="false">
      <c r="A306" s="3" t="s">
        <v>64</v>
      </c>
      <c r="B306" s="3" t="s">
        <v>117</v>
      </c>
      <c r="C306" s="3" t="s">
        <v>880</v>
      </c>
      <c r="D306" s="3" t="s">
        <v>881</v>
      </c>
      <c r="E306" s="3" t="n">
        <v>0.5</v>
      </c>
      <c r="F306" s="6" t="n">
        <f aca="false">H306*Pesos!$B$2+I306*Pesos!$B$3+J306*Pesos!$B$4+K306*Pesos!$B$5+L306*Pesos!$B$6+M306*Pesos!$B$7+N306*Pesos!$B$8+O306*Pesos!$B$9+P306*Pesos!$B$10+Q306*Pesos!$B$11+R306*Pesos!$B$12+S306*Pesos!$B$13+T306*Pesos!$B$14+U306*Pesos!$B$15+V306*Pesos!$B$16+W306*Pesos!$B$17+X306*Pesos!$B$18+Y306*Pesos!$B$19+Z306*Pesos!$B$20+AA306*Pesos!$B$21+AB306*Pesos!$B$22+AC306*Pesos!$B$23+AD306*Pesos!$B$24+AE306*Pesos!$B$25+AF306*Pesos!$B$26+AG306*Pesos!$B$27+AH306*Pesos!$B$28+AI306*Pesos!$B$29+AJ306*Pesos!$B$30+AK306*Pesos!$B$31+AL306*Pesos!$B$32+AM306*Pesos!$B$33+AN306*Pesos!$B$34+AO306*Pesos!$B$35+AP306*Pesos!$B$36+AQ306*Pesos!$B$37+AR306*Pesos!$B$38+AS306*Pesos!$B$39+AT306*Pesos!$B$40+AU306*Pesos!$B$41+AV306*Pesos!$B$42+AW306*Pesos!$B$43+AX306*Pesos!$B$44+AY306*Pesos!$B$45+AZ306*Pesos!$B$46+BA306*Pesos!$B$47+BB306*Pesos!$B$48+BC306*Pesos!$B$49+BD306*Pesos!$B$50+BE306*Pesos!$B$51+BF306*Pesos!$B$52+BG306*Pesos!$B$53</f>
        <v>200</v>
      </c>
      <c r="G306" s="6" t="n">
        <f aca="false">E306*F306</f>
        <v>100</v>
      </c>
      <c r="H306" s="3" t="n">
        <v>77</v>
      </c>
      <c r="I306" s="3"/>
      <c r="J306" s="3"/>
      <c r="K306" s="3"/>
      <c r="L306" s="3"/>
      <c r="M306" s="3"/>
      <c r="N306" s="3"/>
      <c r="O306" s="3"/>
      <c r="P306" s="3"/>
      <c r="Q306" s="3"/>
      <c r="R306" s="3" t="n">
        <v>2</v>
      </c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customFormat="false" ht="15" hidden="false" customHeight="false" outlineLevel="0" collapsed="false">
      <c r="A307" s="3" t="s">
        <v>64</v>
      </c>
      <c r="B307" s="3" t="s">
        <v>117</v>
      </c>
      <c r="C307" s="3" t="s">
        <v>882</v>
      </c>
      <c r="D307" s="3" t="s">
        <v>883</v>
      </c>
      <c r="E307" s="3" t="n">
        <v>0.5</v>
      </c>
      <c r="F307" s="6" t="n">
        <f aca="false">H307*Pesos!$B$2+I307*Pesos!$B$3+J307*Pesos!$B$4+K307*Pesos!$B$5+L307*Pesos!$B$6+M307*Pesos!$B$7+N307*Pesos!$B$8+O307*Pesos!$B$9+P307*Pesos!$B$10+Q307*Pesos!$B$11+R307*Pesos!$B$12+S307*Pesos!$B$13+T307*Pesos!$B$14+U307*Pesos!$B$15+V307*Pesos!$B$16+W307*Pesos!$B$17+X307*Pesos!$B$18+Y307*Pesos!$B$19+Z307*Pesos!$B$20+AA307*Pesos!$B$21+AB307*Pesos!$B$22+AC307*Pesos!$B$23+AD307*Pesos!$B$24+AE307*Pesos!$B$25+AF307*Pesos!$B$26+AG307*Pesos!$B$27+AH307*Pesos!$B$28+AI307*Pesos!$B$29+AJ307*Pesos!$B$30+AK307*Pesos!$B$31+AL307*Pesos!$B$32+AM307*Pesos!$B$33+AN307*Pesos!$B$34+AO307*Pesos!$B$35+AP307*Pesos!$B$36+AQ307*Pesos!$B$37+AR307*Pesos!$B$38+AS307*Pesos!$B$39+AT307*Pesos!$B$40+AU307*Pesos!$B$41+AV307*Pesos!$B$42+AW307*Pesos!$B$43+AX307*Pesos!$B$44+AY307*Pesos!$B$45+AZ307*Pesos!$B$46+BA307*Pesos!$B$47+BB307*Pesos!$B$48+BC307*Pesos!$B$49+BD307*Pesos!$B$50+BE307*Pesos!$B$51+BF307*Pesos!$B$52+BG307*Pesos!$B$53</f>
        <v>0</v>
      </c>
      <c r="G307" s="6" t="n">
        <f aca="false">E307*F307</f>
        <v>0</v>
      </c>
      <c r="H307" s="3" t="n">
        <v>98</v>
      </c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 t="n">
        <v>-10</v>
      </c>
      <c r="AC307" s="3"/>
      <c r="AD307" s="3"/>
      <c r="AE307" s="3"/>
      <c r="AF307" s="3"/>
      <c r="AG307" s="3" t="n">
        <v>5</v>
      </c>
      <c r="AH307" s="3"/>
      <c r="AI307" s="3"/>
      <c r="AJ307" s="3"/>
      <c r="AK307" s="3"/>
      <c r="AL307" s="3"/>
      <c r="AM307" s="3" t="n">
        <v>10</v>
      </c>
      <c r="AN307" s="3"/>
      <c r="AO307" s="3"/>
      <c r="AP307" s="3" t="n">
        <v>-5</v>
      </c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 t="s">
        <v>884</v>
      </c>
      <c r="BI307" s="3"/>
      <c r="BJ307" s="3"/>
      <c r="BK307" s="3"/>
      <c r="BL307" s="3"/>
      <c r="BM307" s="3"/>
    </row>
    <row r="308" customFormat="false" ht="15" hidden="false" customHeight="false" outlineLevel="0" collapsed="false">
      <c r="A308" s="3" t="s">
        <v>64</v>
      </c>
      <c r="B308" s="3" t="s">
        <v>118</v>
      </c>
      <c r="C308" s="3" t="s">
        <v>885</v>
      </c>
      <c r="D308" s="3" t="s">
        <v>886</v>
      </c>
      <c r="E308" s="3" t="n">
        <v>1</v>
      </c>
      <c r="F308" s="6" t="n">
        <f aca="false">H308*Pesos!$B$2+I308*Pesos!$B$3+J308*Pesos!$B$4+K308*Pesos!$B$5+L308*Pesos!$B$6+M308*Pesos!$B$7+N308*Pesos!$B$8+O308*Pesos!$B$9+P308*Pesos!$B$10+Q308*Pesos!$B$11+R308*Pesos!$B$12+S308*Pesos!$B$13+T308*Pesos!$B$14+U308*Pesos!$B$15+V308*Pesos!$B$16+W308*Pesos!$B$17+X308*Pesos!$B$18+Y308*Pesos!$B$19+Z308*Pesos!$B$20+AA308*Pesos!$B$21+AB308*Pesos!$B$22+AC308*Pesos!$B$23+AD308*Pesos!$B$24+AE308*Pesos!$B$25+AF308*Pesos!$B$26+AG308*Pesos!$B$27+AH308*Pesos!$B$28+AI308*Pesos!$B$29+AJ308*Pesos!$B$30+AK308*Pesos!$B$31+AL308*Pesos!$B$32+AM308*Pesos!$B$33+AN308*Pesos!$B$34+AO308*Pesos!$B$35+AP308*Pesos!$B$36+AQ308*Pesos!$B$37+AR308*Pesos!$B$38+AS308*Pesos!$B$39+AT308*Pesos!$B$40+AU308*Pesos!$B$41+AV308*Pesos!$B$42+AW308*Pesos!$B$43+AX308*Pesos!$B$44+AY308*Pesos!$B$45+AZ308*Pesos!$B$46+BA308*Pesos!$B$47+BB308*Pesos!$B$48+BC308*Pesos!$B$49+BD308*Pesos!$B$50+BE308*Pesos!$B$51+BF308*Pesos!$B$52+BG308*Pesos!$B$53</f>
        <v>200</v>
      </c>
      <c r="G308" s="6" t="n">
        <f aca="false">E308*F308</f>
        <v>200</v>
      </c>
      <c r="H308" s="3" t="n">
        <v>49</v>
      </c>
      <c r="I308" s="3"/>
      <c r="J308" s="3"/>
      <c r="K308" s="3"/>
      <c r="L308" s="3"/>
      <c r="M308" s="3"/>
      <c r="N308" s="3"/>
      <c r="O308" s="3"/>
      <c r="P308" s="3"/>
      <c r="Q308" s="3"/>
      <c r="R308" s="3" t="n">
        <v>2</v>
      </c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 t="s">
        <v>829</v>
      </c>
      <c r="BI308" s="3"/>
      <c r="BJ308" s="3"/>
      <c r="BK308" s="3"/>
      <c r="BL308" s="3"/>
      <c r="BM308" s="3"/>
    </row>
    <row r="309" customFormat="false" ht="15" hidden="false" customHeight="false" outlineLevel="0" collapsed="false">
      <c r="A309" s="3" t="s">
        <v>64</v>
      </c>
      <c r="B309" s="3" t="s">
        <v>118</v>
      </c>
      <c r="C309" s="3" t="s">
        <v>887</v>
      </c>
      <c r="D309" s="3" t="s">
        <v>888</v>
      </c>
      <c r="E309" s="3" t="n">
        <v>1</v>
      </c>
      <c r="F309" s="6" t="n">
        <f aca="false">H309*Pesos!$B$2+I309*Pesos!$B$3+J309*Pesos!$B$4+K309*Pesos!$B$5+L309*Pesos!$B$6+M309*Pesos!$B$7+N309*Pesos!$B$8+O309*Pesos!$B$9+P309*Pesos!$B$10+Q309*Pesos!$B$11+R309*Pesos!$B$12+S309*Pesos!$B$13+T309*Pesos!$B$14+U309*Pesos!$B$15+V309*Pesos!$B$16+W309*Pesos!$B$17+X309*Pesos!$B$18+Y309*Pesos!$B$19+Z309*Pesos!$B$20+AA309*Pesos!$B$21+AB309*Pesos!$B$22+AC309*Pesos!$B$23+AD309*Pesos!$B$24+AE309*Pesos!$B$25+AF309*Pesos!$B$26+AG309*Pesos!$B$27+AH309*Pesos!$B$28+AI309*Pesos!$B$29+AJ309*Pesos!$B$30+AK309*Pesos!$B$31+AL309*Pesos!$B$32+AM309*Pesos!$B$33+AN309*Pesos!$B$34+AO309*Pesos!$B$35+AP309*Pesos!$B$36+AQ309*Pesos!$B$37+AR309*Pesos!$B$38+AS309*Pesos!$B$39+AT309*Pesos!$B$40+AU309*Pesos!$B$41+AV309*Pesos!$B$42+AW309*Pesos!$B$43+AX309*Pesos!$B$44+AY309*Pesos!$B$45+AZ309*Pesos!$B$46+BA309*Pesos!$B$47+BB309*Pesos!$B$48+BC309*Pesos!$B$49+BD309*Pesos!$B$50+BE309*Pesos!$B$51+BF309*Pesos!$B$52+BG309*Pesos!$B$53</f>
        <v>300</v>
      </c>
      <c r="G309" s="6" t="n">
        <f aca="false">E309*F309</f>
        <v>300</v>
      </c>
      <c r="H309" s="3" t="n">
        <v>49</v>
      </c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 t="n">
        <v>10</v>
      </c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 t="s">
        <v>888</v>
      </c>
      <c r="BI309" s="3"/>
      <c r="BJ309" s="3"/>
      <c r="BK309" s="3"/>
      <c r="BL309" s="3"/>
      <c r="BM309" s="3"/>
    </row>
    <row r="310" customFormat="false" ht="15" hidden="false" customHeight="false" outlineLevel="0" collapsed="false">
      <c r="A310" s="3" t="s">
        <v>64</v>
      </c>
      <c r="B310" s="3" t="s">
        <v>118</v>
      </c>
      <c r="C310" s="3" t="s">
        <v>889</v>
      </c>
      <c r="D310" s="3" t="s">
        <v>890</v>
      </c>
      <c r="E310" s="3" t="n">
        <v>1</v>
      </c>
      <c r="F310" s="6" t="n">
        <f aca="false">H310*Pesos!$B$2+I310*Pesos!$B$3+J310*Pesos!$B$4+K310*Pesos!$B$5+L310*Pesos!$B$6+M310*Pesos!$B$7+N310*Pesos!$B$8+O310*Pesos!$B$9+P310*Pesos!$B$10+Q310*Pesos!$B$11+R310*Pesos!$B$12+S310*Pesos!$B$13+T310*Pesos!$B$14+U310*Pesos!$B$15+V310*Pesos!$B$16+W310*Pesos!$B$17+X310*Pesos!$B$18+Y310*Pesos!$B$19+Z310*Pesos!$B$20+AA310*Pesos!$B$21+AB310*Pesos!$B$22+AC310*Pesos!$B$23+AD310*Pesos!$B$24+AE310*Pesos!$B$25+AF310*Pesos!$B$26+AG310*Pesos!$B$27+AH310*Pesos!$B$28+AI310*Pesos!$B$29+AJ310*Pesos!$B$30+AK310*Pesos!$B$31+AL310*Pesos!$B$32+AM310*Pesos!$B$33+AN310*Pesos!$B$34+AO310*Pesos!$B$35+AP310*Pesos!$B$36+AQ310*Pesos!$B$37+AR310*Pesos!$B$38+AS310*Pesos!$B$39+AT310*Pesos!$B$40+AU310*Pesos!$B$41+AV310*Pesos!$B$42+AW310*Pesos!$B$43+AX310*Pesos!$B$44+AY310*Pesos!$B$45+AZ310*Pesos!$B$46+BA310*Pesos!$B$47+BB310*Pesos!$B$48+BC310*Pesos!$B$49+BD310*Pesos!$B$50+BE310*Pesos!$B$51+BF310*Pesos!$B$52+BG310*Pesos!$B$53</f>
        <v>160</v>
      </c>
      <c r="G310" s="6" t="n">
        <f aca="false">E310*F310</f>
        <v>160</v>
      </c>
      <c r="H310" s="3" t="n">
        <v>49</v>
      </c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 t="n">
        <v>2</v>
      </c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customFormat="false" ht="15" hidden="false" customHeight="false" outlineLevel="0" collapsed="false">
      <c r="A311" s="3" t="s">
        <v>64</v>
      </c>
      <c r="B311" s="3" t="s">
        <v>118</v>
      </c>
      <c r="C311" s="3" t="s">
        <v>891</v>
      </c>
      <c r="D311" s="3" t="s">
        <v>892</v>
      </c>
      <c r="E311" s="3" t="n">
        <v>1</v>
      </c>
      <c r="F311" s="6" t="n">
        <f aca="false">H311*Pesos!$B$2+I311*Pesos!$B$3+J311*Pesos!$B$4+K311*Pesos!$B$5+L311*Pesos!$B$6+M311*Pesos!$B$7+N311*Pesos!$B$8+O311*Pesos!$B$9+P311*Pesos!$B$10+Q311*Pesos!$B$11+R311*Pesos!$B$12+S311*Pesos!$B$13+T311*Pesos!$B$14+U311*Pesos!$B$15+V311*Pesos!$B$16+W311*Pesos!$B$17+X311*Pesos!$B$18+Y311*Pesos!$B$19+Z311*Pesos!$B$20+AA311*Pesos!$B$21+AB311*Pesos!$B$22+AC311*Pesos!$B$23+AD311*Pesos!$B$24+AE311*Pesos!$B$25+AF311*Pesos!$B$26+AG311*Pesos!$B$27+AH311*Pesos!$B$28+AI311*Pesos!$B$29+AJ311*Pesos!$B$30+AK311*Pesos!$B$31+AL311*Pesos!$B$32+AM311*Pesos!$B$33+AN311*Pesos!$B$34+AO311*Pesos!$B$35+AP311*Pesos!$B$36+AQ311*Pesos!$B$37+AR311*Pesos!$B$38+AS311*Pesos!$B$39+AT311*Pesos!$B$40+AU311*Pesos!$B$41+AV311*Pesos!$B$42+AW311*Pesos!$B$43+AX311*Pesos!$B$44+AY311*Pesos!$B$45+AZ311*Pesos!$B$46+BA311*Pesos!$B$47+BB311*Pesos!$B$48+BC311*Pesos!$B$49+BD311*Pesos!$B$50+BE311*Pesos!$B$51+BF311*Pesos!$B$52+BG311*Pesos!$B$53</f>
        <v>225</v>
      </c>
      <c r="G311" s="6" t="n">
        <f aca="false">E311*F311</f>
        <v>225</v>
      </c>
      <c r="H311" s="3" t="n">
        <v>63</v>
      </c>
      <c r="I311" s="3"/>
      <c r="J311" s="3"/>
      <c r="K311" s="3"/>
      <c r="L311" s="3"/>
      <c r="M311" s="3"/>
      <c r="N311" s="3"/>
      <c r="O311" s="3"/>
      <c r="P311" s="3"/>
      <c r="Q311" s="3" t="n">
        <v>1</v>
      </c>
      <c r="R311" s="3" t="n">
        <v>2</v>
      </c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customFormat="false" ht="15" hidden="false" customHeight="false" outlineLevel="0" collapsed="false">
      <c r="A312" s="3" t="s">
        <v>64</v>
      </c>
      <c r="B312" s="3" t="s">
        <v>118</v>
      </c>
      <c r="C312" s="3" t="s">
        <v>893</v>
      </c>
      <c r="D312" s="3" t="s">
        <v>894</v>
      </c>
      <c r="E312" s="3" t="n">
        <v>1</v>
      </c>
      <c r="F312" s="6" t="n">
        <f aca="false">H312*Pesos!$B$2+I312*Pesos!$B$3+J312*Pesos!$B$4+K312*Pesos!$B$5+L312*Pesos!$B$6+M312*Pesos!$B$7+N312*Pesos!$B$8+O312*Pesos!$B$9+P312*Pesos!$B$10+Q312*Pesos!$B$11+R312*Pesos!$B$12+S312*Pesos!$B$13+T312*Pesos!$B$14+U312*Pesos!$B$15+V312*Pesos!$B$16+W312*Pesos!$B$17+X312*Pesos!$B$18+Y312*Pesos!$B$19+Z312*Pesos!$B$20+AA312*Pesos!$B$21+AB312*Pesos!$B$22+AC312*Pesos!$B$23+AD312*Pesos!$B$24+AE312*Pesos!$B$25+AF312*Pesos!$B$26+AG312*Pesos!$B$27+AH312*Pesos!$B$28+AI312*Pesos!$B$29+AJ312*Pesos!$B$30+AK312*Pesos!$B$31+AL312*Pesos!$B$32+AM312*Pesos!$B$33+AN312*Pesos!$B$34+AO312*Pesos!$B$35+AP312*Pesos!$B$36+AQ312*Pesos!$B$37+AR312*Pesos!$B$38+AS312*Pesos!$B$39+AT312*Pesos!$B$40+AU312*Pesos!$B$41+AV312*Pesos!$B$42+AW312*Pesos!$B$43+AX312*Pesos!$B$44+AY312*Pesos!$B$45+AZ312*Pesos!$B$46+BA312*Pesos!$B$47+BB312*Pesos!$B$48+BC312*Pesos!$B$49+BD312*Pesos!$B$50+BE312*Pesos!$B$51+BF312*Pesos!$B$52+BG312*Pesos!$B$53</f>
        <v>120</v>
      </c>
      <c r="G312" s="6" t="n">
        <f aca="false">E312*F312</f>
        <v>120</v>
      </c>
      <c r="H312" s="3" t="n">
        <v>49</v>
      </c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 t="n">
        <v>2</v>
      </c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customFormat="false" ht="15" hidden="false" customHeight="false" outlineLevel="0" collapsed="false">
      <c r="A313" s="3" t="s">
        <v>64</v>
      </c>
      <c r="B313" s="3" t="s">
        <v>118</v>
      </c>
      <c r="C313" s="3" t="s">
        <v>895</v>
      </c>
      <c r="D313" s="3" t="s">
        <v>896</v>
      </c>
      <c r="E313" s="3" t="n">
        <v>1</v>
      </c>
      <c r="F313" s="6" t="n">
        <f aca="false">H313*Pesos!$B$2+I313*Pesos!$B$3+J313*Pesos!$B$4+K313*Pesos!$B$5+L313*Pesos!$B$6+M313*Pesos!$B$7+N313*Pesos!$B$8+O313*Pesos!$B$9+P313*Pesos!$B$10+Q313*Pesos!$B$11+R313*Pesos!$B$12+S313*Pesos!$B$13+T313*Pesos!$B$14+U313*Pesos!$B$15+V313*Pesos!$B$16+W313*Pesos!$B$17+X313*Pesos!$B$18+Y313*Pesos!$B$19+Z313*Pesos!$B$20+AA313*Pesos!$B$21+AB313*Pesos!$B$22+AC313*Pesos!$B$23+AD313*Pesos!$B$24+AE313*Pesos!$B$25+AF313*Pesos!$B$26+AG313*Pesos!$B$27+AH313*Pesos!$B$28+AI313*Pesos!$B$29+AJ313*Pesos!$B$30+AK313*Pesos!$B$31+AL313*Pesos!$B$32+AM313*Pesos!$B$33+AN313*Pesos!$B$34+AO313*Pesos!$B$35+AP313*Pesos!$B$36+AQ313*Pesos!$B$37+AR313*Pesos!$B$38+AS313*Pesos!$B$39+AT313*Pesos!$B$40+AU313*Pesos!$B$41+AV313*Pesos!$B$42+AW313*Pesos!$B$43+AX313*Pesos!$B$44+AY313*Pesos!$B$45+AZ313*Pesos!$B$46+BA313*Pesos!$B$47+BB313*Pesos!$B$48+BC313*Pesos!$B$49+BD313*Pesos!$B$50+BE313*Pesos!$B$51+BF313*Pesos!$B$52+BG313*Pesos!$B$53</f>
        <v>300</v>
      </c>
      <c r="G313" s="6" t="n">
        <f aca="false">E313*F313</f>
        <v>300</v>
      </c>
      <c r="H313" s="3" t="n">
        <v>105</v>
      </c>
      <c r="I313" s="3"/>
      <c r="J313" s="3"/>
      <c r="K313" s="3"/>
      <c r="L313" s="3"/>
      <c r="M313" s="3"/>
      <c r="N313" s="3"/>
      <c r="O313" s="3"/>
      <c r="P313" s="3" t="n">
        <v>1</v>
      </c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customFormat="false" ht="15" hidden="false" customHeight="false" outlineLevel="0" collapsed="false">
      <c r="A314" s="3" t="s">
        <v>64</v>
      </c>
      <c r="B314" s="3" t="s">
        <v>119</v>
      </c>
      <c r="C314" s="3" t="s">
        <v>897</v>
      </c>
      <c r="D314" s="3" t="s">
        <v>898</v>
      </c>
      <c r="E314" s="3" t="n">
        <v>1</v>
      </c>
      <c r="F314" s="6" t="n">
        <f aca="false">H314*Pesos!$B$2+I314*Pesos!$B$3+J314*Pesos!$B$4+K314*Pesos!$B$5+L314*Pesos!$B$6+M314*Pesos!$B$7+N314*Pesos!$B$8+O314*Pesos!$B$9+P314*Pesos!$B$10+Q314*Pesos!$B$11+R314*Pesos!$B$12+S314*Pesos!$B$13+T314*Pesos!$B$14+U314*Pesos!$B$15+V314*Pesos!$B$16+W314*Pesos!$B$17+X314*Pesos!$B$18+Y314*Pesos!$B$19+Z314*Pesos!$B$20+AA314*Pesos!$B$21+AB314*Pesos!$B$22+AC314*Pesos!$B$23+AD314*Pesos!$B$24+AE314*Pesos!$B$25+AF314*Pesos!$B$26+AG314*Pesos!$B$27+AH314*Pesos!$B$28+AI314*Pesos!$B$29+AJ314*Pesos!$B$30+AK314*Pesos!$B$31+AL314*Pesos!$B$32+AM314*Pesos!$B$33+AN314*Pesos!$B$34+AO314*Pesos!$B$35+AP314*Pesos!$B$36+AQ314*Pesos!$B$37+AR314*Pesos!$B$38+AS314*Pesos!$B$39+AT314*Pesos!$B$40+AU314*Pesos!$B$41+AV314*Pesos!$B$42+AW314*Pesos!$B$43+AX314*Pesos!$B$44+AY314*Pesos!$B$45+AZ314*Pesos!$B$46+BA314*Pesos!$B$47+BB314*Pesos!$B$48+BC314*Pesos!$B$49+BD314*Pesos!$B$50+BE314*Pesos!$B$51+BF314*Pesos!$B$52+BG314*Pesos!$B$53</f>
        <v>250</v>
      </c>
      <c r="G314" s="6" t="n">
        <f aca="false">E314*F314</f>
        <v>250</v>
      </c>
      <c r="H314" s="3" t="n">
        <v>49</v>
      </c>
      <c r="I314" s="3"/>
      <c r="J314" s="3"/>
      <c r="K314" s="3"/>
      <c r="L314" s="3"/>
      <c r="M314" s="3"/>
      <c r="N314" s="3"/>
      <c r="O314" s="3"/>
      <c r="P314" s="3"/>
      <c r="Q314" s="3" t="n">
        <v>2</v>
      </c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 t="n">
        <v>10</v>
      </c>
      <c r="AR314" s="3"/>
      <c r="AS314" s="3" t="n">
        <v>5</v>
      </c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 t="s">
        <v>899</v>
      </c>
      <c r="BI314" s="3"/>
      <c r="BJ314" s="3"/>
      <c r="BK314" s="3"/>
      <c r="BL314" s="3"/>
      <c r="BM314" s="3"/>
    </row>
    <row r="315" customFormat="false" ht="15" hidden="false" customHeight="false" outlineLevel="0" collapsed="false">
      <c r="A315" s="3" t="s">
        <v>64</v>
      </c>
      <c r="B315" s="3" t="s">
        <v>119</v>
      </c>
      <c r="C315" s="3" t="s">
        <v>900</v>
      </c>
      <c r="D315" s="3" t="s">
        <v>901</v>
      </c>
      <c r="E315" s="3" t="n">
        <v>1</v>
      </c>
      <c r="F315" s="6" t="n">
        <f aca="false">H315*Pesos!$B$2+I315*Pesos!$B$3+J315*Pesos!$B$4+K315*Pesos!$B$5+L315*Pesos!$B$6+M315*Pesos!$B$7+N315*Pesos!$B$8+O315*Pesos!$B$9+P315*Pesos!$B$10+Q315*Pesos!$B$11+R315*Pesos!$B$12+S315*Pesos!$B$13+T315*Pesos!$B$14+U315*Pesos!$B$15+V315*Pesos!$B$16+W315*Pesos!$B$17+X315*Pesos!$B$18+Y315*Pesos!$B$19+Z315*Pesos!$B$20+AA315*Pesos!$B$21+AB315*Pesos!$B$22+AC315*Pesos!$B$23+AD315*Pesos!$B$24+AE315*Pesos!$B$25+AF315*Pesos!$B$26+AG315*Pesos!$B$27+AH315*Pesos!$B$28+AI315*Pesos!$B$29+AJ315*Pesos!$B$30+AK315*Pesos!$B$31+AL315*Pesos!$B$32+AM315*Pesos!$B$33+AN315*Pesos!$B$34+AO315*Pesos!$B$35+AP315*Pesos!$B$36+AQ315*Pesos!$B$37+AR315*Pesos!$B$38+AS315*Pesos!$B$39+AT315*Pesos!$B$40+AU315*Pesos!$B$41+AV315*Pesos!$B$42+AW315*Pesos!$B$43+AX315*Pesos!$B$44+AY315*Pesos!$B$45+AZ315*Pesos!$B$46+BA315*Pesos!$B$47+BB315*Pesos!$B$48+BC315*Pesos!$B$49+BD315*Pesos!$B$50+BE315*Pesos!$B$51+BF315*Pesos!$B$52+BG315*Pesos!$B$53</f>
        <v>100</v>
      </c>
      <c r="G315" s="6" t="n">
        <f aca="false">E315*F315</f>
        <v>100</v>
      </c>
      <c r="H315" s="3" t="n">
        <v>49</v>
      </c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 t="n">
        <v>10</v>
      </c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 t="s">
        <v>901</v>
      </c>
      <c r="BI315" s="3"/>
      <c r="BJ315" s="3"/>
      <c r="BK315" s="3"/>
      <c r="BL315" s="3"/>
      <c r="BM315" s="3"/>
    </row>
    <row r="316" customFormat="false" ht="15" hidden="false" customHeight="false" outlineLevel="0" collapsed="false">
      <c r="A316" s="3" t="s">
        <v>64</v>
      </c>
      <c r="B316" s="3" t="s">
        <v>119</v>
      </c>
      <c r="C316" s="3" t="s">
        <v>902</v>
      </c>
      <c r="D316" s="3" t="s">
        <v>903</v>
      </c>
      <c r="E316" s="3" t="n">
        <v>1</v>
      </c>
      <c r="F316" s="6" t="n">
        <f aca="false">H316*Pesos!$B$2+I316*Pesos!$B$3+J316*Pesos!$B$4+K316*Pesos!$B$5+L316*Pesos!$B$6+M316*Pesos!$B$7+N316*Pesos!$B$8+O316*Pesos!$B$9+P316*Pesos!$B$10+Q316*Pesos!$B$11+R316*Pesos!$B$12+S316*Pesos!$B$13+T316*Pesos!$B$14+U316*Pesos!$B$15+V316*Pesos!$B$16+W316*Pesos!$B$17+X316*Pesos!$B$18+Y316*Pesos!$B$19+Z316*Pesos!$B$20+AA316*Pesos!$B$21+AB316*Pesos!$B$22+AC316*Pesos!$B$23+AD316*Pesos!$B$24+AE316*Pesos!$B$25+AF316*Pesos!$B$26+AG316*Pesos!$B$27+AH316*Pesos!$B$28+AI316*Pesos!$B$29+AJ316*Pesos!$B$30+AK316*Pesos!$B$31+AL316*Pesos!$B$32+AM316*Pesos!$B$33+AN316*Pesos!$B$34+AO316*Pesos!$B$35+AP316*Pesos!$B$36+AQ316*Pesos!$B$37+AR316*Pesos!$B$38+AS316*Pesos!$B$39+AT316*Pesos!$B$40+AU316*Pesos!$B$41+AV316*Pesos!$B$42+AW316*Pesos!$B$43+AX316*Pesos!$B$44+AY316*Pesos!$B$45+AZ316*Pesos!$B$46+BA316*Pesos!$B$47+BB316*Pesos!$B$48+BC316*Pesos!$B$49+BD316*Pesos!$B$50+BE316*Pesos!$B$51+BF316*Pesos!$B$52+BG316*Pesos!$B$53</f>
        <v>110</v>
      </c>
      <c r="G316" s="6" t="n">
        <f aca="false">E316*F316</f>
        <v>110</v>
      </c>
      <c r="H316" s="3" t="n">
        <v>49</v>
      </c>
      <c r="I316" s="3"/>
      <c r="J316" s="3"/>
      <c r="K316" s="3"/>
      <c r="L316" s="3" t="n">
        <v>30000</v>
      </c>
      <c r="M316" s="3"/>
      <c r="N316" s="3"/>
      <c r="O316" s="3"/>
      <c r="P316" s="3"/>
      <c r="Q316" s="3" t="n">
        <v>2</v>
      </c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customFormat="false" ht="15" hidden="false" customHeight="false" outlineLevel="0" collapsed="false">
      <c r="A317" s="3" t="s">
        <v>64</v>
      </c>
      <c r="B317" s="3" t="s">
        <v>119</v>
      </c>
      <c r="C317" s="3" t="s">
        <v>904</v>
      </c>
      <c r="D317" s="3" t="s">
        <v>905</v>
      </c>
      <c r="E317" s="3" t="n">
        <v>1</v>
      </c>
      <c r="F317" s="6" t="n">
        <f aca="false">H317*Pesos!$B$2+I317*Pesos!$B$3+J317*Pesos!$B$4+K317*Pesos!$B$5+L317*Pesos!$B$6+M317*Pesos!$B$7+N317*Pesos!$B$8+O317*Pesos!$B$9+P317*Pesos!$B$10+Q317*Pesos!$B$11+R317*Pesos!$B$12+S317*Pesos!$B$13+T317*Pesos!$B$14+U317*Pesos!$B$15+V317*Pesos!$B$16+W317*Pesos!$B$17+X317*Pesos!$B$18+Y317*Pesos!$B$19+Z317*Pesos!$B$20+AA317*Pesos!$B$21+AB317*Pesos!$B$22+AC317*Pesos!$B$23+AD317*Pesos!$B$24+AE317*Pesos!$B$25+AF317*Pesos!$B$26+AG317*Pesos!$B$27+AH317*Pesos!$B$28+AI317*Pesos!$B$29+AJ317*Pesos!$B$30+AK317*Pesos!$B$31+AL317*Pesos!$B$32+AM317*Pesos!$B$33+AN317*Pesos!$B$34+AO317*Pesos!$B$35+AP317*Pesos!$B$36+AQ317*Pesos!$B$37+AR317*Pesos!$B$38+AS317*Pesos!$B$39+AT317*Pesos!$B$40+AU317*Pesos!$B$41+AV317*Pesos!$B$42+AW317*Pesos!$B$43+AX317*Pesos!$B$44+AY317*Pesos!$B$45+AZ317*Pesos!$B$46+BA317*Pesos!$B$47+BB317*Pesos!$B$48+BC317*Pesos!$B$49+BD317*Pesos!$B$50+BE317*Pesos!$B$51+BF317*Pesos!$B$52+BG317*Pesos!$B$53</f>
        <v>75</v>
      </c>
      <c r="G317" s="6" t="n">
        <f aca="false">E317*F317</f>
        <v>75</v>
      </c>
      <c r="H317" s="3" t="n">
        <v>63</v>
      </c>
      <c r="I317" s="3"/>
      <c r="J317" s="3"/>
      <c r="K317" s="3"/>
      <c r="L317" s="3"/>
      <c r="M317" s="3" t="n">
        <v>75</v>
      </c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customFormat="false" ht="15" hidden="false" customHeight="false" outlineLevel="0" collapsed="false">
      <c r="A318" s="3" t="s">
        <v>64</v>
      </c>
      <c r="B318" s="3" t="s">
        <v>119</v>
      </c>
      <c r="C318" s="3" t="s">
        <v>906</v>
      </c>
      <c r="D318" s="3" t="s">
        <v>907</v>
      </c>
      <c r="E318" s="3" t="n">
        <v>1</v>
      </c>
      <c r="F318" s="6" t="n">
        <f aca="false">H318*Pesos!$B$2+I318*Pesos!$B$3+J318*Pesos!$B$4+K318*Pesos!$B$5+L318*Pesos!$B$6+M318*Pesos!$B$7+N318*Pesos!$B$8+O318*Pesos!$B$9+P318*Pesos!$B$10+Q318*Pesos!$B$11+R318*Pesos!$B$12+S318*Pesos!$B$13+T318*Pesos!$B$14+U318*Pesos!$B$15+V318*Pesos!$B$16+W318*Pesos!$B$17+X318*Pesos!$B$18+Y318*Pesos!$B$19+Z318*Pesos!$B$20+AA318*Pesos!$B$21+AB318*Pesos!$B$22+AC318*Pesos!$B$23+AD318*Pesos!$B$24+AE318*Pesos!$B$25+AF318*Pesos!$B$26+AG318*Pesos!$B$27+AH318*Pesos!$B$28+AI318*Pesos!$B$29+AJ318*Pesos!$B$30+AK318*Pesos!$B$31+AL318*Pesos!$B$32+AM318*Pesos!$B$33+AN318*Pesos!$B$34+AO318*Pesos!$B$35+AP318*Pesos!$B$36+AQ318*Pesos!$B$37+AR318*Pesos!$B$38+AS318*Pesos!$B$39+AT318*Pesos!$B$40+AU318*Pesos!$B$41+AV318*Pesos!$B$42+AW318*Pesos!$B$43+AX318*Pesos!$B$44+AY318*Pesos!$B$45+AZ318*Pesos!$B$46+BA318*Pesos!$B$47+BB318*Pesos!$B$48+BC318*Pesos!$B$49+BD318*Pesos!$B$50+BE318*Pesos!$B$51+BF318*Pesos!$B$52+BG318*Pesos!$B$53</f>
        <v>235</v>
      </c>
      <c r="G318" s="6" t="n">
        <f aca="false">E318*F318</f>
        <v>235</v>
      </c>
      <c r="H318" s="3" t="n">
        <v>63</v>
      </c>
      <c r="I318" s="3"/>
      <c r="J318" s="3"/>
      <c r="K318" s="3"/>
      <c r="L318" s="3"/>
      <c r="M318" s="3"/>
      <c r="N318" s="3"/>
      <c r="O318" s="3"/>
      <c r="P318" s="3"/>
      <c r="Q318" s="3" t="n">
        <v>1</v>
      </c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 t="n">
        <v>10</v>
      </c>
      <c r="AR318" s="3" t="n">
        <v>5</v>
      </c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 t="s">
        <v>907</v>
      </c>
      <c r="BI318" s="3"/>
      <c r="BJ318" s="3"/>
      <c r="BK318" s="3"/>
      <c r="BL318" s="3"/>
      <c r="BM318" s="3"/>
    </row>
    <row r="319" customFormat="false" ht="15" hidden="false" customHeight="false" outlineLevel="0" collapsed="false">
      <c r="A319" s="3" t="s">
        <v>64</v>
      </c>
      <c r="B319" s="3" t="s">
        <v>119</v>
      </c>
      <c r="C319" s="3" t="s">
        <v>908</v>
      </c>
      <c r="D319" s="3" t="s">
        <v>909</v>
      </c>
      <c r="E319" s="3" t="n">
        <v>1</v>
      </c>
      <c r="F319" s="6" t="n">
        <f aca="false">H319*Pesos!$B$2+I319*Pesos!$B$3+J319*Pesos!$B$4+K319*Pesos!$B$5+L319*Pesos!$B$6+M319*Pesos!$B$7+N319*Pesos!$B$8+O319*Pesos!$B$9+P319*Pesos!$B$10+Q319*Pesos!$B$11+R319*Pesos!$B$12+S319*Pesos!$B$13+T319*Pesos!$B$14+U319*Pesos!$B$15+V319*Pesos!$B$16+W319*Pesos!$B$17+X319*Pesos!$B$18+Y319*Pesos!$B$19+Z319*Pesos!$B$20+AA319*Pesos!$B$21+AB319*Pesos!$B$22+AC319*Pesos!$B$23+AD319*Pesos!$B$24+AE319*Pesos!$B$25+AF319*Pesos!$B$26+AG319*Pesos!$B$27+AH319*Pesos!$B$28+AI319*Pesos!$B$29+AJ319*Pesos!$B$30+AK319*Pesos!$B$31+AL319*Pesos!$B$32+AM319*Pesos!$B$33+AN319*Pesos!$B$34+AO319*Pesos!$B$35+AP319*Pesos!$B$36+AQ319*Pesos!$B$37+AR319*Pesos!$B$38+AS319*Pesos!$B$39+AT319*Pesos!$B$40+AU319*Pesos!$B$41+AV319*Pesos!$B$42+AW319*Pesos!$B$43+AX319*Pesos!$B$44+AY319*Pesos!$B$45+AZ319*Pesos!$B$46+BA319*Pesos!$B$47+BB319*Pesos!$B$48+BC319*Pesos!$B$49+BD319*Pesos!$B$50+BE319*Pesos!$B$51+BF319*Pesos!$B$52+BG319*Pesos!$B$53</f>
        <v>150</v>
      </c>
      <c r="G319" s="6" t="n">
        <f aca="false">E319*F319</f>
        <v>150</v>
      </c>
      <c r="H319" s="3" t="n">
        <v>84</v>
      </c>
      <c r="I319" s="3"/>
      <c r="J319" s="3"/>
      <c r="K319" s="3"/>
      <c r="L319" s="3"/>
      <c r="M319" s="3" t="n">
        <v>150</v>
      </c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customFormat="false" ht="15" hidden="false" customHeight="false" outlineLevel="0" collapsed="false">
      <c r="A320" s="3" t="s">
        <v>64</v>
      </c>
      <c r="B320" s="3" t="s">
        <v>120</v>
      </c>
      <c r="C320" s="3" t="s">
        <v>910</v>
      </c>
      <c r="D320" s="3" t="s">
        <v>911</v>
      </c>
      <c r="E320" s="3" t="n">
        <v>1</v>
      </c>
      <c r="F320" s="6" t="n">
        <f aca="false">H320*Pesos!$B$2+I320*Pesos!$B$3+J320*Pesos!$B$4+K320*Pesos!$B$5+L320*Pesos!$B$6+M320*Pesos!$B$7+N320*Pesos!$B$8+O320*Pesos!$B$9+P320*Pesos!$B$10+Q320*Pesos!$B$11+R320*Pesos!$B$12+S320*Pesos!$B$13+T320*Pesos!$B$14+U320*Pesos!$B$15+V320*Pesos!$B$16+W320*Pesos!$B$17+X320*Pesos!$B$18+Y320*Pesos!$B$19+Z320*Pesos!$B$20+AA320*Pesos!$B$21+AB320*Pesos!$B$22+AC320*Pesos!$B$23+AD320*Pesos!$B$24+AE320*Pesos!$B$25+AF320*Pesos!$B$26+AG320*Pesos!$B$27+AH320*Pesos!$B$28+AI320*Pesos!$B$29+AJ320*Pesos!$B$30+AK320*Pesos!$B$31+AL320*Pesos!$B$32+AM320*Pesos!$B$33+AN320*Pesos!$B$34+AO320*Pesos!$B$35+AP320*Pesos!$B$36+AQ320*Pesos!$B$37+AR320*Pesos!$B$38+AS320*Pesos!$B$39+AT320*Pesos!$B$40+AU320*Pesos!$B$41+AV320*Pesos!$B$42+AW320*Pesos!$B$43+AX320*Pesos!$B$44+AY320*Pesos!$B$45+AZ320*Pesos!$B$46+BA320*Pesos!$B$47+BB320*Pesos!$B$48+BC320*Pesos!$B$49+BD320*Pesos!$B$50+BE320*Pesos!$B$51+BF320*Pesos!$B$52+BG320*Pesos!$B$53</f>
        <v>100</v>
      </c>
      <c r="G320" s="6" t="n">
        <f aca="false">E320*F320</f>
        <v>100</v>
      </c>
      <c r="H320" s="3" t="n">
        <v>49</v>
      </c>
      <c r="I320" s="3"/>
      <c r="J320" s="3"/>
      <c r="K320" s="3"/>
      <c r="L320" s="3"/>
      <c r="M320" s="3"/>
      <c r="N320" s="3"/>
      <c r="O320" s="3"/>
      <c r="P320" s="3"/>
      <c r="Q320" s="3" t="n">
        <v>2</v>
      </c>
      <c r="R320" s="3"/>
      <c r="S320" s="3"/>
      <c r="T320" s="3"/>
      <c r="U320" s="3"/>
      <c r="V320" s="3"/>
      <c r="W320" s="3"/>
      <c r="X320" s="3"/>
      <c r="Y320" s="3" t="n">
        <v>100</v>
      </c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customFormat="false" ht="15" hidden="false" customHeight="false" outlineLevel="0" collapsed="false">
      <c r="A321" s="3" t="s">
        <v>64</v>
      </c>
      <c r="B321" s="3" t="s">
        <v>120</v>
      </c>
      <c r="C321" s="3" t="s">
        <v>912</v>
      </c>
      <c r="D321" s="3" t="s">
        <v>913</v>
      </c>
      <c r="E321" s="3" t="n">
        <v>1</v>
      </c>
      <c r="F321" s="6" t="n">
        <f aca="false">H321*Pesos!$B$2+I321*Pesos!$B$3+J321*Pesos!$B$4+K321*Pesos!$B$5+L321*Pesos!$B$6+M321*Pesos!$B$7+N321*Pesos!$B$8+O321*Pesos!$B$9+P321*Pesos!$B$10+Q321*Pesos!$B$11+R321*Pesos!$B$12+S321*Pesos!$B$13+T321*Pesos!$B$14+U321*Pesos!$B$15+V321*Pesos!$B$16+W321*Pesos!$B$17+X321*Pesos!$B$18+Y321*Pesos!$B$19+Z321*Pesos!$B$20+AA321*Pesos!$B$21+AB321*Pesos!$B$22+AC321*Pesos!$B$23+AD321*Pesos!$B$24+AE321*Pesos!$B$25+AF321*Pesos!$B$26+AG321*Pesos!$B$27+AH321*Pesos!$B$28+AI321*Pesos!$B$29+AJ321*Pesos!$B$30+AK321*Pesos!$B$31+AL321*Pesos!$B$32+AM321*Pesos!$B$33+AN321*Pesos!$B$34+AO321*Pesos!$B$35+AP321*Pesos!$B$36+AQ321*Pesos!$B$37+AR321*Pesos!$B$38+AS321*Pesos!$B$39+AT321*Pesos!$B$40+AU321*Pesos!$B$41+AV321*Pesos!$B$42+AW321*Pesos!$B$43+AX321*Pesos!$B$44+AY321*Pesos!$B$45+AZ321*Pesos!$B$46+BA321*Pesos!$B$47+BB321*Pesos!$B$48+BC321*Pesos!$B$49+BD321*Pesos!$B$50+BE321*Pesos!$B$51+BF321*Pesos!$B$52+BG321*Pesos!$B$53</f>
        <v>30</v>
      </c>
      <c r="G321" s="6" t="n">
        <f aca="false">E321*F321</f>
        <v>30</v>
      </c>
      <c r="H321" s="3" t="n">
        <v>49</v>
      </c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 t="n">
        <v>3</v>
      </c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customFormat="false" ht="15" hidden="false" customHeight="false" outlineLevel="0" collapsed="false">
      <c r="A322" s="3" t="s">
        <v>64</v>
      </c>
      <c r="B322" s="3" t="s">
        <v>120</v>
      </c>
      <c r="C322" s="3" t="s">
        <v>914</v>
      </c>
      <c r="D322" s="3" t="s">
        <v>915</v>
      </c>
      <c r="E322" s="3" t="n">
        <v>1</v>
      </c>
      <c r="F322" s="6" t="n">
        <f aca="false">H322*Pesos!$B$2+I322*Pesos!$B$3+J322*Pesos!$B$4+K322*Pesos!$B$5+L322*Pesos!$B$6+M322*Pesos!$B$7+N322*Pesos!$B$8+O322*Pesos!$B$9+P322*Pesos!$B$10+Q322*Pesos!$B$11+R322*Pesos!$B$12+S322*Pesos!$B$13+T322*Pesos!$B$14+U322*Pesos!$B$15+V322*Pesos!$B$16+W322*Pesos!$B$17+X322*Pesos!$B$18+Y322*Pesos!$B$19+Z322*Pesos!$B$20+AA322*Pesos!$B$21+AB322*Pesos!$B$22+AC322*Pesos!$B$23+AD322*Pesos!$B$24+AE322*Pesos!$B$25+AF322*Pesos!$B$26+AG322*Pesos!$B$27+AH322*Pesos!$B$28+AI322*Pesos!$B$29+AJ322*Pesos!$B$30+AK322*Pesos!$B$31+AL322*Pesos!$B$32+AM322*Pesos!$B$33+AN322*Pesos!$B$34+AO322*Pesos!$B$35+AP322*Pesos!$B$36+AQ322*Pesos!$B$37+AR322*Pesos!$B$38+AS322*Pesos!$B$39+AT322*Pesos!$B$40+AU322*Pesos!$B$41+AV322*Pesos!$B$42+AW322*Pesos!$B$43+AX322*Pesos!$B$44+AY322*Pesos!$B$45+AZ322*Pesos!$B$46+BA322*Pesos!$B$47+BB322*Pesos!$B$48+BC322*Pesos!$B$49+BD322*Pesos!$B$50+BE322*Pesos!$B$51+BF322*Pesos!$B$52+BG322*Pesos!$B$53</f>
        <v>320</v>
      </c>
      <c r="G322" s="6" t="n">
        <f aca="false">E322*F322</f>
        <v>320</v>
      </c>
      <c r="H322" s="3" t="n">
        <v>63</v>
      </c>
      <c r="I322" s="3"/>
      <c r="J322" s="3"/>
      <c r="K322" s="3"/>
      <c r="L322" s="3"/>
      <c r="M322" s="3"/>
      <c r="N322" s="3"/>
      <c r="O322" s="3" t="n">
        <v>50</v>
      </c>
      <c r="P322" s="3"/>
      <c r="Q322" s="3" t="n">
        <v>1</v>
      </c>
      <c r="R322" s="3"/>
      <c r="S322" s="3"/>
      <c r="T322" s="3"/>
      <c r="U322" s="3"/>
      <c r="V322" s="3"/>
      <c r="W322" s="3"/>
      <c r="X322" s="3"/>
      <c r="Y322" s="3" t="n">
        <v>200</v>
      </c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 t="n">
        <v>5</v>
      </c>
      <c r="AZ322" s="3" t="n">
        <v>5</v>
      </c>
      <c r="BA322" s="3"/>
      <c r="BB322" s="3"/>
      <c r="BC322" s="3"/>
      <c r="BD322" s="3" t="n">
        <v>50</v>
      </c>
      <c r="BE322" s="3" t="n">
        <v>25</v>
      </c>
      <c r="BF322" s="3" t="n">
        <v>15</v>
      </c>
      <c r="BG322" s="3"/>
      <c r="BH322" s="3" t="s">
        <v>916</v>
      </c>
      <c r="BI322" s="3"/>
      <c r="BJ322" s="3"/>
      <c r="BK322" s="3"/>
      <c r="BL322" s="3"/>
      <c r="BM322" s="3"/>
    </row>
    <row r="323" customFormat="false" ht="15" hidden="false" customHeight="false" outlineLevel="0" collapsed="false">
      <c r="A323" s="3" t="s">
        <v>64</v>
      </c>
      <c r="B323" s="3" t="s">
        <v>120</v>
      </c>
      <c r="C323" s="3" t="s">
        <v>917</v>
      </c>
      <c r="D323" s="3" t="s">
        <v>918</v>
      </c>
      <c r="E323" s="3" t="n">
        <v>1</v>
      </c>
      <c r="F323" s="6" t="n">
        <f aca="false">H323*Pesos!$B$2+I323*Pesos!$B$3+J323*Pesos!$B$4+K323*Pesos!$B$5+L323*Pesos!$B$6+M323*Pesos!$B$7+N323*Pesos!$B$8+O323*Pesos!$B$9+P323*Pesos!$B$10+Q323*Pesos!$B$11+R323*Pesos!$B$12+S323*Pesos!$B$13+T323*Pesos!$B$14+U323*Pesos!$B$15+V323*Pesos!$B$16+W323*Pesos!$B$17+X323*Pesos!$B$18+Y323*Pesos!$B$19+Z323*Pesos!$B$20+AA323*Pesos!$B$21+AB323*Pesos!$B$22+AC323*Pesos!$B$23+AD323*Pesos!$B$24+AE323*Pesos!$B$25+AF323*Pesos!$B$26+AG323*Pesos!$B$27+AH323*Pesos!$B$28+AI323*Pesos!$B$29+AJ323*Pesos!$B$30+AK323*Pesos!$B$31+AL323*Pesos!$B$32+AM323*Pesos!$B$33+AN323*Pesos!$B$34+AO323*Pesos!$B$35+AP323*Pesos!$B$36+AQ323*Pesos!$B$37+AR323*Pesos!$B$38+AS323*Pesos!$B$39+AT323*Pesos!$B$40+AU323*Pesos!$B$41+AV323*Pesos!$B$42+AW323*Pesos!$B$43+AX323*Pesos!$B$44+AY323*Pesos!$B$45+AZ323*Pesos!$B$46+BA323*Pesos!$B$47+BB323*Pesos!$B$48+BC323*Pesos!$B$49+BD323*Pesos!$B$50+BE323*Pesos!$B$51+BF323*Pesos!$B$52+BG323*Pesos!$B$53</f>
        <v>70</v>
      </c>
      <c r="G323" s="6" t="n">
        <f aca="false">E323*F323</f>
        <v>70</v>
      </c>
      <c r="H323" s="3" t="n">
        <v>49</v>
      </c>
      <c r="I323" s="3" t="n">
        <v>50</v>
      </c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 t="n">
        <v>2</v>
      </c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customFormat="false" ht="15" hidden="false" customHeight="false" outlineLevel="0" collapsed="false">
      <c r="A324" s="3" t="s">
        <v>64</v>
      </c>
      <c r="B324" s="3" t="s">
        <v>120</v>
      </c>
      <c r="C324" s="3" t="s">
        <v>919</v>
      </c>
      <c r="D324" s="3" t="s">
        <v>920</v>
      </c>
      <c r="E324" s="3" t="n">
        <v>1</v>
      </c>
      <c r="F324" s="6" t="n">
        <f aca="false">H324*Pesos!$B$2+I324*Pesos!$B$3+J324*Pesos!$B$4+K324*Pesos!$B$5+L324*Pesos!$B$6+M324*Pesos!$B$7+N324*Pesos!$B$8+O324*Pesos!$B$9+P324*Pesos!$B$10+Q324*Pesos!$B$11+R324*Pesos!$B$12+S324*Pesos!$B$13+T324*Pesos!$B$14+U324*Pesos!$B$15+V324*Pesos!$B$16+W324*Pesos!$B$17+X324*Pesos!$B$18+Y324*Pesos!$B$19+Z324*Pesos!$B$20+AA324*Pesos!$B$21+AB324*Pesos!$B$22+AC324*Pesos!$B$23+AD324*Pesos!$B$24+AE324*Pesos!$B$25+AF324*Pesos!$B$26+AG324*Pesos!$B$27+AH324*Pesos!$B$28+AI324*Pesos!$B$29+AJ324*Pesos!$B$30+AK324*Pesos!$B$31+AL324*Pesos!$B$32+AM324*Pesos!$B$33+AN324*Pesos!$B$34+AO324*Pesos!$B$35+AP324*Pesos!$B$36+AQ324*Pesos!$B$37+AR324*Pesos!$B$38+AS324*Pesos!$B$39+AT324*Pesos!$B$40+AU324*Pesos!$B$41+AV324*Pesos!$B$42+AW324*Pesos!$B$43+AX324*Pesos!$B$44+AY324*Pesos!$B$45+AZ324*Pesos!$B$46+BA324*Pesos!$B$47+BB324*Pesos!$B$48+BC324*Pesos!$B$49+BD324*Pesos!$B$50+BE324*Pesos!$B$51+BF324*Pesos!$B$52+BG324*Pesos!$B$53</f>
        <v>180</v>
      </c>
      <c r="G324" s="6" t="n">
        <f aca="false">E324*F324</f>
        <v>180</v>
      </c>
      <c r="H324" s="3" t="n">
        <v>49</v>
      </c>
      <c r="I324" s="3"/>
      <c r="J324" s="3"/>
      <c r="K324" s="3"/>
      <c r="L324" s="3"/>
      <c r="M324" s="3"/>
      <c r="N324" s="3"/>
      <c r="O324" s="3"/>
      <c r="P324" s="3"/>
      <c r="Q324" s="3" t="n">
        <v>2</v>
      </c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 t="n">
        <v>10</v>
      </c>
      <c r="BA324" s="3" t="n">
        <v>5</v>
      </c>
      <c r="BB324" s="3" t="n">
        <v>10</v>
      </c>
      <c r="BC324" s="3" t="n">
        <v>15</v>
      </c>
      <c r="BD324" s="3"/>
      <c r="BE324" s="3"/>
      <c r="BF324" s="3"/>
      <c r="BG324" s="3"/>
      <c r="BH324" s="3" t="s">
        <v>921</v>
      </c>
      <c r="BI324" s="3"/>
      <c r="BJ324" s="3"/>
      <c r="BK324" s="3"/>
      <c r="BL324" s="3"/>
      <c r="BM324" s="3"/>
    </row>
    <row r="325" customFormat="false" ht="15" hidden="false" customHeight="false" outlineLevel="0" collapsed="false">
      <c r="A325" s="3" t="s">
        <v>64</v>
      </c>
      <c r="B325" s="3" t="s">
        <v>120</v>
      </c>
      <c r="C325" s="3" t="s">
        <v>922</v>
      </c>
      <c r="D325" s="3" t="s">
        <v>623</v>
      </c>
      <c r="E325" s="3" t="n">
        <v>1</v>
      </c>
      <c r="F325" s="6" t="n">
        <f aca="false">H325*Pesos!$B$2+I325*Pesos!$B$3+J325*Pesos!$B$4+K325*Pesos!$B$5+L325*Pesos!$B$6+M325*Pesos!$B$7+N325*Pesos!$B$8+O325*Pesos!$B$9+P325*Pesos!$B$10+Q325*Pesos!$B$11+R325*Pesos!$B$12+S325*Pesos!$B$13+T325*Pesos!$B$14+U325*Pesos!$B$15+V325*Pesos!$B$16+W325*Pesos!$B$17+X325*Pesos!$B$18+Y325*Pesos!$B$19+Z325*Pesos!$B$20+AA325*Pesos!$B$21+AB325*Pesos!$B$22+AC325*Pesos!$B$23+AD325*Pesos!$B$24+AE325*Pesos!$B$25+AF325*Pesos!$B$26+AG325*Pesos!$B$27+AH325*Pesos!$B$28+AI325*Pesos!$B$29+AJ325*Pesos!$B$30+AK325*Pesos!$B$31+AL325*Pesos!$B$32+AM325*Pesos!$B$33+AN325*Pesos!$B$34+AO325*Pesos!$B$35+AP325*Pesos!$B$36+AQ325*Pesos!$B$37+AR325*Pesos!$B$38+AS325*Pesos!$B$39+AT325*Pesos!$B$40+AU325*Pesos!$B$41+AV325*Pesos!$B$42+AW325*Pesos!$B$43+AX325*Pesos!$B$44+AY325*Pesos!$B$45+AZ325*Pesos!$B$46+BA325*Pesos!$B$47+BB325*Pesos!$B$48+BC325*Pesos!$B$49+BD325*Pesos!$B$50+BE325*Pesos!$B$51+BF325*Pesos!$B$52+BG325*Pesos!$B$53</f>
        <v>195</v>
      </c>
      <c r="G325" s="6" t="n">
        <f aca="false">E325*F325</f>
        <v>195</v>
      </c>
      <c r="H325" s="3" t="n">
        <v>84</v>
      </c>
      <c r="I325" s="3"/>
      <c r="J325" s="3"/>
      <c r="K325" s="3"/>
      <c r="L325" s="3"/>
      <c r="M325" s="3"/>
      <c r="N325" s="3" t="n">
        <v>25</v>
      </c>
      <c r="O325" s="3"/>
      <c r="P325" s="3"/>
      <c r="Q325" s="3" t="n">
        <v>2</v>
      </c>
      <c r="R325" s="3"/>
      <c r="S325" s="3"/>
      <c r="T325" s="3" t="n">
        <v>2</v>
      </c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customFormat="false" ht="15" hidden="false" customHeight="false" outlineLevel="0" collapsed="false">
      <c r="A326" s="3" t="s">
        <v>64</v>
      </c>
      <c r="B326" s="3" t="s">
        <v>121</v>
      </c>
      <c r="C326" s="3" t="s">
        <v>923</v>
      </c>
      <c r="D326" s="3" t="s">
        <v>924</v>
      </c>
      <c r="E326" s="3" t="n">
        <v>1</v>
      </c>
      <c r="F326" s="6" t="n">
        <f aca="false">H326*Pesos!$B$2+I326*Pesos!$B$3+J326*Pesos!$B$4+K326*Pesos!$B$5+L326*Pesos!$B$6+M326*Pesos!$B$7+N326*Pesos!$B$8+O326*Pesos!$B$9+P326*Pesos!$B$10+Q326*Pesos!$B$11+R326*Pesos!$B$12+S326*Pesos!$B$13+T326*Pesos!$B$14+U326*Pesos!$B$15+V326*Pesos!$B$16+W326*Pesos!$B$17+X326*Pesos!$B$18+Y326*Pesos!$B$19+Z326*Pesos!$B$20+AA326*Pesos!$B$21+AB326*Pesos!$B$22+AC326*Pesos!$B$23+AD326*Pesos!$B$24+AE326*Pesos!$B$25+AF326*Pesos!$B$26+AG326*Pesos!$B$27+AH326*Pesos!$B$28+AI326*Pesos!$B$29+AJ326*Pesos!$B$30+AK326*Pesos!$B$31+AL326*Pesos!$B$32+AM326*Pesos!$B$33+AN326*Pesos!$B$34+AO326*Pesos!$B$35+AP326*Pesos!$B$36+AQ326*Pesos!$B$37+AR326*Pesos!$B$38+AS326*Pesos!$B$39+AT326*Pesos!$B$40+AU326*Pesos!$B$41+AV326*Pesos!$B$42+AW326*Pesos!$B$43+AX326*Pesos!$B$44+AY326*Pesos!$B$45+AZ326*Pesos!$B$46+BA326*Pesos!$B$47+BB326*Pesos!$B$48+BC326*Pesos!$B$49+BD326*Pesos!$B$50+BE326*Pesos!$B$51+BF326*Pesos!$B$52+BG326*Pesos!$B$53</f>
        <v>50</v>
      </c>
      <c r="G326" s="6" t="n">
        <f aca="false">E326*F326</f>
        <v>50</v>
      </c>
      <c r="H326" s="3" t="n">
        <v>35</v>
      </c>
      <c r="I326" s="3" t="n">
        <v>50</v>
      </c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 t="s">
        <v>925</v>
      </c>
      <c r="BK326" s="3"/>
      <c r="BL326" s="3"/>
      <c r="BM326" s="3"/>
    </row>
    <row r="327" customFormat="false" ht="15" hidden="false" customHeight="false" outlineLevel="0" collapsed="false">
      <c r="A327" s="3" t="s">
        <v>64</v>
      </c>
      <c r="B327" s="3" t="s">
        <v>121</v>
      </c>
      <c r="C327" s="3" t="s">
        <v>926</v>
      </c>
      <c r="D327" s="3" t="s">
        <v>927</v>
      </c>
      <c r="E327" s="3" t="n">
        <v>1</v>
      </c>
      <c r="F327" s="6" t="n">
        <f aca="false">H327*Pesos!$B$2+I327*Pesos!$B$3+J327*Pesos!$B$4+K327*Pesos!$B$5+L327*Pesos!$B$6+M327*Pesos!$B$7+N327*Pesos!$B$8+O327*Pesos!$B$9+P327*Pesos!$B$10+Q327*Pesos!$B$11+R327*Pesos!$B$12+S327*Pesos!$B$13+T327*Pesos!$B$14+U327*Pesos!$B$15+V327*Pesos!$B$16+W327*Pesos!$B$17+X327*Pesos!$B$18+Y327*Pesos!$B$19+Z327*Pesos!$B$20+AA327*Pesos!$B$21+AB327*Pesos!$B$22+AC327*Pesos!$B$23+AD327*Pesos!$B$24+AE327*Pesos!$B$25+AF327*Pesos!$B$26+AG327*Pesos!$B$27+AH327*Pesos!$B$28+AI327*Pesos!$B$29+AJ327*Pesos!$B$30+AK327*Pesos!$B$31+AL327*Pesos!$B$32+AM327*Pesos!$B$33+AN327*Pesos!$B$34+AO327*Pesos!$B$35+AP327*Pesos!$B$36+AQ327*Pesos!$B$37+AR327*Pesos!$B$38+AS327*Pesos!$B$39+AT327*Pesos!$B$40+AU327*Pesos!$B$41+AV327*Pesos!$B$42+AW327*Pesos!$B$43+AX327*Pesos!$B$44+AY327*Pesos!$B$45+AZ327*Pesos!$B$46+BA327*Pesos!$B$47+BB327*Pesos!$B$48+BC327*Pesos!$B$49+BD327*Pesos!$B$50+BE327*Pesos!$B$51+BF327*Pesos!$B$52+BG327*Pesos!$B$53</f>
        <v>87.5</v>
      </c>
      <c r="G327" s="6" t="n">
        <f aca="false">E327*F327</f>
        <v>87.5</v>
      </c>
      <c r="H327" s="3" t="n">
        <v>49</v>
      </c>
      <c r="I327" s="3"/>
      <c r="J327" s="3" t="n">
        <v>5</v>
      </c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 t="n">
        <v>2.5</v>
      </c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 t="s">
        <v>928</v>
      </c>
      <c r="BK327" s="3"/>
      <c r="BL327" s="3"/>
      <c r="BM327" s="3"/>
    </row>
    <row r="328" customFormat="false" ht="15" hidden="false" customHeight="false" outlineLevel="0" collapsed="false">
      <c r="A328" s="3" t="s">
        <v>64</v>
      </c>
      <c r="B328" s="3" t="s">
        <v>121</v>
      </c>
      <c r="C328" s="3" t="s">
        <v>929</v>
      </c>
      <c r="D328" s="3" t="s">
        <v>930</v>
      </c>
      <c r="E328" s="3" t="n">
        <v>1</v>
      </c>
      <c r="F328" s="6" t="n">
        <f aca="false">H328*Pesos!$B$2+I328*Pesos!$B$3+J328*Pesos!$B$4+K328*Pesos!$B$5+L328*Pesos!$B$6+M328*Pesos!$B$7+N328*Pesos!$B$8+O328*Pesos!$B$9+P328*Pesos!$B$10+Q328*Pesos!$B$11+R328*Pesos!$B$12+S328*Pesos!$B$13+T328*Pesos!$B$14+U328*Pesos!$B$15+V328*Pesos!$B$16+W328*Pesos!$B$17+X328*Pesos!$B$18+Y328*Pesos!$B$19+Z328*Pesos!$B$20+AA328*Pesos!$B$21+AB328*Pesos!$B$22+AC328*Pesos!$B$23+AD328*Pesos!$B$24+AE328*Pesos!$B$25+AF328*Pesos!$B$26+AG328*Pesos!$B$27+AH328*Pesos!$B$28+AI328*Pesos!$B$29+AJ328*Pesos!$B$30+AK328*Pesos!$B$31+AL328*Pesos!$B$32+AM328*Pesos!$B$33+AN328*Pesos!$B$34+AO328*Pesos!$B$35+AP328*Pesos!$B$36+AQ328*Pesos!$B$37+AR328*Pesos!$B$38+AS328*Pesos!$B$39+AT328*Pesos!$B$40+AU328*Pesos!$B$41+AV328*Pesos!$B$42+AW328*Pesos!$B$43+AX328*Pesos!$B$44+AY328*Pesos!$B$45+AZ328*Pesos!$B$46+BA328*Pesos!$B$47+BB328*Pesos!$B$48+BC328*Pesos!$B$49+BD328*Pesos!$B$50+BE328*Pesos!$B$51+BF328*Pesos!$B$52+BG328*Pesos!$B$53</f>
        <v>100</v>
      </c>
      <c r="G328" s="6" t="n">
        <f aca="false">E328*F328</f>
        <v>100</v>
      </c>
      <c r="H328" s="3" t="n">
        <v>49</v>
      </c>
      <c r="I328" s="3" t="n">
        <v>100</v>
      </c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customFormat="false" ht="15" hidden="false" customHeight="false" outlineLevel="0" collapsed="false">
      <c r="A329" s="3" t="s">
        <v>64</v>
      </c>
      <c r="B329" s="3" t="s">
        <v>121</v>
      </c>
      <c r="C329" s="3" t="s">
        <v>931</v>
      </c>
      <c r="D329" s="3" t="s">
        <v>932</v>
      </c>
      <c r="E329" s="3" t="n">
        <v>1</v>
      </c>
      <c r="F329" s="6" t="n">
        <f aca="false">H329*Pesos!$B$2+I329*Pesos!$B$3+J329*Pesos!$B$4+K329*Pesos!$B$5+L329*Pesos!$B$6+M329*Pesos!$B$7+N329*Pesos!$B$8+O329*Pesos!$B$9+P329*Pesos!$B$10+Q329*Pesos!$B$11+R329*Pesos!$B$12+S329*Pesos!$B$13+T329*Pesos!$B$14+U329*Pesos!$B$15+V329*Pesos!$B$16+W329*Pesos!$B$17+X329*Pesos!$B$18+Y329*Pesos!$B$19+Z329*Pesos!$B$20+AA329*Pesos!$B$21+AB329*Pesos!$B$22+AC329*Pesos!$B$23+AD329*Pesos!$B$24+AE329*Pesos!$B$25+AF329*Pesos!$B$26+AG329*Pesos!$B$27+AH329*Pesos!$B$28+AI329*Pesos!$B$29+AJ329*Pesos!$B$30+AK329*Pesos!$B$31+AL329*Pesos!$B$32+AM329*Pesos!$B$33+AN329*Pesos!$B$34+AO329*Pesos!$B$35+AP329*Pesos!$B$36+AQ329*Pesos!$B$37+AR329*Pesos!$B$38+AS329*Pesos!$B$39+AT329*Pesos!$B$40+AU329*Pesos!$B$41+AV329*Pesos!$B$42+AW329*Pesos!$B$43+AX329*Pesos!$B$44+AY329*Pesos!$B$45+AZ329*Pesos!$B$46+BA329*Pesos!$B$47+BB329*Pesos!$B$48+BC329*Pesos!$B$49+BD329*Pesos!$B$50+BE329*Pesos!$B$51+BF329*Pesos!$B$52+BG329*Pesos!$B$53</f>
        <v>0</v>
      </c>
      <c r="G329" s="6" t="n">
        <f aca="false">E329*F329</f>
        <v>0</v>
      </c>
      <c r="H329" s="3" t="n">
        <v>63</v>
      </c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 t="s">
        <v>933</v>
      </c>
      <c r="BK329" s="3"/>
      <c r="BL329" s="3"/>
      <c r="BM329" s="3"/>
    </row>
    <row r="330" customFormat="false" ht="15" hidden="false" customHeight="false" outlineLevel="0" collapsed="false">
      <c r="A330" s="3" t="s">
        <v>64</v>
      </c>
      <c r="B330" s="3" t="s">
        <v>121</v>
      </c>
      <c r="C330" s="3" t="s">
        <v>934</v>
      </c>
      <c r="D330" s="3" t="s">
        <v>935</v>
      </c>
      <c r="E330" s="3" t="n">
        <v>1</v>
      </c>
      <c r="F330" s="6" t="n">
        <f aca="false">H330*Pesos!$B$2+I330*Pesos!$B$3+J330*Pesos!$B$4+K330*Pesos!$B$5+L330*Pesos!$B$6+M330*Pesos!$B$7+N330*Pesos!$B$8+O330*Pesos!$B$9+P330*Pesos!$B$10+Q330*Pesos!$B$11+R330*Pesos!$B$12+S330*Pesos!$B$13+T330*Pesos!$B$14+U330*Pesos!$B$15+V330*Pesos!$B$16+W330*Pesos!$B$17+X330*Pesos!$B$18+Y330*Pesos!$B$19+Z330*Pesos!$B$20+AA330*Pesos!$B$21+AB330*Pesos!$B$22+AC330*Pesos!$B$23+AD330*Pesos!$B$24+AE330*Pesos!$B$25+AF330*Pesos!$B$26+AG330*Pesos!$B$27+AH330*Pesos!$B$28+AI330*Pesos!$B$29+AJ330*Pesos!$B$30+AK330*Pesos!$B$31+AL330*Pesos!$B$32+AM330*Pesos!$B$33+AN330*Pesos!$B$34+AO330*Pesos!$B$35+AP330*Pesos!$B$36+AQ330*Pesos!$B$37+AR330*Pesos!$B$38+AS330*Pesos!$B$39+AT330*Pesos!$B$40+AU330*Pesos!$B$41+AV330*Pesos!$B$42+AW330*Pesos!$B$43+AX330*Pesos!$B$44+AY330*Pesos!$B$45+AZ330*Pesos!$B$46+BA330*Pesos!$B$47+BB330*Pesos!$B$48+BC330*Pesos!$B$49+BD330*Pesos!$B$50+BE330*Pesos!$B$51+BF330*Pesos!$B$52+BG330*Pesos!$B$53</f>
        <v>22.5</v>
      </c>
      <c r="G330" s="6" t="n">
        <f aca="false">E330*F330</f>
        <v>22.5</v>
      </c>
      <c r="H330" s="3" t="n">
        <v>49</v>
      </c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 t="n">
        <v>1.5</v>
      </c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 t="s">
        <v>936</v>
      </c>
      <c r="BK330" s="3"/>
      <c r="BL330" s="3"/>
      <c r="BM330" s="3"/>
    </row>
    <row r="331" customFormat="false" ht="15" hidden="false" customHeight="false" outlineLevel="0" collapsed="false">
      <c r="A331" s="3" t="s">
        <v>64</v>
      </c>
      <c r="B331" s="3" t="s">
        <v>121</v>
      </c>
      <c r="C331" s="3" t="s">
        <v>937</v>
      </c>
      <c r="D331" s="3" t="s">
        <v>938</v>
      </c>
      <c r="E331" s="3" t="n">
        <v>1</v>
      </c>
      <c r="F331" s="6" t="n">
        <f aca="false">H331*Pesos!$B$2+I331*Pesos!$B$3+J331*Pesos!$B$4+K331*Pesos!$B$5+L331*Pesos!$B$6+M331*Pesos!$B$7+N331*Pesos!$B$8+O331*Pesos!$B$9+P331*Pesos!$B$10+Q331*Pesos!$B$11+R331*Pesos!$B$12+S331*Pesos!$B$13+T331*Pesos!$B$14+U331*Pesos!$B$15+V331*Pesos!$B$16+W331*Pesos!$B$17+X331*Pesos!$B$18+Y331*Pesos!$B$19+Z331*Pesos!$B$20+AA331*Pesos!$B$21+AB331*Pesos!$B$22+AC331*Pesos!$B$23+AD331*Pesos!$B$24+AE331*Pesos!$B$25+AF331*Pesos!$B$26+AG331*Pesos!$B$27+AH331*Pesos!$B$28+AI331*Pesos!$B$29+AJ331*Pesos!$B$30+AK331*Pesos!$B$31+AL331*Pesos!$B$32+AM331*Pesos!$B$33+AN331*Pesos!$B$34+AO331*Pesos!$B$35+AP331*Pesos!$B$36+AQ331*Pesos!$B$37+AR331*Pesos!$B$38+AS331*Pesos!$B$39+AT331*Pesos!$B$40+AU331*Pesos!$B$41+AV331*Pesos!$B$42+AW331*Pesos!$B$43+AX331*Pesos!$B$44+AY331*Pesos!$B$45+AZ331*Pesos!$B$46+BA331*Pesos!$B$47+BB331*Pesos!$B$48+BC331*Pesos!$B$49+BD331*Pesos!$B$50+BE331*Pesos!$B$51+BF331*Pesos!$B$52+BG331*Pesos!$B$53</f>
        <v>200</v>
      </c>
      <c r="G331" s="6" t="n">
        <f aca="false">E331*F331</f>
        <v>200</v>
      </c>
      <c r="H331" s="3" t="n">
        <v>49</v>
      </c>
      <c r="I331" s="3"/>
      <c r="J331" s="3"/>
      <c r="K331" s="3"/>
      <c r="L331" s="3"/>
      <c r="M331" s="3"/>
      <c r="N331" s="3"/>
      <c r="O331" s="3"/>
      <c r="P331" s="3"/>
      <c r="Q331" s="3"/>
      <c r="R331" s="3" t="n">
        <v>2</v>
      </c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customFormat="false" ht="15" hidden="false" customHeight="false" outlineLevel="0" collapsed="false">
      <c r="A332" s="3" t="s">
        <v>64</v>
      </c>
      <c r="B332" s="3" t="s">
        <v>121</v>
      </c>
      <c r="C332" s="3" t="s">
        <v>939</v>
      </c>
      <c r="D332" s="3" t="s">
        <v>940</v>
      </c>
      <c r="E332" s="3" t="n">
        <v>1</v>
      </c>
      <c r="F332" s="6" t="n">
        <f aca="false">H332*Pesos!$B$2+I332*Pesos!$B$3+J332*Pesos!$B$4+K332*Pesos!$B$5+L332*Pesos!$B$6+M332*Pesos!$B$7+N332*Pesos!$B$8+O332*Pesos!$B$9+P332*Pesos!$B$10+Q332*Pesos!$B$11+R332*Pesos!$B$12+S332*Pesos!$B$13+T332*Pesos!$B$14+U332*Pesos!$B$15+V332*Pesos!$B$16+W332*Pesos!$B$17+X332*Pesos!$B$18+Y332*Pesos!$B$19+Z332*Pesos!$B$20+AA332*Pesos!$B$21+AB332*Pesos!$B$22+AC332*Pesos!$B$23+AD332*Pesos!$B$24+AE332*Pesos!$B$25+AF332*Pesos!$B$26+AG332*Pesos!$B$27+AH332*Pesos!$B$28+AI332*Pesos!$B$29+AJ332*Pesos!$B$30+AK332*Pesos!$B$31+AL332*Pesos!$B$32+AM332*Pesos!$B$33+AN332*Pesos!$B$34+AO332*Pesos!$B$35+AP332*Pesos!$B$36+AQ332*Pesos!$B$37+AR332*Pesos!$B$38+AS332*Pesos!$B$39+AT332*Pesos!$B$40+AU332*Pesos!$B$41+AV332*Pesos!$B$42+AW332*Pesos!$B$43+AX332*Pesos!$B$44+AY332*Pesos!$B$45+AZ332*Pesos!$B$46+BA332*Pesos!$B$47+BB332*Pesos!$B$48+BC332*Pesos!$B$49+BD332*Pesos!$B$50+BE332*Pesos!$B$51+BF332*Pesos!$B$52+BG332*Pesos!$B$53</f>
        <v>0</v>
      </c>
      <c r="G332" s="6" t="n">
        <f aca="false">E332*F332</f>
        <v>0</v>
      </c>
      <c r="H332" s="3" t="n">
        <v>84</v>
      </c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 t="s">
        <v>941</v>
      </c>
      <c r="BK332" s="3"/>
      <c r="BL332" s="3"/>
      <c r="BM332" s="3"/>
    </row>
    <row r="333" customFormat="false" ht="15" hidden="false" customHeight="false" outlineLevel="0" collapsed="false">
      <c r="A333" s="3" t="s">
        <v>64</v>
      </c>
      <c r="B333" s="3" t="s">
        <v>121</v>
      </c>
      <c r="C333" s="3" t="s">
        <v>942</v>
      </c>
      <c r="D333" s="3" t="s">
        <v>943</v>
      </c>
      <c r="E333" s="3" t="n">
        <v>1</v>
      </c>
      <c r="F333" s="6" t="n">
        <f aca="false">H333*Pesos!$B$2+I333*Pesos!$B$3+J333*Pesos!$B$4+K333*Pesos!$B$5+L333*Pesos!$B$6+M333*Pesos!$B$7+N333*Pesos!$B$8+O333*Pesos!$B$9+P333*Pesos!$B$10+Q333*Pesos!$B$11+R333*Pesos!$B$12+S333*Pesos!$B$13+T333*Pesos!$B$14+U333*Pesos!$B$15+V333*Pesos!$B$16+W333*Pesos!$B$17+X333*Pesos!$B$18+Y333*Pesos!$B$19+Z333*Pesos!$B$20+AA333*Pesos!$B$21+AB333*Pesos!$B$22+AC333*Pesos!$B$23+AD333*Pesos!$B$24+AE333*Pesos!$B$25+AF333*Pesos!$B$26+AG333*Pesos!$B$27+AH333*Pesos!$B$28+AI333*Pesos!$B$29+AJ333*Pesos!$B$30+AK333*Pesos!$B$31+AL333*Pesos!$B$32+AM333*Pesos!$B$33+AN333*Pesos!$B$34+AO333*Pesos!$B$35+AP333*Pesos!$B$36+AQ333*Pesos!$B$37+AR333*Pesos!$B$38+AS333*Pesos!$B$39+AT333*Pesos!$B$40+AU333*Pesos!$B$41+AV333*Pesos!$B$42+AW333*Pesos!$B$43+AX333*Pesos!$B$44+AY333*Pesos!$B$45+AZ333*Pesos!$B$46+BA333*Pesos!$B$47+BB333*Pesos!$B$48+BC333*Pesos!$B$49+BD333*Pesos!$B$50+BE333*Pesos!$B$51+BF333*Pesos!$B$52+BG333*Pesos!$B$53</f>
        <v>300</v>
      </c>
      <c r="G333" s="6" t="n">
        <f aca="false">E333*F333</f>
        <v>300</v>
      </c>
      <c r="H333" s="3" t="n">
        <v>105</v>
      </c>
      <c r="I333" s="3"/>
      <c r="J333" s="3"/>
      <c r="K333" s="3"/>
      <c r="L333" s="3"/>
      <c r="M333" s="3"/>
      <c r="N333" s="3"/>
      <c r="O333" s="3"/>
      <c r="P333" s="3" t="n">
        <v>1</v>
      </c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customFormat="false" ht="15" hidden="false" customHeight="false" outlineLevel="0" collapsed="false">
      <c r="A334" s="3" t="s">
        <v>64</v>
      </c>
      <c r="B334" s="3" t="s">
        <v>122</v>
      </c>
      <c r="C334" s="3" t="s">
        <v>944</v>
      </c>
      <c r="D334" s="3" t="s">
        <v>945</v>
      </c>
      <c r="E334" s="3" t="n">
        <v>1</v>
      </c>
      <c r="F334" s="6" t="n">
        <f aca="false">H334*Pesos!$B$2+I334*Pesos!$B$3+J334*Pesos!$B$4+K334*Pesos!$B$5+L334*Pesos!$B$6+M334*Pesos!$B$7+N334*Pesos!$B$8+O334*Pesos!$B$9+P334*Pesos!$B$10+Q334*Pesos!$B$11+R334*Pesos!$B$12+S334*Pesos!$B$13+T334*Pesos!$B$14+U334*Pesos!$B$15+V334*Pesos!$B$16+W334*Pesos!$B$17+X334*Pesos!$B$18+Y334*Pesos!$B$19+Z334*Pesos!$B$20+AA334*Pesos!$B$21+AB334*Pesos!$B$22+AC334*Pesos!$B$23+AD334*Pesos!$B$24+AE334*Pesos!$B$25+AF334*Pesos!$B$26+AG334*Pesos!$B$27+AH334*Pesos!$B$28+AI334*Pesos!$B$29+AJ334*Pesos!$B$30+AK334*Pesos!$B$31+AL334*Pesos!$B$32+AM334*Pesos!$B$33+AN334*Pesos!$B$34+AO334*Pesos!$B$35+AP334*Pesos!$B$36+AQ334*Pesos!$B$37+AR334*Pesos!$B$38+AS334*Pesos!$B$39+AT334*Pesos!$B$40+AU334*Pesos!$B$41+AV334*Pesos!$B$42+AW334*Pesos!$B$43+AX334*Pesos!$B$44+AY334*Pesos!$B$45+AZ334*Pesos!$B$46+BA334*Pesos!$B$47+BB334*Pesos!$B$48+BC334*Pesos!$B$49+BD334*Pesos!$B$50+BE334*Pesos!$B$51+BF334*Pesos!$B$52+BG334*Pesos!$B$53</f>
        <v>80</v>
      </c>
      <c r="G334" s="6" t="n">
        <f aca="false">E334*F334</f>
        <v>80</v>
      </c>
      <c r="H334" s="3" t="n">
        <v>49</v>
      </c>
      <c r="I334" s="3" t="n">
        <v>50</v>
      </c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 t="n">
        <v>2</v>
      </c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 t="s">
        <v>946</v>
      </c>
      <c r="BK334" s="3"/>
      <c r="BL334" s="3"/>
      <c r="BM334" s="3"/>
    </row>
    <row r="335" customFormat="false" ht="15" hidden="false" customHeight="false" outlineLevel="0" collapsed="false">
      <c r="A335" s="3" t="s">
        <v>64</v>
      </c>
      <c r="B335" s="3" t="s">
        <v>122</v>
      </c>
      <c r="C335" s="3" t="s">
        <v>947</v>
      </c>
      <c r="D335" s="3" t="s">
        <v>948</v>
      </c>
      <c r="E335" s="3" t="n">
        <v>1</v>
      </c>
      <c r="F335" s="6" t="n">
        <f aca="false">H335*Pesos!$B$2+I335*Pesos!$B$3+J335*Pesos!$B$4+K335*Pesos!$B$5+L335*Pesos!$B$6+M335*Pesos!$B$7+N335*Pesos!$B$8+O335*Pesos!$B$9+P335*Pesos!$B$10+Q335*Pesos!$B$11+R335*Pesos!$B$12+S335*Pesos!$B$13+T335*Pesos!$B$14+U335*Pesos!$B$15+V335*Pesos!$B$16+W335*Pesos!$B$17+X335*Pesos!$B$18+Y335*Pesos!$B$19+Z335*Pesos!$B$20+AA335*Pesos!$B$21+AB335*Pesos!$B$22+AC335*Pesos!$B$23+AD335*Pesos!$B$24+AE335*Pesos!$B$25+AF335*Pesos!$B$26+AG335*Pesos!$B$27+AH335*Pesos!$B$28+AI335*Pesos!$B$29+AJ335*Pesos!$B$30+AK335*Pesos!$B$31+AL335*Pesos!$B$32+AM335*Pesos!$B$33+AN335*Pesos!$B$34+AO335*Pesos!$B$35+AP335*Pesos!$B$36+AQ335*Pesos!$B$37+AR335*Pesos!$B$38+AS335*Pesos!$B$39+AT335*Pesos!$B$40+AU335*Pesos!$B$41+AV335*Pesos!$B$42+AW335*Pesos!$B$43+AX335*Pesos!$B$44+AY335*Pesos!$B$45+AZ335*Pesos!$B$46+BA335*Pesos!$B$47+BB335*Pesos!$B$48+BC335*Pesos!$B$49+BD335*Pesos!$B$50+BE335*Pesos!$B$51+BF335*Pesos!$B$52+BG335*Pesos!$B$53</f>
        <v>86.5</v>
      </c>
      <c r="G335" s="6" t="n">
        <f aca="false">E335*F335</f>
        <v>86.5</v>
      </c>
      <c r="H335" s="3" t="n">
        <v>49</v>
      </c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 t="n">
        <v>0.05</v>
      </c>
      <c r="AB335" s="3" t="n">
        <v>5</v>
      </c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 t="s">
        <v>948</v>
      </c>
      <c r="BI335" s="3"/>
      <c r="BJ335" s="3"/>
      <c r="BK335" s="3"/>
      <c r="BL335" s="3"/>
      <c r="BM335" s="3"/>
    </row>
    <row r="336" customFormat="false" ht="15" hidden="false" customHeight="false" outlineLevel="0" collapsed="false">
      <c r="A336" s="3" t="s">
        <v>64</v>
      </c>
      <c r="B336" s="3" t="s">
        <v>122</v>
      </c>
      <c r="C336" s="3" t="s">
        <v>949</v>
      </c>
      <c r="D336" s="3" t="s">
        <v>950</v>
      </c>
      <c r="E336" s="3" t="n">
        <v>1</v>
      </c>
      <c r="F336" s="6" t="n">
        <f aca="false">H336*Pesos!$B$2+I336*Pesos!$B$3+J336*Pesos!$B$4+K336*Pesos!$B$5+L336*Pesos!$B$6+M336*Pesos!$B$7+N336*Pesos!$B$8+O336*Pesos!$B$9+P336*Pesos!$B$10+Q336*Pesos!$B$11+R336*Pesos!$B$12+S336*Pesos!$B$13+T336*Pesos!$B$14+U336*Pesos!$B$15+V336*Pesos!$B$16+W336*Pesos!$B$17+X336*Pesos!$B$18+Y336*Pesos!$B$19+Z336*Pesos!$B$20+AA336*Pesos!$B$21+AB336*Pesos!$B$22+AC336*Pesos!$B$23+AD336*Pesos!$B$24+AE336*Pesos!$B$25+AF336*Pesos!$B$26+AG336*Pesos!$B$27+AH336*Pesos!$B$28+AI336*Pesos!$B$29+AJ336*Pesos!$B$30+AK336*Pesos!$B$31+AL336*Pesos!$B$32+AM336*Pesos!$B$33+AN336*Pesos!$B$34+AO336*Pesos!$B$35+AP336*Pesos!$B$36+AQ336*Pesos!$B$37+AR336*Pesos!$B$38+AS336*Pesos!$B$39+AT336*Pesos!$B$40+AU336*Pesos!$B$41+AV336*Pesos!$B$42+AW336*Pesos!$B$43+AX336*Pesos!$B$44+AY336*Pesos!$B$45+AZ336*Pesos!$B$46+BA336*Pesos!$B$47+BB336*Pesos!$B$48+BC336*Pesos!$B$49+BD336*Pesos!$B$50+BE336*Pesos!$B$51+BF336*Pesos!$B$52+BG336*Pesos!$B$53</f>
        <v>100</v>
      </c>
      <c r="G336" s="6" t="n">
        <f aca="false">E336*F336</f>
        <v>100</v>
      </c>
      <c r="H336" s="3" t="n">
        <v>63</v>
      </c>
      <c r="I336" s="3"/>
      <c r="J336" s="3"/>
      <c r="K336" s="3"/>
      <c r="L336" s="3"/>
      <c r="M336" s="3"/>
      <c r="N336" s="3"/>
      <c r="O336" s="3"/>
      <c r="P336" s="3"/>
      <c r="Q336" s="3"/>
      <c r="R336" s="3" t="n">
        <v>1</v>
      </c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 t="s">
        <v>925</v>
      </c>
      <c r="BK336" s="3"/>
      <c r="BL336" s="3"/>
      <c r="BM336" s="3"/>
    </row>
    <row r="337" customFormat="false" ht="15" hidden="false" customHeight="false" outlineLevel="0" collapsed="false">
      <c r="A337" s="3" t="s">
        <v>64</v>
      </c>
      <c r="B337" s="3" t="s">
        <v>122</v>
      </c>
      <c r="C337" s="3" t="s">
        <v>951</v>
      </c>
      <c r="D337" s="3" t="s">
        <v>952</v>
      </c>
      <c r="E337" s="3" t="n">
        <v>1</v>
      </c>
      <c r="F337" s="6" t="n">
        <f aca="false">H337*Pesos!$B$2+I337*Pesos!$B$3+J337*Pesos!$B$4+K337*Pesos!$B$5+L337*Pesos!$B$6+M337*Pesos!$B$7+N337*Pesos!$B$8+O337*Pesos!$B$9+P337*Pesos!$B$10+Q337*Pesos!$B$11+R337*Pesos!$B$12+S337*Pesos!$B$13+T337*Pesos!$B$14+U337*Pesos!$B$15+V337*Pesos!$B$16+W337*Pesos!$B$17+X337*Pesos!$B$18+Y337*Pesos!$B$19+Z337*Pesos!$B$20+AA337*Pesos!$B$21+AB337*Pesos!$B$22+AC337*Pesos!$B$23+AD337*Pesos!$B$24+AE337*Pesos!$B$25+AF337*Pesos!$B$26+AG337*Pesos!$B$27+AH337*Pesos!$B$28+AI337*Pesos!$B$29+AJ337*Pesos!$B$30+AK337*Pesos!$B$31+AL337*Pesos!$B$32+AM337*Pesos!$B$33+AN337*Pesos!$B$34+AO337*Pesos!$B$35+AP337*Pesos!$B$36+AQ337*Pesos!$B$37+AR337*Pesos!$B$38+AS337*Pesos!$B$39+AT337*Pesos!$B$40+AU337*Pesos!$B$41+AV337*Pesos!$B$42+AW337*Pesos!$B$43+AX337*Pesos!$B$44+AY337*Pesos!$B$45+AZ337*Pesos!$B$46+BA337*Pesos!$B$47+BB337*Pesos!$B$48+BC337*Pesos!$B$49+BD337*Pesos!$B$50+BE337*Pesos!$B$51+BF337*Pesos!$B$52+BG337*Pesos!$B$53</f>
        <v>25</v>
      </c>
      <c r="G337" s="6" t="n">
        <f aca="false">E337*F337</f>
        <v>25</v>
      </c>
      <c r="H337" s="3" t="n">
        <v>84</v>
      </c>
      <c r="I337" s="3"/>
      <c r="J337" s="3"/>
      <c r="K337" s="3"/>
      <c r="L337" s="3"/>
      <c r="M337" s="3"/>
      <c r="N337" s="3"/>
      <c r="O337" s="3"/>
      <c r="P337" s="3"/>
      <c r="Q337" s="3" t="n">
        <v>1</v>
      </c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 t="s">
        <v>933</v>
      </c>
      <c r="BK337" s="3"/>
      <c r="BL337" s="3"/>
      <c r="BM337" s="3"/>
    </row>
    <row r="338" customFormat="false" ht="15" hidden="false" customHeight="false" outlineLevel="0" collapsed="false">
      <c r="A338" s="3" t="s">
        <v>64</v>
      </c>
      <c r="B338" s="3" t="s">
        <v>122</v>
      </c>
      <c r="C338" s="3" t="s">
        <v>953</v>
      </c>
      <c r="D338" s="3" t="s">
        <v>954</v>
      </c>
      <c r="E338" s="3" t="n">
        <v>1</v>
      </c>
      <c r="F338" s="6" t="n">
        <f aca="false">H338*Pesos!$B$2+I338*Pesos!$B$3+J338*Pesos!$B$4+K338*Pesos!$B$5+L338*Pesos!$B$6+M338*Pesos!$B$7+N338*Pesos!$B$8+O338*Pesos!$B$9+P338*Pesos!$B$10+Q338*Pesos!$B$11+R338*Pesos!$B$12+S338*Pesos!$B$13+T338*Pesos!$B$14+U338*Pesos!$B$15+V338*Pesos!$B$16+W338*Pesos!$B$17+X338*Pesos!$B$18+Y338*Pesos!$B$19+Z338*Pesos!$B$20+AA338*Pesos!$B$21+AB338*Pesos!$B$22+AC338*Pesos!$B$23+AD338*Pesos!$B$24+AE338*Pesos!$B$25+AF338*Pesos!$B$26+AG338*Pesos!$B$27+AH338*Pesos!$B$28+AI338*Pesos!$B$29+AJ338*Pesos!$B$30+AK338*Pesos!$B$31+AL338*Pesos!$B$32+AM338*Pesos!$B$33+AN338*Pesos!$B$34+AO338*Pesos!$B$35+AP338*Pesos!$B$36+AQ338*Pesos!$B$37+AR338*Pesos!$B$38+AS338*Pesos!$B$39+AT338*Pesos!$B$40+AU338*Pesos!$B$41+AV338*Pesos!$B$42+AW338*Pesos!$B$43+AX338*Pesos!$B$44+AY338*Pesos!$B$45+AZ338*Pesos!$B$46+BA338*Pesos!$B$47+BB338*Pesos!$B$48+BC338*Pesos!$B$49+BD338*Pesos!$B$50+BE338*Pesos!$B$51+BF338*Pesos!$B$52+BG338*Pesos!$B$53</f>
        <v>95</v>
      </c>
      <c r="G338" s="6" t="n">
        <f aca="false">E338*F338</f>
        <v>95</v>
      </c>
      <c r="H338" s="3" t="n">
        <v>63</v>
      </c>
      <c r="I338" s="3"/>
      <c r="J338" s="3" t="n">
        <v>10</v>
      </c>
      <c r="K338" s="3" t="n">
        <v>5</v>
      </c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 t="n">
        <v>-3</v>
      </c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 t="s">
        <v>955</v>
      </c>
      <c r="BK338" s="3"/>
      <c r="BL338" s="3"/>
      <c r="BM338" s="3"/>
    </row>
    <row r="339" customFormat="false" ht="15" hidden="false" customHeight="false" outlineLevel="0" collapsed="false">
      <c r="A339" s="3" t="s">
        <v>64</v>
      </c>
      <c r="B339" s="3" t="s">
        <v>122</v>
      </c>
      <c r="C339" s="3" t="s">
        <v>956</v>
      </c>
      <c r="D339" s="3" t="s">
        <v>957</v>
      </c>
      <c r="E339" s="3" t="n">
        <v>1</v>
      </c>
      <c r="F339" s="6" t="n">
        <f aca="false">H339*Pesos!$B$2+I339*Pesos!$B$3+J339*Pesos!$B$4+K339*Pesos!$B$5+L339*Pesos!$B$6+M339*Pesos!$B$7+N339*Pesos!$B$8+O339*Pesos!$B$9+P339*Pesos!$B$10+Q339*Pesos!$B$11+R339*Pesos!$B$12+S339*Pesos!$B$13+T339*Pesos!$B$14+U339*Pesos!$B$15+V339*Pesos!$B$16+W339*Pesos!$B$17+X339*Pesos!$B$18+Y339*Pesos!$B$19+Z339*Pesos!$B$20+AA339*Pesos!$B$21+AB339*Pesos!$B$22+AC339*Pesos!$B$23+AD339*Pesos!$B$24+AE339*Pesos!$B$25+AF339*Pesos!$B$26+AG339*Pesos!$B$27+AH339*Pesos!$B$28+AI339*Pesos!$B$29+AJ339*Pesos!$B$30+AK339*Pesos!$B$31+AL339*Pesos!$B$32+AM339*Pesos!$B$33+AN339*Pesos!$B$34+AO339*Pesos!$B$35+AP339*Pesos!$B$36+AQ339*Pesos!$B$37+AR339*Pesos!$B$38+AS339*Pesos!$B$39+AT339*Pesos!$B$40+AU339*Pesos!$B$41+AV339*Pesos!$B$42+AW339*Pesos!$B$43+AX339*Pesos!$B$44+AY339*Pesos!$B$45+AZ339*Pesos!$B$46+BA339*Pesos!$B$47+BB339*Pesos!$B$48+BC339*Pesos!$B$49+BD339*Pesos!$B$50+BE339*Pesos!$B$51+BF339*Pesos!$B$52+BG339*Pesos!$B$53</f>
        <v>251.5</v>
      </c>
      <c r="G339" s="6" t="n">
        <f aca="false">E339*F339</f>
        <v>251.5</v>
      </c>
      <c r="H339" s="3" t="n">
        <v>105</v>
      </c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 t="n">
        <v>0.05</v>
      </c>
      <c r="AB339" s="3" t="n">
        <v>10</v>
      </c>
      <c r="AC339" s="3" t="n">
        <v>5</v>
      </c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 t="n">
        <v>5</v>
      </c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 t="s">
        <v>957</v>
      </c>
      <c r="BI339" s="3"/>
      <c r="BJ339" s="3"/>
      <c r="BK339" s="3"/>
      <c r="BL339" s="3"/>
      <c r="BM339" s="3"/>
    </row>
    <row r="340" customFormat="false" ht="15" hidden="false" customHeight="false" outlineLevel="0" collapsed="false">
      <c r="A340" s="3" t="s">
        <v>65</v>
      </c>
      <c r="B340" s="3" t="s">
        <v>123</v>
      </c>
      <c r="C340" s="3" t="s">
        <v>958</v>
      </c>
      <c r="D340" s="3" t="s">
        <v>959</v>
      </c>
      <c r="E340" s="3" t="n">
        <v>1</v>
      </c>
      <c r="F340" s="6" t="n">
        <f aca="false">H340*Pesos!$B$2+I340*Pesos!$B$3+J340*Pesos!$B$4+K340*Pesos!$B$5+L340*Pesos!$B$6+M340*Pesos!$B$7+N340*Pesos!$B$8+O340*Pesos!$B$9+P340*Pesos!$B$10+Q340*Pesos!$B$11+R340*Pesos!$B$12+S340*Pesos!$B$13+T340*Pesos!$B$14+U340*Pesos!$B$15+V340*Pesos!$B$16+W340*Pesos!$B$17+X340*Pesos!$B$18+Y340*Pesos!$B$19+Z340*Pesos!$B$20+AA340*Pesos!$B$21+AB340*Pesos!$B$22+AC340*Pesos!$B$23+AD340*Pesos!$B$24+AE340*Pesos!$B$25+AF340*Pesos!$B$26+AG340*Pesos!$B$27+AH340*Pesos!$B$28+AI340*Pesos!$B$29+AJ340*Pesos!$B$30+AK340*Pesos!$B$31+AL340*Pesos!$B$32+AM340*Pesos!$B$33+AN340*Pesos!$B$34+AO340*Pesos!$B$35+AP340*Pesos!$B$36+AQ340*Pesos!$B$37+AR340*Pesos!$B$38+AS340*Pesos!$B$39+AT340*Pesos!$B$40+AU340*Pesos!$B$41+AV340*Pesos!$B$42+AW340*Pesos!$B$43+AX340*Pesos!$B$44+AY340*Pesos!$B$45+AZ340*Pesos!$B$46+BA340*Pesos!$B$47+BB340*Pesos!$B$48+BC340*Pesos!$B$49+BD340*Pesos!$B$50+BE340*Pesos!$B$51+BF340*Pesos!$B$52+BG340*Pesos!$B$53</f>
        <v>100</v>
      </c>
      <c r="G340" s="6" t="n">
        <f aca="false">E340*F340</f>
        <v>100</v>
      </c>
      <c r="H340" s="3" t="n">
        <v>49</v>
      </c>
      <c r="I340" s="3" t="n">
        <v>100</v>
      </c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customFormat="false" ht="15" hidden="false" customHeight="false" outlineLevel="0" collapsed="false">
      <c r="A341" s="3" t="s">
        <v>65</v>
      </c>
      <c r="B341" s="3" t="s">
        <v>123</v>
      </c>
      <c r="C341" s="3" t="s">
        <v>960</v>
      </c>
      <c r="D341" s="3" t="s">
        <v>961</v>
      </c>
      <c r="E341" s="3" t="n">
        <v>1</v>
      </c>
      <c r="F341" s="6" t="n">
        <f aca="false">H341*Pesos!$B$2+I341*Pesos!$B$3+J341*Pesos!$B$4+K341*Pesos!$B$5+L341*Pesos!$B$6+M341*Pesos!$B$7+N341*Pesos!$B$8+O341*Pesos!$B$9+P341*Pesos!$B$10+Q341*Pesos!$B$11+R341*Pesos!$B$12+S341*Pesos!$B$13+T341*Pesos!$B$14+U341*Pesos!$B$15+V341*Pesos!$B$16+W341*Pesos!$B$17+X341*Pesos!$B$18+Y341*Pesos!$B$19+Z341*Pesos!$B$20+AA341*Pesos!$B$21+AB341*Pesos!$B$22+AC341*Pesos!$B$23+AD341*Pesos!$B$24+AE341*Pesos!$B$25+AF341*Pesos!$B$26+AG341*Pesos!$B$27+AH341*Pesos!$B$28+AI341*Pesos!$B$29+AJ341*Pesos!$B$30+AK341*Pesos!$B$31+AL341*Pesos!$B$32+AM341*Pesos!$B$33+AN341*Pesos!$B$34+AO341*Pesos!$B$35+AP341*Pesos!$B$36+AQ341*Pesos!$B$37+AR341*Pesos!$B$38+AS341*Pesos!$B$39+AT341*Pesos!$B$40+AU341*Pesos!$B$41+AV341*Pesos!$B$42+AW341*Pesos!$B$43+AX341*Pesos!$B$44+AY341*Pesos!$B$45+AZ341*Pesos!$B$46+BA341*Pesos!$B$47+BB341*Pesos!$B$48+BC341*Pesos!$B$49+BD341*Pesos!$B$50+BE341*Pesos!$B$51+BF341*Pesos!$B$52+BG341*Pesos!$B$53</f>
        <v>80</v>
      </c>
      <c r="G341" s="6" t="n">
        <f aca="false">E341*F341</f>
        <v>80</v>
      </c>
      <c r="H341" s="3" t="n">
        <v>49</v>
      </c>
      <c r="I341" s="3" t="n">
        <v>50</v>
      </c>
      <c r="J341" s="3" t="n">
        <v>3</v>
      </c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customFormat="false" ht="15" hidden="false" customHeight="false" outlineLevel="0" collapsed="false">
      <c r="A342" s="3" t="s">
        <v>65</v>
      </c>
      <c r="B342" s="3" t="s">
        <v>123</v>
      </c>
      <c r="C342" s="3" t="s">
        <v>962</v>
      </c>
      <c r="D342" s="3" t="s">
        <v>963</v>
      </c>
      <c r="E342" s="3" t="n">
        <v>0.5</v>
      </c>
      <c r="F342" s="6" t="n">
        <f aca="false">H342*Pesos!$B$2+I342*Pesos!$B$3+J342*Pesos!$B$4+K342*Pesos!$B$5+L342*Pesos!$B$6+M342*Pesos!$B$7+N342*Pesos!$B$8+O342*Pesos!$B$9+P342*Pesos!$B$10+Q342*Pesos!$B$11+R342*Pesos!$B$12+S342*Pesos!$B$13+T342*Pesos!$B$14+U342*Pesos!$B$15+V342*Pesos!$B$16+W342*Pesos!$B$17+X342*Pesos!$B$18+Y342*Pesos!$B$19+Z342*Pesos!$B$20+AA342*Pesos!$B$21+AB342*Pesos!$B$22+AC342*Pesos!$B$23+AD342*Pesos!$B$24+AE342*Pesos!$B$25+AF342*Pesos!$B$26+AG342*Pesos!$B$27+AH342*Pesos!$B$28+AI342*Pesos!$B$29+AJ342*Pesos!$B$30+AK342*Pesos!$B$31+AL342*Pesos!$B$32+AM342*Pesos!$B$33+AN342*Pesos!$B$34+AO342*Pesos!$B$35+AP342*Pesos!$B$36+AQ342*Pesos!$B$37+AR342*Pesos!$B$38+AS342*Pesos!$B$39+AT342*Pesos!$B$40+AU342*Pesos!$B$41+AV342*Pesos!$B$42+AW342*Pesos!$B$43+AX342*Pesos!$B$44+AY342*Pesos!$B$45+AZ342*Pesos!$B$46+BA342*Pesos!$B$47+BB342*Pesos!$B$48+BC342*Pesos!$B$49+BD342*Pesos!$B$50+BE342*Pesos!$B$51+BF342*Pesos!$B$52+BG342*Pesos!$B$53</f>
        <v>130</v>
      </c>
      <c r="G342" s="6" t="n">
        <f aca="false">E342*F342</f>
        <v>65</v>
      </c>
      <c r="H342" s="3" t="n">
        <v>49</v>
      </c>
      <c r="I342" s="3" t="n">
        <v>100</v>
      </c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 t="n">
        <v>-2</v>
      </c>
      <c r="AH342" s="3"/>
      <c r="AI342" s="3"/>
      <c r="AJ342" s="3"/>
      <c r="AK342" s="3"/>
      <c r="AL342" s="3"/>
      <c r="AM342" s="3"/>
      <c r="AN342" s="3"/>
      <c r="AO342" s="3"/>
      <c r="AP342" s="3" t="n">
        <v>3</v>
      </c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 t="s">
        <v>964</v>
      </c>
    </row>
    <row r="343" customFormat="false" ht="15" hidden="false" customHeight="false" outlineLevel="0" collapsed="false">
      <c r="A343" s="3" t="s">
        <v>65</v>
      </c>
      <c r="B343" s="3" t="s">
        <v>123</v>
      </c>
      <c r="C343" s="3" t="s">
        <v>965</v>
      </c>
      <c r="D343" s="3" t="s">
        <v>966</v>
      </c>
      <c r="E343" s="3" t="n">
        <v>0.5</v>
      </c>
      <c r="F343" s="6" t="n">
        <f aca="false">H343*Pesos!$B$2+I343*Pesos!$B$3+J343*Pesos!$B$4+K343*Pesos!$B$5+L343*Pesos!$B$6+M343*Pesos!$B$7+N343*Pesos!$B$8+O343*Pesos!$B$9+P343*Pesos!$B$10+Q343*Pesos!$B$11+R343*Pesos!$B$12+S343*Pesos!$B$13+T343*Pesos!$B$14+U343*Pesos!$B$15+V343*Pesos!$B$16+W343*Pesos!$B$17+X343*Pesos!$B$18+Y343*Pesos!$B$19+Z343*Pesos!$B$20+AA343*Pesos!$B$21+AB343*Pesos!$B$22+AC343*Pesos!$B$23+AD343*Pesos!$B$24+AE343*Pesos!$B$25+AF343*Pesos!$B$26+AG343*Pesos!$B$27+AH343*Pesos!$B$28+AI343*Pesos!$B$29+AJ343*Pesos!$B$30+AK343*Pesos!$B$31+AL343*Pesos!$B$32+AM343*Pesos!$B$33+AN343*Pesos!$B$34+AO343*Pesos!$B$35+AP343*Pesos!$B$36+AQ343*Pesos!$B$37+AR343*Pesos!$B$38+AS343*Pesos!$B$39+AT343*Pesos!$B$40+AU343*Pesos!$B$41+AV343*Pesos!$B$42+AW343*Pesos!$B$43+AX343*Pesos!$B$44+AY343*Pesos!$B$45+AZ343*Pesos!$B$46+BA343*Pesos!$B$47+BB343*Pesos!$B$48+BC343*Pesos!$B$49+BD343*Pesos!$B$50+BE343*Pesos!$B$51+BF343*Pesos!$B$52+BG343*Pesos!$B$53</f>
        <v>148</v>
      </c>
      <c r="G343" s="6" t="n">
        <f aca="false">E343*F343</f>
        <v>74</v>
      </c>
      <c r="H343" s="3" t="n">
        <v>49</v>
      </c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 t="n">
        <v>0.1</v>
      </c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 t="n">
        <v>5</v>
      </c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 t="s">
        <v>966</v>
      </c>
      <c r="BI343" s="3"/>
      <c r="BJ343" s="3"/>
      <c r="BK343" s="3"/>
      <c r="BL343" s="3"/>
      <c r="BM343" s="3"/>
    </row>
    <row r="344" customFormat="false" ht="15" hidden="false" customHeight="false" outlineLevel="0" collapsed="false">
      <c r="A344" s="3" t="s">
        <v>65</v>
      </c>
      <c r="B344" s="3" t="s">
        <v>123</v>
      </c>
      <c r="C344" s="3" t="s">
        <v>967</v>
      </c>
      <c r="D344" s="3" t="s">
        <v>968</v>
      </c>
      <c r="E344" s="3" t="n">
        <v>0.5</v>
      </c>
      <c r="F344" s="6" t="n">
        <f aca="false">H344*Pesos!$B$2+I344*Pesos!$B$3+J344*Pesos!$B$4+K344*Pesos!$B$5+L344*Pesos!$B$6+M344*Pesos!$B$7+N344*Pesos!$B$8+O344*Pesos!$B$9+P344*Pesos!$B$10+Q344*Pesos!$B$11+R344*Pesos!$B$12+S344*Pesos!$B$13+T344*Pesos!$B$14+U344*Pesos!$B$15+V344*Pesos!$B$16+W344*Pesos!$B$17+X344*Pesos!$B$18+Y344*Pesos!$B$19+Z344*Pesos!$B$20+AA344*Pesos!$B$21+AB344*Pesos!$B$22+AC344*Pesos!$B$23+AD344*Pesos!$B$24+AE344*Pesos!$B$25+AF344*Pesos!$B$26+AG344*Pesos!$B$27+AH344*Pesos!$B$28+AI344*Pesos!$B$29+AJ344*Pesos!$B$30+AK344*Pesos!$B$31+AL344*Pesos!$B$32+AM344*Pesos!$B$33+AN344*Pesos!$B$34+AO344*Pesos!$B$35+AP344*Pesos!$B$36+AQ344*Pesos!$B$37+AR344*Pesos!$B$38+AS344*Pesos!$B$39+AT344*Pesos!$B$40+AU344*Pesos!$B$41+AV344*Pesos!$B$42+AW344*Pesos!$B$43+AX344*Pesos!$B$44+AY344*Pesos!$B$45+AZ344*Pesos!$B$46+BA344*Pesos!$B$47+BB344*Pesos!$B$48+BC344*Pesos!$B$49+BD344*Pesos!$B$50+BE344*Pesos!$B$51+BF344*Pesos!$B$52+BG344*Pesos!$B$53</f>
        <v>70</v>
      </c>
      <c r="G344" s="6" t="n">
        <f aca="false">E344*F344</f>
        <v>35</v>
      </c>
      <c r="H344" s="3" t="n">
        <v>49</v>
      </c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 t="n">
        <v>11.2</v>
      </c>
      <c r="AC344" s="3"/>
      <c r="AD344" s="3"/>
      <c r="AE344" s="3"/>
      <c r="AF344" s="3"/>
      <c r="AG344" s="3" t="n">
        <v>-0.8</v>
      </c>
      <c r="AH344" s="3"/>
      <c r="AI344" s="3"/>
      <c r="AJ344" s="3"/>
      <c r="AK344" s="3"/>
      <c r="AL344" s="3"/>
      <c r="AM344" s="3"/>
      <c r="AN344" s="3"/>
      <c r="AO344" s="3"/>
      <c r="AP344" s="3" t="n">
        <v>-0.6</v>
      </c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 t="s">
        <v>968</v>
      </c>
      <c r="BI344" s="3"/>
      <c r="BJ344" s="3" t="s">
        <v>969</v>
      </c>
      <c r="BK344" s="3"/>
      <c r="BL344" s="3"/>
      <c r="BM344" s="3"/>
    </row>
    <row r="345" customFormat="false" ht="15" hidden="false" customHeight="false" outlineLevel="0" collapsed="false">
      <c r="A345" s="3" t="s">
        <v>65</v>
      </c>
      <c r="B345" s="3" t="s">
        <v>123</v>
      </c>
      <c r="C345" s="3" t="s">
        <v>970</v>
      </c>
      <c r="D345" s="3" t="s">
        <v>971</v>
      </c>
      <c r="E345" s="3" t="n">
        <v>0.5</v>
      </c>
      <c r="F345" s="6" t="n">
        <f aca="false">H345*Pesos!$B$2+I345*Pesos!$B$3+J345*Pesos!$B$4+K345*Pesos!$B$5+L345*Pesos!$B$6+M345*Pesos!$B$7+N345*Pesos!$B$8+O345*Pesos!$B$9+P345*Pesos!$B$10+Q345*Pesos!$B$11+R345*Pesos!$B$12+S345*Pesos!$B$13+T345*Pesos!$B$14+U345*Pesos!$B$15+V345*Pesos!$B$16+W345*Pesos!$B$17+X345*Pesos!$B$18+Y345*Pesos!$B$19+Z345*Pesos!$B$20+AA345*Pesos!$B$21+AB345*Pesos!$B$22+AC345*Pesos!$B$23+AD345*Pesos!$B$24+AE345*Pesos!$B$25+AF345*Pesos!$B$26+AG345*Pesos!$B$27+AH345*Pesos!$B$28+AI345*Pesos!$B$29+AJ345*Pesos!$B$30+AK345*Pesos!$B$31+AL345*Pesos!$B$32+AM345*Pesos!$B$33+AN345*Pesos!$B$34+AO345*Pesos!$B$35+AP345*Pesos!$B$36+AQ345*Pesos!$B$37+AR345*Pesos!$B$38+AS345*Pesos!$B$39+AT345*Pesos!$B$40+AU345*Pesos!$B$41+AV345*Pesos!$B$42+AW345*Pesos!$B$43+AX345*Pesos!$B$44+AY345*Pesos!$B$45+AZ345*Pesos!$B$46+BA345*Pesos!$B$47+BB345*Pesos!$B$48+BC345*Pesos!$B$49+BD345*Pesos!$B$50+BE345*Pesos!$B$51+BF345*Pesos!$B$52+BG345*Pesos!$B$53</f>
        <v>70</v>
      </c>
      <c r="G345" s="6" t="n">
        <f aca="false">E345*F345</f>
        <v>35</v>
      </c>
      <c r="H345" s="3" t="n">
        <v>63</v>
      </c>
      <c r="I345" s="3" t="n">
        <v>50</v>
      </c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 t="n">
        <v>1</v>
      </c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customFormat="false" ht="15" hidden="false" customHeight="false" outlineLevel="0" collapsed="false">
      <c r="A346" s="3" t="s">
        <v>65</v>
      </c>
      <c r="B346" s="3" t="s">
        <v>123</v>
      </c>
      <c r="C346" s="3" t="s">
        <v>972</v>
      </c>
      <c r="D346" s="3" t="s">
        <v>973</v>
      </c>
      <c r="E346" s="3" t="n">
        <v>0.5</v>
      </c>
      <c r="F346" s="6" t="n">
        <f aca="false">H346*Pesos!$B$2+I346*Pesos!$B$3+J346*Pesos!$B$4+K346*Pesos!$B$5+L346*Pesos!$B$6+M346*Pesos!$B$7+N346*Pesos!$B$8+O346*Pesos!$B$9+P346*Pesos!$B$10+Q346*Pesos!$B$11+R346*Pesos!$B$12+S346*Pesos!$B$13+T346*Pesos!$B$14+U346*Pesos!$B$15+V346*Pesos!$B$16+W346*Pesos!$B$17+X346*Pesos!$B$18+Y346*Pesos!$B$19+Z346*Pesos!$B$20+AA346*Pesos!$B$21+AB346*Pesos!$B$22+AC346*Pesos!$B$23+AD346*Pesos!$B$24+AE346*Pesos!$B$25+AF346*Pesos!$B$26+AG346*Pesos!$B$27+AH346*Pesos!$B$28+AI346*Pesos!$B$29+AJ346*Pesos!$B$30+AK346*Pesos!$B$31+AL346*Pesos!$B$32+AM346*Pesos!$B$33+AN346*Pesos!$B$34+AO346*Pesos!$B$35+AP346*Pesos!$B$36+AQ346*Pesos!$B$37+AR346*Pesos!$B$38+AS346*Pesos!$B$39+AT346*Pesos!$B$40+AU346*Pesos!$B$41+AV346*Pesos!$B$42+AW346*Pesos!$B$43+AX346*Pesos!$B$44+AY346*Pesos!$B$45+AZ346*Pesos!$B$46+BA346*Pesos!$B$47+BB346*Pesos!$B$48+BC346*Pesos!$B$49+BD346*Pesos!$B$50+BE346*Pesos!$B$51+BF346*Pesos!$B$52+BG346*Pesos!$B$53</f>
        <v>70</v>
      </c>
      <c r="G346" s="6" t="n">
        <f aca="false">E346*F346</f>
        <v>35</v>
      </c>
      <c r="H346" s="3" t="n">
        <v>63</v>
      </c>
      <c r="I346" s="3" t="n">
        <v>50</v>
      </c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 t="n">
        <v>1</v>
      </c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customFormat="false" ht="15" hidden="false" customHeight="false" outlineLevel="0" collapsed="false">
      <c r="A347" s="3" t="s">
        <v>65</v>
      </c>
      <c r="B347" s="3" t="s">
        <v>123</v>
      </c>
      <c r="C347" s="3" t="s">
        <v>974</v>
      </c>
      <c r="D347" s="3" t="s">
        <v>975</v>
      </c>
      <c r="E347" s="3" t="n">
        <v>0.5</v>
      </c>
      <c r="F347" s="6" t="n">
        <f aca="false">H347*Pesos!$B$2+I347*Pesos!$B$3+J347*Pesos!$B$4+K347*Pesos!$B$5+L347*Pesos!$B$6+M347*Pesos!$B$7+N347*Pesos!$B$8+O347*Pesos!$B$9+P347*Pesos!$B$10+Q347*Pesos!$B$11+R347*Pesos!$B$12+S347*Pesos!$B$13+T347*Pesos!$B$14+U347*Pesos!$B$15+V347*Pesos!$B$16+W347*Pesos!$B$17+X347*Pesos!$B$18+Y347*Pesos!$B$19+Z347*Pesos!$B$20+AA347*Pesos!$B$21+AB347*Pesos!$B$22+AC347*Pesos!$B$23+AD347*Pesos!$B$24+AE347*Pesos!$B$25+AF347*Pesos!$B$26+AG347*Pesos!$B$27+AH347*Pesos!$B$28+AI347*Pesos!$B$29+AJ347*Pesos!$B$30+AK347*Pesos!$B$31+AL347*Pesos!$B$32+AM347*Pesos!$B$33+AN347*Pesos!$B$34+AO347*Pesos!$B$35+AP347*Pesos!$B$36+AQ347*Pesos!$B$37+AR347*Pesos!$B$38+AS347*Pesos!$B$39+AT347*Pesos!$B$40+AU347*Pesos!$B$41+AV347*Pesos!$B$42+AW347*Pesos!$B$43+AX347*Pesos!$B$44+AY347*Pesos!$B$45+AZ347*Pesos!$B$46+BA347*Pesos!$B$47+BB347*Pesos!$B$48+BC347*Pesos!$B$49+BD347*Pesos!$B$50+BE347*Pesos!$B$51+BF347*Pesos!$B$52+BG347*Pesos!$B$53</f>
        <v>609.5</v>
      </c>
      <c r="G347" s="6" t="n">
        <f aca="false">E347*F347</f>
        <v>304.75</v>
      </c>
      <c r="H347" s="3" t="n">
        <v>84</v>
      </c>
      <c r="I347" s="3"/>
      <c r="J347" s="3"/>
      <c r="K347" s="3"/>
      <c r="L347" s="3"/>
      <c r="M347" s="3"/>
      <c r="N347" s="3"/>
      <c r="O347" s="3"/>
      <c r="P347" s="3" t="n">
        <v>1</v>
      </c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 t="n">
        <v>0.15</v>
      </c>
      <c r="AB347" s="3" t="n">
        <v>5</v>
      </c>
      <c r="AC347" s="3"/>
      <c r="AD347" s="3"/>
      <c r="AE347" s="3"/>
      <c r="AF347" s="3"/>
      <c r="AG347" s="3"/>
      <c r="AH347" s="3"/>
      <c r="AI347" s="3" t="n">
        <v>10</v>
      </c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 t="s">
        <v>976</v>
      </c>
      <c r="BI347" s="3"/>
      <c r="BJ347" s="3"/>
      <c r="BK347" s="3"/>
      <c r="BL347" s="3"/>
      <c r="BM347" s="3"/>
    </row>
    <row r="348" customFormat="false" ht="15" hidden="false" customHeight="false" outlineLevel="0" collapsed="false">
      <c r="A348" s="3" t="s">
        <v>65</v>
      </c>
      <c r="B348" s="3" t="s">
        <v>123</v>
      </c>
      <c r="C348" s="3" t="s">
        <v>977</v>
      </c>
      <c r="D348" s="3" t="s">
        <v>978</v>
      </c>
      <c r="E348" s="3" t="n">
        <v>0.5</v>
      </c>
      <c r="F348" s="6" t="n">
        <f aca="false">H348*Pesos!$B$2+I348*Pesos!$B$3+J348*Pesos!$B$4+K348*Pesos!$B$5+L348*Pesos!$B$6+M348*Pesos!$B$7+N348*Pesos!$B$8+O348*Pesos!$B$9+P348*Pesos!$B$10+Q348*Pesos!$B$11+R348*Pesos!$B$12+S348*Pesos!$B$13+T348*Pesos!$B$14+U348*Pesos!$B$15+V348*Pesos!$B$16+W348*Pesos!$B$17+X348*Pesos!$B$18+Y348*Pesos!$B$19+Z348*Pesos!$B$20+AA348*Pesos!$B$21+AB348*Pesos!$B$22+AC348*Pesos!$B$23+AD348*Pesos!$B$24+AE348*Pesos!$B$25+AF348*Pesos!$B$26+AG348*Pesos!$B$27+AH348*Pesos!$B$28+AI348*Pesos!$B$29+AJ348*Pesos!$B$30+AK348*Pesos!$B$31+AL348*Pesos!$B$32+AM348*Pesos!$B$33+AN348*Pesos!$B$34+AO348*Pesos!$B$35+AP348*Pesos!$B$36+AQ348*Pesos!$B$37+AR348*Pesos!$B$38+AS348*Pesos!$B$39+AT348*Pesos!$B$40+AU348*Pesos!$B$41+AV348*Pesos!$B$42+AW348*Pesos!$B$43+AX348*Pesos!$B$44+AY348*Pesos!$B$45+AZ348*Pesos!$B$46+BA348*Pesos!$B$47+BB348*Pesos!$B$48+BC348*Pesos!$B$49+BD348*Pesos!$B$50+BE348*Pesos!$B$51+BF348*Pesos!$B$52+BG348*Pesos!$B$53</f>
        <v>50</v>
      </c>
      <c r="G348" s="6" t="n">
        <f aca="false">E348*F348</f>
        <v>25</v>
      </c>
      <c r="H348" s="3" t="n">
        <v>105</v>
      </c>
      <c r="I348" s="3" t="n">
        <v>50</v>
      </c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 t="s">
        <v>979</v>
      </c>
      <c r="BL348" s="3"/>
      <c r="BM348" s="3"/>
    </row>
    <row r="349" customFormat="false" ht="15" hidden="false" customHeight="false" outlineLevel="0" collapsed="false">
      <c r="A349" s="3" t="s">
        <v>65</v>
      </c>
      <c r="B349" s="3" t="s">
        <v>124</v>
      </c>
      <c r="C349" s="3" t="s">
        <v>964</v>
      </c>
      <c r="D349" s="3" t="s">
        <v>980</v>
      </c>
      <c r="E349" s="3" t="n">
        <v>0.5</v>
      </c>
      <c r="F349" s="6" t="n">
        <f aca="false">H349*Pesos!$B$2+I349*Pesos!$B$3+J349*Pesos!$B$4+K349*Pesos!$B$5+L349*Pesos!$B$6+M349*Pesos!$B$7+N349*Pesos!$B$8+O349*Pesos!$B$9+P349*Pesos!$B$10+Q349*Pesos!$B$11+R349*Pesos!$B$12+S349*Pesos!$B$13+T349*Pesos!$B$14+U349*Pesos!$B$15+V349*Pesos!$B$16+W349*Pesos!$B$17+X349*Pesos!$B$18+Y349*Pesos!$B$19+Z349*Pesos!$B$20+AA349*Pesos!$B$21+AB349*Pesos!$B$22+AC349*Pesos!$B$23+AD349*Pesos!$B$24+AE349*Pesos!$B$25+AF349*Pesos!$B$26+AG349*Pesos!$B$27+AH349*Pesos!$B$28+AI349*Pesos!$B$29+AJ349*Pesos!$B$30+AK349*Pesos!$B$31+AL349*Pesos!$B$32+AM349*Pesos!$B$33+AN349*Pesos!$B$34+AO349*Pesos!$B$35+AP349*Pesos!$B$36+AQ349*Pesos!$B$37+AR349*Pesos!$B$38+AS349*Pesos!$B$39+AT349*Pesos!$B$40+AU349*Pesos!$B$41+AV349*Pesos!$B$42+AW349*Pesos!$B$43+AX349*Pesos!$B$44+AY349*Pesos!$B$45+AZ349*Pesos!$B$46+BA349*Pesos!$B$47+BB349*Pesos!$B$48+BC349*Pesos!$B$49+BD349*Pesos!$B$50+BE349*Pesos!$B$51+BF349*Pesos!$B$52+BG349*Pesos!$B$53</f>
        <v>218.5</v>
      </c>
      <c r="G349" s="6" t="n">
        <f aca="false">E349*F349</f>
        <v>109.25</v>
      </c>
      <c r="H349" s="3" t="n">
        <v>35</v>
      </c>
      <c r="I349" s="3"/>
      <c r="J349" s="3"/>
      <c r="K349" s="3" t="n">
        <v>10</v>
      </c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 t="n">
        <v>0.15</v>
      </c>
      <c r="AB349" s="3" t="n">
        <v>-5.8</v>
      </c>
      <c r="AC349" s="3"/>
      <c r="AD349" s="3"/>
      <c r="AE349" s="3"/>
      <c r="AF349" s="3"/>
      <c r="AG349" s="3" t="n">
        <v>-2.4</v>
      </c>
      <c r="AH349" s="3"/>
      <c r="AI349" s="3" t="n">
        <v>-5</v>
      </c>
      <c r="AJ349" s="3"/>
      <c r="AK349" s="3"/>
      <c r="AL349" s="3"/>
      <c r="AM349" s="3"/>
      <c r="AN349" s="3"/>
      <c r="AO349" s="3"/>
      <c r="AP349" s="3" t="n">
        <v>7.8</v>
      </c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 t="s">
        <v>981</v>
      </c>
      <c r="BI349" s="3"/>
      <c r="BJ349" s="3" t="s">
        <v>982</v>
      </c>
      <c r="BK349" s="3" t="s">
        <v>983</v>
      </c>
      <c r="BL349" s="3"/>
      <c r="BM349" s="3" t="s">
        <v>962</v>
      </c>
    </row>
    <row r="350" customFormat="false" ht="15" hidden="false" customHeight="false" outlineLevel="0" collapsed="false">
      <c r="A350" s="3" t="s">
        <v>65</v>
      </c>
      <c r="B350" s="3" t="s">
        <v>124</v>
      </c>
      <c r="C350" s="3" t="s">
        <v>984</v>
      </c>
      <c r="D350" s="3" t="s">
        <v>985</v>
      </c>
      <c r="E350" s="3" t="n">
        <v>0.5</v>
      </c>
      <c r="F350" s="6" t="n">
        <f aca="false">H350*Pesos!$B$2+I350*Pesos!$B$3+J350*Pesos!$B$4+K350*Pesos!$B$5+L350*Pesos!$B$6+M350*Pesos!$B$7+N350*Pesos!$B$8+O350*Pesos!$B$9+P350*Pesos!$B$10+Q350*Pesos!$B$11+R350*Pesos!$B$12+S350*Pesos!$B$13+T350*Pesos!$B$14+U350*Pesos!$B$15+V350*Pesos!$B$16+W350*Pesos!$B$17+X350*Pesos!$B$18+Y350*Pesos!$B$19+Z350*Pesos!$B$20+AA350*Pesos!$B$21+AB350*Pesos!$B$22+AC350*Pesos!$B$23+AD350*Pesos!$B$24+AE350*Pesos!$B$25+AF350*Pesos!$B$26+AG350*Pesos!$B$27+AH350*Pesos!$B$28+AI350*Pesos!$B$29+AJ350*Pesos!$B$30+AK350*Pesos!$B$31+AL350*Pesos!$B$32+AM350*Pesos!$B$33+AN350*Pesos!$B$34+AO350*Pesos!$B$35+AP350*Pesos!$B$36+AQ350*Pesos!$B$37+AR350*Pesos!$B$38+AS350*Pesos!$B$39+AT350*Pesos!$B$40+AU350*Pesos!$B$41+AV350*Pesos!$B$42+AW350*Pesos!$B$43+AX350*Pesos!$B$44+AY350*Pesos!$B$45+AZ350*Pesos!$B$46+BA350*Pesos!$B$47+BB350*Pesos!$B$48+BC350*Pesos!$B$49+BD350*Pesos!$B$50+BE350*Pesos!$B$51+BF350*Pesos!$B$52+BG350*Pesos!$B$53</f>
        <v>460</v>
      </c>
      <c r="G350" s="6" t="n">
        <f aca="false">E350*F350</f>
        <v>230</v>
      </c>
      <c r="H350" s="3" t="n">
        <v>49</v>
      </c>
      <c r="I350" s="3"/>
      <c r="J350" s="3"/>
      <c r="K350" s="3"/>
      <c r="L350" s="3" t="n">
        <v>200000</v>
      </c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 t="n">
        <v>-1.2</v>
      </c>
      <c r="AC350" s="3"/>
      <c r="AD350" s="3"/>
      <c r="AE350" s="3"/>
      <c r="AF350" s="3"/>
      <c r="AG350" s="3" t="n">
        <v>-1.2</v>
      </c>
      <c r="AH350" s="3"/>
      <c r="AI350" s="3"/>
      <c r="AJ350" s="3"/>
      <c r="AK350" s="3"/>
      <c r="AL350" s="3"/>
      <c r="AM350" s="3"/>
      <c r="AN350" s="3"/>
      <c r="AO350" s="3"/>
      <c r="AP350" s="3" t="n">
        <v>3.6</v>
      </c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 t="s">
        <v>986</v>
      </c>
      <c r="BK350" s="3"/>
      <c r="BL350" s="3"/>
      <c r="BM350" s="3"/>
    </row>
    <row r="351" customFormat="false" ht="15" hidden="false" customHeight="false" outlineLevel="0" collapsed="false">
      <c r="A351" s="3" t="s">
        <v>65</v>
      </c>
      <c r="B351" s="3" t="s">
        <v>124</v>
      </c>
      <c r="C351" s="3" t="s">
        <v>987</v>
      </c>
      <c r="D351" s="3" t="s">
        <v>988</v>
      </c>
      <c r="E351" s="3" t="n">
        <v>0.5</v>
      </c>
      <c r="F351" s="6" t="n">
        <f aca="false">H351*Pesos!$B$2+I351*Pesos!$B$3+J351*Pesos!$B$4+K351*Pesos!$B$5+L351*Pesos!$B$6+M351*Pesos!$B$7+N351*Pesos!$B$8+O351*Pesos!$B$9+P351*Pesos!$B$10+Q351*Pesos!$B$11+R351*Pesos!$B$12+S351*Pesos!$B$13+T351*Pesos!$B$14+U351*Pesos!$B$15+V351*Pesos!$B$16+W351*Pesos!$B$17+X351*Pesos!$B$18+Y351*Pesos!$B$19+Z351*Pesos!$B$20+AA351*Pesos!$B$21+AB351*Pesos!$B$22+AC351*Pesos!$B$23+AD351*Pesos!$B$24+AE351*Pesos!$B$25+AF351*Pesos!$B$26+AG351*Pesos!$B$27+AH351*Pesos!$B$28+AI351*Pesos!$B$29+AJ351*Pesos!$B$30+AK351*Pesos!$B$31+AL351*Pesos!$B$32+AM351*Pesos!$B$33+AN351*Pesos!$B$34+AO351*Pesos!$B$35+AP351*Pesos!$B$36+AQ351*Pesos!$B$37+AR351*Pesos!$B$38+AS351*Pesos!$B$39+AT351*Pesos!$B$40+AU351*Pesos!$B$41+AV351*Pesos!$B$42+AW351*Pesos!$B$43+AX351*Pesos!$B$44+AY351*Pesos!$B$45+AZ351*Pesos!$B$46+BA351*Pesos!$B$47+BB351*Pesos!$B$48+BC351*Pesos!$B$49+BD351*Pesos!$B$50+BE351*Pesos!$B$51+BF351*Pesos!$B$52+BG351*Pesos!$B$53</f>
        <v>180</v>
      </c>
      <c r="G351" s="6" t="n">
        <f aca="false">E351*F351</f>
        <v>90</v>
      </c>
      <c r="H351" s="3" t="n">
        <v>63</v>
      </c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 t="n">
        <v>10</v>
      </c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 t="n">
        <v>10</v>
      </c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 t="s">
        <v>988</v>
      </c>
      <c r="BI351" s="3"/>
      <c r="BJ351" s="3"/>
      <c r="BK351" s="3"/>
      <c r="BL351" s="3"/>
      <c r="BM351" s="3"/>
    </row>
    <row r="352" customFormat="false" ht="15" hidden="false" customHeight="false" outlineLevel="0" collapsed="false">
      <c r="A352" s="3" t="s">
        <v>65</v>
      </c>
      <c r="B352" s="3" t="s">
        <v>124</v>
      </c>
      <c r="C352" s="3" t="s">
        <v>989</v>
      </c>
      <c r="D352" s="3" t="s">
        <v>990</v>
      </c>
      <c r="E352" s="3" t="n">
        <v>0.5</v>
      </c>
      <c r="F352" s="6" t="n">
        <f aca="false">H352*Pesos!$B$2+I352*Pesos!$B$3+J352*Pesos!$B$4+K352*Pesos!$B$5+L352*Pesos!$B$6+M352*Pesos!$B$7+N352*Pesos!$B$8+O352*Pesos!$B$9+P352*Pesos!$B$10+Q352*Pesos!$B$11+R352*Pesos!$B$12+S352*Pesos!$B$13+T352*Pesos!$B$14+U352*Pesos!$B$15+V352*Pesos!$B$16+W352*Pesos!$B$17+X352*Pesos!$B$18+Y352*Pesos!$B$19+Z352*Pesos!$B$20+AA352*Pesos!$B$21+AB352*Pesos!$B$22+AC352*Pesos!$B$23+AD352*Pesos!$B$24+AE352*Pesos!$B$25+AF352*Pesos!$B$26+AG352*Pesos!$B$27+AH352*Pesos!$B$28+AI352*Pesos!$B$29+AJ352*Pesos!$B$30+AK352*Pesos!$B$31+AL352*Pesos!$B$32+AM352*Pesos!$B$33+AN352*Pesos!$B$34+AO352*Pesos!$B$35+AP352*Pesos!$B$36+AQ352*Pesos!$B$37+AR352*Pesos!$B$38+AS352*Pesos!$B$39+AT352*Pesos!$B$40+AU352*Pesos!$B$41+AV352*Pesos!$B$42+AW352*Pesos!$B$43+AX352*Pesos!$B$44+AY352*Pesos!$B$45+AZ352*Pesos!$B$46+BA352*Pesos!$B$47+BB352*Pesos!$B$48+BC352*Pesos!$B$49+BD352*Pesos!$B$50+BE352*Pesos!$B$51+BF352*Pesos!$B$52+BG352*Pesos!$B$53</f>
        <v>125</v>
      </c>
      <c r="G352" s="6" t="n">
        <f aca="false">E352*F352</f>
        <v>62.5</v>
      </c>
      <c r="H352" s="3" t="n">
        <v>49</v>
      </c>
      <c r="I352" s="3"/>
      <c r="J352" s="3"/>
      <c r="K352" s="3"/>
      <c r="L352" s="3"/>
      <c r="M352" s="3" t="n">
        <v>75</v>
      </c>
      <c r="N352" s="3"/>
      <c r="O352" s="3"/>
      <c r="P352" s="3"/>
      <c r="Q352" s="3" t="n">
        <v>2</v>
      </c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customFormat="false" ht="15" hidden="false" customHeight="false" outlineLevel="0" collapsed="false">
      <c r="A353" s="3" t="s">
        <v>65</v>
      </c>
      <c r="B353" s="3" t="s">
        <v>124</v>
      </c>
      <c r="C353" s="3" t="s">
        <v>991</v>
      </c>
      <c r="D353" s="3" t="s">
        <v>992</v>
      </c>
      <c r="E353" s="3" t="n">
        <v>0.5</v>
      </c>
      <c r="F353" s="6" t="n">
        <f aca="false">H353*Pesos!$B$2+I353*Pesos!$B$3+J353*Pesos!$B$4+K353*Pesos!$B$5+L353*Pesos!$B$6+M353*Pesos!$B$7+N353*Pesos!$B$8+O353*Pesos!$B$9+P353*Pesos!$B$10+Q353*Pesos!$B$11+R353*Pesos!$B$12+S353*Pesos!$B$13+T353*Pesos!$B$14+U353*Pesos!$B$15+V353*Pesos!$B$16+W353*Pesos!$B$17+X353*Pesos!$B$18+Y353*Pesos!$B$19+Z353*Pesos!$B$20+AA353*Pesos!$B$21+AB353*Pesos!$B$22+AC353*Pesos!$B$23+AD353*Pesos!$B$24+AE353*Pesos!$B$25+AF353*Pesos!$B$26+AG353*Pesos!$B$27+AH353*Pesos!$B$28+AI353*Pesos!$B$29+AJ353*Pesos!$B$30+AK353*Pesos!$B$31+AL353*Pesos!$B$32+AM353*Pesos!$B$33+AN353*Pesos!$B$34+AO353*Pesos!$B$35+AP353*Pesos!$B$36+AQ353*Pesos!$B$37+AR353*Pesos!$B$38+AS353*Pesos!$B$39+AT353*Pesos!$B$40+AU353*Pesos!$B$41+AV353*Pesos!$B$42+AW353*Pesos!$B$43+AX353*Pesos!$B$44+AY353*Pesos!$B$45+AZ353*Pesos!$B$46+BA353*Pesos!$B$47+BB353*Pesos!$B$48+BC353*Pesos!$B$49+BD353*Pesos!$B$50+BE353*Pesos!$B$51+BF353*Pesos!$B$52+BG353*Pesos!$B$53</f>
        <v>110</v>
      </c>
      <c r="G353" s="6" t="n">
        <f aca="false">E353*F353</f>
        <v>55</v>
      </c>
      <c r="H353" s="3" t="n">
        <v>63</v>
      </c>
      <c r="I353" s="3"/>
      <c r="J353" s="3"/>
      <c r="K353" s="3"/>
      <c r="L353" s="3"/>
      <c r="M353" s="3" t="n">
        <v>50</v>
      </c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 t="n">
        <v>-1.2</v>
      </c>
      <c r="AC353" s="3"/>
      <c r="AD353" s="3"/>
      <c r="AE353" s="3"/>
      <c r="AF353" s="3"/>
      <c r="AG353" s="3" t="n">
        <v>-1.2</v>
      </c>
      <c r="AH353" s="3"/>
      <c r="AI353" s="3"/>
      <c r="AJ353" s="3"/>
      <c r="AK353" s="3"/>
      <c r="AL353" s="3"/>
      <c r="AM353" s="3"/>
      <c r="AN353" s="3"/>
      <c r="AO353" s="3"/>
      <c r="AP353" s="3" t="n">
        <v>3.6</v>
      </c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 t="s">
        <v>986</v>
      </c>
      <c r="BK353" s="3"/>
      <c r="BL353" s="3"/>
      <c r="BM353" s="3"/>
    </row>
    <row r="354" customFormat="false" ht="15" hidden="false" customHeight="false" outlineLevel="0" collapsed="false">
      <c r="A354" s="3" t="s">
        <v>65</v>
      </c>
      <c r="B354" s="3" t="s">
        <v>124</v>
      </c>
      <c r="C354" s="3" t="s">
        <v>993</v>
      </c>
      <c r="D354" s="3" t="s">
        <v>994</v>
      </c>
      <c r="E354" s="3" t="n">
        <v>0.5</v>
      </c>
      <c r="F354" s="6" t="n">
        <f aca="false">H354*Pesos!$B$2+I354*Pesos!$B$3+J354*Pesos!$B$4+K354*Pesos!$B$5+L354*Pesos!$B$6+M354*Pesos!$B$7+N354*Pesos!$B$8+O354*Pesos!$B$9+P354*Pesos!$B$10+Q354*Pesos!$B$11+R354*Pesos!$B$12+S354*Pesos!$B$13+T354*Pesos!$B$14+U354*Pesos!$B$15+V354*Pesos!$B$16+W354*Pesos!$B$17+X354*Pesos!$B$18+Y354*Pesos!$B$19+Z354*Pesos!$B$20+AA354*Pesos!$B$21+AB354*Pesos!$B$22+AC354*Pesos!$B$23+AD354*Pesos!$B$24+AE354*Pesos!$B$25+AF354*Pesos!$B$26+AG354*Pesos!$B$27+AH354*Pesos!$B$28+AI354*Pesos!$B$29+AJ354*Pesos!$B$30+AK354*Pesos!$B$31+AL354*Pesos!$B$32+AM354*Pesos!$B$33+AN354*Pesos!$B$34+AO354*Pesos!$B$35+AP354*Pesos!$B$36+AQ354*Pesos!$B$37+AR354*Pesos!$B$38+AS354*Pesos!$B$39+AT354*Pesos!$B$40+AU354*Pesos!$B$41+AV354*Pesos!$B$42+AW354*Pesos!$B$43+AX354*Pesos!$B$44+AY354*Pesos!$B$45+AZ354*Pesos!$B$46+BA354*Pesos!$B$47+BB354*Pesos!$B$48+BC354*Pesos!$B$49+BD354*Pesos!$B$50+BE354*Pesos!$B$51+BF354*Pesos!$B$52+BG354*Pesos!$B$53</f>
        <v>100</v>
      </c>
      <c r="G354" s="6" t="n">
        <f aca="false">E354*F354</f>
        <v>50</v>
      </c>
      <c r="H354" s="3" t="n">
        <v>105</v>
      </c>
      <c r="I354" s="3"/>
      <c r="J354" s="3"/>
      <c r="K354" s="3" t="n">
        <v>10</v>
      </c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 t="n">
        <v>1</v>
      </c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customFormat="false" ht="15" hidden="false" customHeight="false" outlineLevel="0" collapsed="false">
      <c r="A355" s="3" t="s">
        <v>65</v>
      </c>
      <c r="B355" s="3" t="s">
        <v>124</v>
      </c>
      <c r="C355" s="3" t="s">
        <v>995</v>
      </c>
      <c r="D355" s="3" t="s">
        <v>996</v>
      </c>
      <c r="E355" s="3" t="n">
        <v>0.5</v>
      </c>
      <c r="F355" s="6" t="n">
        <f aca="false">H355*Pesos!$B$2+I355*Pesos!$B$3+J355*Pesos!$B$4+K355*Pesos!$B$5+L355*Pesos!$B$6+M355*Pesos!$B$7+N355*Pesos!$B$8+O355*Pesos!$B$9+P355*Pesos!$B$10+Q355*Pesos!$B$11+R355*Pesos!$B$12+S355*Pesos!$B$13+T355*Pesos!$B$14+U355*Pesos!$B$15+V355*Pesos!$B$16+W355*Pesos!$B$17+X355*Pesos!$B$18+Y355*Pesos!$B$19+Z355*Pesos!$B$20+AA355*Pesos!$B$21+AB355*Pesos!$B$22+AC355*Pesos!$B$23+AD355*Pesos!$B$24+AE355*Pesos!$B$25+AF355*Pesos!$B$26+AG355*Pesos!$B$27+AH355*Pesos!$B$28+AI355*Pesos!$B$29+AJ355*Pesos!$B$30+AK355*Pesos!$B$31+AL355*Pesos!$B$32+AM355*Pesos!$B$33+AN355*Pesos!$B$34+AO355*Pesos!$B$35+AP355*Pesos!$B$36+AQ355*Pesos!$B$37+AR355*Pesos!$B$38+AS355*Pesos!$B$39+AT355*Pesos!$B$40+AU355*Pesos!$B$41+AV355*Pesos!$B$42+AW355*Pesos!$B$43+AX355*Pesos!$B$44+AY355*Pesos!$B$45+AZ355*Pesos!$B$46+BA355*Pesos!$B$47+BB355*Pesos!$B$48+BC355*Pesos!$B$49+BD355*Pesos!$B$50+BE355*Pesos!$B$51+BF355*Pesos!$B$52+BG355*Pesos!$B$53</f>
        <v>705</v>
      </c>
      <c r="G355" s="6" t="n">
        <f aca="false">E355*F355</f>
        <v>352.5</v>
      </c>
      <c r="H355" s="3" t="n">
        <v>84</v>
      </c>
      <c r="I355" s="3"/>
      <c r="J355" s="3"/>
      <c r="K355" s="3"/>
      <c r="L355" s="3"/>
      <c r="M355" s="3"/>
      <c r="N355" s="3"/>
      <c r="O355" s="3"/>
      <c r="P355" s="3" t="n">
        <v>1</v>
      </c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 t="n">
        <v>10</v>
      </c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 t="n">
        <v>15</v>
      </c>
      <c r="AR355" s="3"/>
      <c r="AS355" s="3" t="n">
        <v>10</v>
      </c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 t="s">
        <v>996</v>
      </c>
      <c r="BI355" s="3"/>
      <c r="BJ355" s="3"/>
      <c r="BK355" s="3"/>
      <c r="BL355" s="3"/>
      <c r="BM355" s="3"/>
    </row>
    <row r="356" customFormat="false" ht="15" hidden="false" customHeight="false" outlineLevel="0" collapsed="false">
      <c r="A356" s="3" t="s">
        <v>65</v>
      </c>
      <c r="B356" s="3" t="s">
        <v>80</v>
      </c>
      <c r="C356" s="3" t="s">
        <v>997</v>
      </c>
      <c r="D356" s="3" t="s">
        <v>998</v>
      </c>
      <c r="E356" s="3" t="n">
        <v>1</v>
      </c>
      <c r="F356" s="6" t="n">
        <f aca="false">H356*Pesos!$B$2+I356*Pesos!$B$3+J356*Pesos!$B$4+K356*Pesos!$B$5+L356*Pesos!$B$6+M356*Pesos!$B$7+N356*Pesos!$B$8+O356*Pesos!$B$9+P356*Pesos!$B$10+Q356*Pesos!$B$11+R356*Pesos!$B$12+S356*Pesos!$B$13+T356*Pesos!$B$14+U356*Pesos!$B$15+V356*Pesos!$B$16+W356*Pesos!$B$17+X356*Pesos!$B$18+Y356*Pesos!$B$19+Z356*Pesos!$B$20+AA356*Pesos!$B$21+AB356*Pesos!$B$22+AC356*Pesos!$B$23+AD356*Pesos!$B$24+AE356*Pesos!$B$25+AF356*Pesos!$B$26+AG356*Pesos!$B$27+AH356*Pesos!$B$28+AI356*Pesos!$B$29+AJ356*Pesos!$B$30+AK356*Pesos!$B$31+AL356*Pesos!$B$32+AM356*Pesos!$B$33+AN356*Pesos!$B$34+AO356*Pesos!$B$35+AP356*Pesos!$B$36+AQ356*Pesos!$B$37+AR356*Pesos!$B$38+AS356*Pesos!$B$39+AT356*Pesos!$B$40+AU356*Pesos!$B$41+AV356*Pesos!$B$42+AW356*Pesos!$B$43+AX356*Pesos!$B$44+AY356*Pesos!$B$45+AZ356*Pesos!$B$46+BA356*Pesos!$B$47+BB356*Pesos!$B$48+BC356*Pesos!$B$49+BD356*Pesos!$B$50+BE356*Pesos!$B$51+BF356*Pesos!$B$52+BG356*Pesos!$B$53</f>
        <v>170</v>
      </c>
      <c r="G356" s="6" t="n">
        <f aca="false">E356*F356</f>
        <v>170</v>
      </c>
      <c r="H356" s="3" t="n">
        <v>70</v>
      </c>
      <c r="I356" s="3" t="n">
        <v>120</v>
      </c>
      <c r="J356" s="3" t="n">
        <v>5</v>
      </c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customFormat="false" ht="15" hidden="false" customHeight="false" outlineLevel="0" collapsed="false">
      <c r="A357" s="3" t="s">
        <v>65</v>
      </c>
      <c r="B357" s="3" t="s">
        <v>80</v>
      </c>
      <c r="C357" s="3" t="s">
        <v>999</v>
      </c>
      <c r="D357" s="3" t="s">
        <v>1000</v>
      </c>
      <c r="E357" s="3" t="n">
        <v>1</v>
      </c>
      <c r="F357" s="6" t="n">
        <f aca="false">H357*Pesos!$B$2+I357*Pesos!$B$3+J357*Pesos!$B$4+K357*Pesos!$B$5+L357*Pesos!$B$6+M357*Pesos!$B$7+N357*Pesos!$B$8+O357*Pesos!$B$9+P357*Pesos!$B$10+Q357*Pesos!$B$11+R357*Pesos!$B$12+S357*Pesos!$B$13+T357*Pesos!$B$14+U357*Pesos!$B$15+V357*Pesos!$B$16+W357*Pesos!$B$17+X357*Pesos!$B$18+Y357*Pesos!$B$19+Z357*Pesos!$B$20+AA357*Pesos!$B$21+AB357*Pesos!$B$22+AC357*Pesos!$B$23+AD357*Pesos!$B$24+AE357*Pesos!$B$25+AF357*Pesos!$B$26+AG357*Pesos!$B$27+AH357*Pesos!$B$28+AI357*Pesos!$B$29+AJ357*Pesos!$B$30+AK357*Pesos!$B$31+AL357*Pesos!$B$32+AM357*Pesos!$B$33+AN357*Pesos!$B$34+AO357*Pesos!$B$35+AP357*Pesos!$B$36+AQ357*Pesos!$B$37+AR357*Pesos!$B$38+AS357*Pesos!$B$39+AT357*Pesos!$B$40+AU357*Pesos!$B$41+AV357*Pesos!$B$42+AW357*Pesos!$B$43+AX357*Pesos!$B$44+AY357*Pesos!$B$45+AZ357*Pesos!$B$46+BA357*Pesos!$B$47+BB357*Pesos!$B$48+BC357*Pesos!$B$49+BD357*Pesos!$B$50+BE357*Pesos!$B$51+BF357*Pesos!$B$52+BG357*Pesos!$B$53</f>
        <v>234.5</v>
      </c>
      <c r="G357" s="6" t="n">
        <f aca="false">E357*F357</f>
        <v>234.5</v>
      </c>
      <c r="H357" s="3" t="n">
        <v>70</v>
      </c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 t="n">
        <v>0.15</v>
      </c>
      <c r="AB357" s="3" t="n">
        <v>5</v>
      </c>
      <c r="AC357" s="3"/>
      <c r="AD357" s="3"/>
      <c r="AE357" s="3"/>
      <c r="AF357" s="3"/>
      <c r="AG357" s="3"/>
      <c r="AH357" s="3"/>
      <c r="AI357" s="3" t="n">
        <v>5</v>
      </c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 t="s">
        <v>1000</v>
      </c>
      <c r="BI357" s="3"/>
      <c r="BJ357" s="3"/>
      <c r="BK357" s="3"/>
      <c r="BL357" s="3"/>
      <c r="BM357" s="3"/>
    </row>
    <row r="358" customFormat="false" ht="15" hidden="false" customHeight="false" outlineLevel="0" collapsed="false">
      <c r="A358" s="3" t="s">
        <v>65</v>
      </c>
      <c r="B358" s="3" t="s">
        <v>80</v>
      </c>
      <c r="C358" s="3" t="s">
        <v>1001</v>
      </c>
      <c r="D358" s="3" t="s">
        <v>1002</v>
      </c>
      <c r="E358" s="3" t="n">
        <v>1</v>
      </c>
      <c r="F358" s="6" t="n">
        <f aca="false">H358*Pesos!$B$2+I358*Pesos!$B$3+J358*Pesos!$B$4+K358*Pesos!$B$5+L358*Pesos!$B$6+M358*Pesos!$B$7+N358*Pesos!$B$8+O358*Pesos!$B$9+P358*Pesos!$B$10+Q358*Pesos!$B$11+R358*Pesos!$B$12+S358*Pesos!$B$13+T358*Pesos!$B$14+U358*Pesos!$B$15+V358*Pesos!$B$16+W358*Pesos!$B$17+X358*Pesos!$B$18+Y358*Pesos!$B$19+Z358*Pesos!$B$20+AA358*Pesos!$B$21+AB358*Pesos!$B$22+AC358*Pesos!$B$23+AD358*Pesos!$B$24+AE358*Pesos!$B$25+AF358*Pesos!$B$26+AG358*Pesos!$B$27+AH358*Pesos!$B$28+AI358*Pesos!$B$29+AJ358*Pesos!$B$30+AK358*Pesos!$B$31+AL358*Pesos!$B$32+AM358*Pesos!$B$33+AN358*Pesos!$B$34+AO358*Pesos!$B$35+AP358*Pesos!$B$36+AQ358*Pesos!$B$37+AR358*Pesos!$B$38+AS358*Pesos!$B$39+AT358*Pesos!$B$40+AU358*Pesos!$B$41+AV358*Pesos!$B$42+AW358*Pesos!$B$43+AX358*Pesos!$B$44+AY358*Pesos!$B$45+AZ358*Pesos!$B$46+BA358*Pesos!$B$47+BB358*Pesos!$B$48+BC358*Pesos!$B$49+BD358*Pesos!$B$50+BE358*Pesos!$B$51+BF358*Pesos!$B$52+BG358*Pesos!$B$53</f>
        <v>65</v>
      </c>
      <c r="G358" s="6" t="n">
        <f aca="false">E358*F358</f>
        <v>65</v>
      </c>
      <c r="H358" s="3" t="n">
        <v>70</v>
      </c>
      <c r="I358" s="3"/>
      <c r="J358" s="3"/>
      <c r="K358" s="3" t="n">
        <v>5</v>
      </c>
      <c r="L358" s="3"/>
      <c r="M358" s="3" t="n">
        <v>25</v>
      </c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customFormat="false" ht="15" hidden="false" customHeight="false" outlineLevel="0" collapsed="false">
      <c r="A359" s="3" t="s">
        <v>65</v>
      </c>
      <c r="B359" s="3" t="s">
        <v>80</v>
      </c>
      <c r="C359" s="3" t="s">
        <v>1003</v>
      </c>
      <c r="D359" s="3" t="s">
        <v>1004</v>
      </c>
      <c r="E359" s="3" t="n">
        <v>1</v>
      </c>
      <c r="F359" s="6" t="n">
        <f aca="false">H359*Pesos!$B$2+I359*Pesos!$B$3+J359*Pesos!$B$4+K359*Pesos!$B$5+L359*Pesos!$B$6+M359*Pesos!$B$7+N359*Pesos!$B$8+O359*Pesos!$B$9+P359*Pesos!$B$10+Q359*Pesos!$B$11+R359*Pesos!$B$12+S359*Pesos!$B$13+T359*Pesos!$B$14+U359*Pesos!$B$15+V359*Pesos!$B$16+W359*Pesos!$B$17+X359*Pesos!$B$18+Y359*Pesos!$B$19+Z359*Pesos!$B$20+AA359*Pesos!$B$21+AB359*Pesos!$B$22+AC359*Pesos!$B$23+AD359*Pesos!$B$24+AE359*Pesos!$B$25+AF359*Pesos!$B$26+AG359*Pesos!$B$27+AH359*Pesos!$B$28+AI359*Pesos!$B$29+AJ359*Pesos!$B$30+AK359*Pesos!$B$31+AL359*Pesos!$B$32+AM359*Pesos!$B$33+AN359*Pesos!$B$34+AO359*Pesos!$B$35+AP359*Pesos!$B$36+AQ359*Pesos!$B$37+AR359*Pesos!$B$38+AS359*Pesos!$B$39+AT359*Pesos!$B$40+AU359*Pesos!$B$41+AV359*Pesos!$B$42+AW359*Pesos!$B$43+AX359*Pesos!$B$44+AY359*Pesos!$B$45+AZ359*Pesos!$B$46+BA359*Pesos!$B$47+BB359*Pesos!$B$48+BC359*Pesos!$B$49+BD359*Pesos!$B$50+BE359*Pesos!$B$51+BF359*Pesos!$B$52+BG359*Pesos!$B$53</f>
        <v>190</v>
      </c>
      <c r="G359" s="6" t="n">
        <f aca="false">E359*F359</f>
        <v>190</v>
      </c>
      <c r="H359" s="3" t="n">
        <v>105</v>
      </c>
      <c r="I359" s="3" t="n">
        <v>50</v>
      </c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 t="n">
        <v>7</v>
      </c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customFormat="false" ht="15" hidden="false" customHeight="false" outlineLevel="0" collapsed="false">
      <c r="A360" s="3" t="s">
        <v>65</v>
      </c>
      <c r="B360" s="3" t="s">
        <v>125</v>
      </c>
      <c r="C360" s="3" t="s">
        <v>1005</v>
      </c>
      <c r="D360" s="3" t="s">
        <v>388</v>
      </c>
      <c r="E360" s="3" t="n">
        <v>1</v>
      </c>
      <c r="F360" s="6" t="n">
        <f aca="false">H360*Pesos!$B$2+I360*Pesos!$B$3+J360*Pesos!$B$4+K360*Pesos!$B$5+L360*Pesos!$B$6+M360*Pesos!$B$7+N360*Pesos!$B$8+O360*Pesos!$B$9+P360*Pesos!$B$10+Q360*Pesos!$B$11+R360*Pesos!$B$12+S360*Pesos!$B$13+T360*Pesos!$B$14+U360*Pesos!$B$15+V360*Pesos!$B$16+W360*Pesos!$B$17+X360*Pesos!$B$18+Y360*Pesos!$B$19+Z360*Pesos!$B$20+AA360*Pesos!$B$21+AB360*Pesos!$B$22+AC360*Pesos!$B$23+AD360*Pesos!$B$24+AE360*Pesos!$B$25+AF360*Pesos!$B$26+AG360*Pesos!$B$27+AH360*Pesos!$B$28+AI360*Pesos!$B$29+AJ360*Pesos!$B$30+AK360*Pesos!$B$31+AL360*Pesos!$B$32+AM360*Pesos!$B$33+AN360*Pesos!$B$34+AO360*Pesos!$B$35+AP360*Pesos!$B$36+AQ360*Pesos!$B$37+AR360*Pesos!$B$38+AS360*Pesos!$B$39+AT360*Pesos!$B$40+AU360*Pesos!$B$41+AV360*Pesos!$B$42+AW360*Pesos!$B$43+AX360*Pesos!$B$44+AY360*Pesos!$B$45+AZ360*Pesos!$B$46+BA360*Pesos!$B$47+BB360*Pesos!$B$48+BC360*Pesos!$B$49+BD360*Pesos!$B$50+BE360*Pesos!$B$51+BF360*Pesos!$B$52+BG360*Pesos!$B$53</f>
        <v>208</v>
      </c>
      <c r="G360" s="6" t="n">
        <f aca="false">E360*F360</f>
        <v>208</v>
      </c>
      <c r="H360" s="3" t="n">
        <v>49</v>
      </c>
      <c r="I360" s="3"/>
      <c r="J360" s="3"/>
      <c r="K360" s="3"/>
      <c r="L360" s="3"/>
      <c r="M360" s="3"/>
      <c r="N360" s="3"/>
      <c r="O360" s="3"/>
      <c r="P360" s="3"/>
      <c r="Q360" s="3"/>
      <c r="R360" s="3" t="n">
        <v>2</v>
      </c>
      <c r="S360" s="3"/>
      <c r="T360" s="3"/>
      <c r="U360" s="3"/>
      <c r="V360" s="3"/>
      <c r="W360" s="3"/>
      <c r="X360" s="3"/>
      <c r="Y360" s="3"/>
      <c r="Z360" s="3"/>
      <c r="AA360" s="3"/>
      <c r="AB360" s="3" t="n">
        <v>-0.4</v>
      </c>
      <c r="AC360" s="3"/>
      <c r="AD360" s="3"/>
      <c r="AE360" s="3"/>
      <c r="AF360" s="3"/>
      <c r="AG360" s="3" t="n">
        <v>1.6</v>
      </c>
      <c r="AH360" s="3"/>
      <c r="AI360" s="3"/>
      <c r="AJ360" s="3"/>
      <c r="AK360" s="3"/>
      <c r="AL360" s="3"/>
      <c r="AM360" s="3"/>
      <c r="AN360" s="3"/>
      <c r="AO360" s="3"/>
      <c r="AP360" s="3" t="n">
        <v>-1.2</v>
      </c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 t="s">
        <v>1006</v>
      </c>
      <c r="BK360" s="3"/>
      <c r="BL360" s="3"/>
      <c r="BM360" s="3"/>
    </row>
    <row r="361" customFormat="false" ht="15" hidden="false" customHeight="false" outlineLevel="0" collapsed="false">
      <c r="A361" s="3" t="s">
        <v>65</v>
      </c>
      <c r="B361" s="3" t="s">
        <v>125</v>
      </c>
      <c r="C361" s="3" t="s">
        <v>1007</v>
      </c>
      <c r="D361" s="3" t="s">
        <v>1008</v>
      </c>
      <c r="E361" s="3" t="n">
        <v>0.5</v>
      </c>
      <c r="F361" s="6" t="n">
        <f aca="false">H361*Pesos!$B$2+I361*Pesos!$B$3+J361*Pesos!$B$4+K361*Pesos!$B$5+L361*Pesos!$B$6+M361*Pesos!$B$7+N361*Pesos!$B$8+O361*Pesos!$B$9+P361*Pesos!$B$10+Q361*Pesos!$B$11+R361*Pesos!$B$12+S361*Pesos!$B$13+T361*Pesos!$B$14+U361*Pesos!$B$15+V361*Pesos!$B$16+W361*Pesos!$B$17+X361*Pesos!$B$18+Y361*Pesos!$B$19+Z361*Pesos!$B$20+AA361*Pesos!$B$21+AB361*Pesos!$B$22+AC361*Pesos!$B$23+AD361*Pesos!$B$24+AE361*Pesos!$B$25+AF361*Pesos!$B$26+AG361*Pesos!$B$27+AH361*Pesos!$B$28+AI361*Pesos!$B$29+AJ361*Pesos!$B$30+AK361*Pesos!$B$31+AL361*Pesos!$B$32+AM361*Pesos!$B$33+AN361*Pesos!$B$34+AO361*Pesos!$B$35+AP361*Pesos!$B$36+AQ361*Pesos!$B$37+AR361*Pesos!$B$38+AS361*Pesos!$B$39+AT361*Pesos!$B$40+AU361*Pesos!$B$41+AV361*Pesos!$B$42+AW361*Pesos!$B$43+AX361*Pesos!$B$44+AY361*Pesos!$B$45+AZ361*Pesos!$B$46+BA361*Pesos!$B$47+BB361*Pesos!$B$48+BC361*Pesos!$B$49+BD361*Pesos!$B$50+BE361*Pesos!$B$51+BF361*Pesos!$B$52+BG361*Pesos!$B$53</f>
        <v>135</v>
      </c>
      <c r="G361" s="6" t="n">
        <f aca="false">E361*F361</f>
        <v>67.5</v>
      </c>
      <c r="H361" s="3" t="n">
        <v>63</v>
      </c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 t="n">
        <v>15</v>
      </c>
      <c r="AJ361" s="3"/>
      <c r="AK361" s="3"/>
      <c r="AL361" s="3" t="n">
        <v>3</v>
      </c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 t="s">
        <v>1008</v>
      </c>
      <c r="BI361" s="3"/>
      <c r="BJ361" s="3"/>
      <c r="BK361" s="3"/>
      <c r="BL361" s="3"/>
      <c r="BM361" s="3" t="s">
        <v>1009</v>
      </c>
    </row>
    <row r="362" customFormat="false" ht="15" hidden="false" customHeight="false" outlineLevel="0" collapsed="false">
      <c r="A362" s="3" t="s">
        <v>65</v>
      </c>
      <c r="B362" s="3" t="s">
        <v>125</v>
      </c>
      <c r="C362" s="3" t="s">
        <v>1010</v>
      </c>
      <c r="D362" s="3" t="s">
        <v>1011</v>
      </c>
      <c r="E362" s="3" t="n">
        <v>0.5</v>
      </c>
      <c r="F362" s="6" t="n">
        <f aca="false">H362*Pesos!$B$2+I362*Pesos!$B$3+J362*Pesos!$B$4+K362*Pesos!$B$5+L362*Pesos!$B$6+M362*Pesos!$B$7+N362*Pesos!$B$8+O362*Pesos!$B$9+P362*Pesos!$B$10+Q362*Pesos!$B$11+R362*Pesos!$B$12+S362*Pesos!$B$13+T362*Pesos!$B$14+U362*Pesos!$B$15+V362*Pesos!$B$16+W362*Pesos!$B$17+X362*Pesos!$B$18+Y362*Pesos!$B$19+Z362*Pesos!$B$20+AA362*Pesos!$B$21+AB362*Pesos!$B$22+AC362*Pesos!$B$23+AD362*Pesos!$B$24+AE362*Pesos!$B$25+AF362*Pesos!$B$26+AG362*Pesos!$B$27+AH362*Pesos!$B$28+AI362*Pesos!$B$29+AJ362*Pesos!$B$30+AK362*Pesos!$B$31+AL362*Pesos!$B$32+AM362*Pesos!$B$33+AN362*Pesos!$B$34+AO362*Pesos!$B$35+AP362*Pesos!$B$36+AQ362*Pesos!$B$37+AR362*Pesos!$B$38+AS362*Pesos!$B$39+AT362*Pesos!$B$40+AU362*Pesos!$B$41+AV362*Pesos!$B$42+AW362*Pesos!$B$43+AX362*Pesos!$B$44+AY362*Pesos!$B$45+AZ362*Pesos!$B$46+BA362*Pesos!$B$47+BB362*Pesos!$B$48+BC362*Pesos!$B$49+BD362*Pesos!$B$50+BE362*Pesos!$B$51+BF362*Pesos!$B$52+BG362*Pesos!$B$53</f>
        <v>145</v>
      </c>
      <c r="G362" s="6" t="n">
        <f aca="false">E362*F362</f>
        <v>72.5</v>
      </c>
      <c r="H362" s="3" t="n">
        <v>49</v>
      </c>
      <c r="I362" s="3"/>
      <c r="J362" s="3"/>
      <c r="K362" s="3"/>
      <c r="L362" s="3"/>
      <c r="M362" s="3"/>
      <c r="N362" s="3"/>
      <c r="O362" s="3"/>
      <c r="P362" s="3"/>
      <c r="Q362" s="3"/>
      <c r="R362" s="3" t="n">
        <v>1</v>
      </c>
      <c r="S362" s="3"/>
      <c r="T362" s="3"/>
      <c r="U362" s="3" t="n">
        <v>3</v>
      </c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customFormat="false" ht="15" hidden="false" customHeight="false" outlineLevel="0" collapsed="false">
      <c r="A363" s="3" t="s">
        <v>65</v>
      </c>
      <c r="B363" s="3" t="s">
        <v>125</v>
      </c>
      <c r="C363" s="3" t="s">
        <v>1012</v>
      </c>
      <c r="D363" s="3" t="s">
        <v>1013</v>
      </c>
      <c r="E363" s="3" t="n">
        <v>0.5</v>
      </c>
      <c r="F363" s="6" t="n">
        <f aca="false">H363*Pesos!$B$2+I363*Pesos!$B$3+J363*Pesos!$B$4+K363*Pesos!$B$5+L363*Pesos!$B$6+M363*Pesos!$B$7+N363*Pesos!$B$8+O363*Pesos!$B$9+P363*Pesos!$B$10+Q363*Pesos!$B$11+R363*Pesos!$B$12+S363*Pesos!$B$13+T363*Pesos!$B$14+U363*Pesos!$B$15+V363*Pesos!$B$16+W363*Pesos!$B$17+X363*Pesos!$B$18+Y363*Pesos!$B$19+Z363*Pesos!$B$20+AA363*Pesos!$B$21+AB363*Pesos!$B$22+AC363*Pesos!$B$23+AD363*Pesos!$B$24+AE363*Pesos!$B$25+AF363*Pesos!$B$26+AG363*Pesos!$B$27+AH363*Pesos!$B$28+AI363*Pesos!$B$29+AJ363*Pesos!$B$30+AK363*Pesos!$B$31+AL363*Pesos!$B$32+AM363*Pesos!$B$33+AN363*Pesos!$B$34+AO363*Pesos!$B$35+AP363*Pesos!$B$36+AQ363*Pesos!$B$37+AR363*Pesos!$B$38+AS363*Pesos!$B$39+AT363*Pesos!$B$40+AU363*Pesos!$B$41+AV363*Pesos!$B$42+AW363*Pesos!$B$43+AX363*Pesos!$B$44+AY363*Pesos!$B$45+AZ363*Pesos!$B$46+BA363*Pesos!$B$47+BB363*Pesos!$B$48+BC363*Pesos!$B$49+BD363*Pesos!$B$50+BE363*Pesos!$B$51+BF363*Pesos!$B$52+BG363*Pesos!$B$53</f>
        <v>204</v>
      </c>
      <c r="G363" s="6" t="n">
        <f aca="false">E363*F363</f>
        <v>102</v>
      </c>
      <c r="H363" s="3" t="n">
        <v>49</v>
      </c>
      <c r="I363" s="3"/>
      <c r="J363" s="3"/>
      <c r="K363" s="3"/>
      <c r="L363" s="3"/>
      <c r="M363" s="3"/>
      <c r="N363" s="3"/>
      <c r="O363" s="3"/>
      <c r="P363" s="3"/>
      <c r="Q363" s="3"/>
      <c r="R363" s="3" t="n">
        <v>2</v>
      </c>
      <c r="S363" s="3"/>
      <c r="T363" s="3"/>
      <c r="U363" s="3"/>
      <c r="V363" s="3"/>
      <c r="W363" s="3"/>
      <c r="X363" s="3"/>
      <c r="Y363" s="3"/>
      <c r="Z363" s="3"/>
      <c r="AA363" s="3"/>
      <c r="AB363" s="3" t="n">
        <v>-0.8</v>
      </c>
      <c r="AC363" s="3"/>
      <c r="AD363" s="3"/>
      <c r="AE363" s="3"/>
      <c r="AF363" s="3"/>
      <c r="AG363" s="3" t="n">
        <v>-0.8</v>
      </c>
      <c r="AH363" s="3"/>
      <c r="AI363" s="3"/>
      <c r="AJ363" s="3"/>
      <c r="AK363" s="3"/>
      <c r="AL363" s="3"/>
      <c r="AM363" s="3"/>
      <c r="AN363" s="3"/>
      <c r="AO363" s="3"/>
      <c r="AP363" s="3" t="n">
        <v>1.2</v>
      </c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 t="s">
        <v>1014</v>
      </c>
      <c r="BK363" s="3"/>
      <c r="BL363" s="3"/>
      <c r="BM363" s="3"/>
    </row>
    <row r="364" customFormat="false" ht="15" hidden="false" customHeight="false" outlineLevel="0" collapsed="false">
      <c r="A364" s="3" t="s">
        <v>65</v>
      </c>
      <c r="B364" s="3" t="s">
        <v>125</v>
      </c>
      <c r="C364" s="3" t="s">
        <v>1015</v>
      </c>
      <c r="D364" s="3" t="s">
        <v>1016</v>
      </c>
      <c r="E364" s="3" t="n">
        <v>0.5</v>
      </c>
      <c r="F364" s="6" t="n">
        <f aca="false">H364*Pesos!$B$2+I364*Pesos!$B$3+J364*Pesos!$B$4+K364*Pesos!$B$5+L364*Pesos!$B$6+M364*Pesos!$B$7+N364*Pesos!$B$8+O364*Pesos!$B$9+P364*Pesos!$B$10+Q364*Pesos!$B$11+R364*Pesos!$B$12+S364*Pesos!$B$13+T364*Pesos!$B$14+U364*Pesos!$B$15+V364*Pesos!$B$16+W364*Pesos!$B$17+X364*Pesos!$B$18+Y364*Pesos!$B$19+Z364*Pesos!$B$20+AA364*Pesos!$B$21+AB364*Pesos!$B$22+AC364*Pesos!$B$23+AD364*Pesos!$B$24+AE364*Pesos!$B$25+AF364*Pesos!$B$26+AG364*Pesos!$B$27+AH364*Pesos!$B$28+AI364*Pesos!$B$29+AJ364*Pesos!$B$30+AK364*Pesos!$B$31+AL364*Pesos!$B$32+AM364*Pesos!$B$33+AN364*Pesos!$B$34+AO364*Pesos!$B$35+AP364*Pesos!$B$36+AQ364*Pesos!$B$37+AR364*Pesos!$B$38+AS364*Pesos!$B$39+AT364*Pesos!$B$40+AU364*Pesos!$B$41+AV364*Pesos!$B$42+AW364*Pesos!$B$43+AX364*Pesos!$B$44+AY364*Pesos!$B$45+AZ364*Pesos!$B$46+BA364*Pesos!$B$47+BB364*Pesos!$B$48+BC364*Pesos!$B$49+BD364*Pesos!$B$50+BE364*Pesos!$B$51+BF364*Pesos!$B$52+BG364*Pesos!$B$53</f>
        <v>390</v>
      </c>
      <c r="G364" s="6" t="n">
        <f aca="false">E364*F364</f>
        <v>195</v>
      </c>
      <c r="H364" s="3" t="n">
        <v>84</v>
      </c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 t="n">
        <v>5</v>
      </c>
      <c r="AH364" s="3"/>
      <c r="AI364" s="3" t="n">
        <v>10</v>
      </c>
      <c r="AJ364" s="3"/>
      <c r="AK364" s="3"/>
      <c r="AL364" s="3" t="n">
        <v>-3</v>
      </c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 t="s">
        <v>1017</v>
      </c>
      <c r="BI364" s="3"/>
      <c r="BJ364" s="3"/>
      <c r="BK364" s="3"/>
      <c r="BL364" s="3"/>
      <c r="BM364" s="3"/>
    </row>
    <row r="365" customFormat="false" ht="15" hidden="false" customHeight="false" outlineLevel="0" collapsed="false">
      <c r="A365" s="3" t="s">
        <v>65</v>
      </c>
      <c r="B365" s="3" t="s">
        <v>125</v>
      </c>
      <c r="C365" s="3" t="s">
        <v>1018</v>
      </c>
      <c r="D365" s="3" t="s">
        <v>1019</v>
      </c>
      <c r="E365" s="3" t="n">
        <v>0.5</v>
      </c>
      <c r="F365" s="6" t="n">
        <f aca="false">H365*Pesos!$B$2+I365*Pesos!$B$3+J365*Pesos!$B$4+K365*Pesos!$B$5+L365*Pesos!$B$6+M365*Pesos!$B$7+N365*Pesos!$B$8+O365*Pesos!$B$9+P365*Pesos!$B$10+Q365*Pesos!$B$11+R365*Pesos!$B$12+S365*Pesos!$B$13+T365*Pesos!$B$14+U365*Pesos!$B$15+V365*Pesos!$B$16+W365*Pesos!$B$17+X365*Pesos!$B$18+Y365*Pesos!$B$19+Z365*Pesos!$B$20+AA365*Pesos!$B$21+AB365*Pesos!$B$22+AC365*Pesos!$B$23+AD365*Pesos!$B$24+AE365*Pesos!$B$25+AF365*Pesos!$B$26+AG365*Pesos!$B$27+AH365*Pesos!$B$28+AI365*Pesos!$B$29+AJ365*Pesos!$B$30+AK365*Pesos!$B$31+AL365*Pesos!$B$32+AM365*Pesos!$B$33+AN365*Pesos!$B$34+AO365*Pesos!$B$35+AP365*Pesos!$B$36+AQ365*Pesos!$B$37+AR365*Pesos!$B$38+AS365*Pesos!$B$39+AT365*Pesos!$B$40+AU365*Pesos!$B$41+AV365*Pesos!$B$42+AW365*Pesos!$B$43+AX365*Pesos!$B$44+AY365*Pesos!$B$45+AZ365*Pesos!$B$46+BA365*Pesos!$B$47+BB365*Pesos!$B$48+BC365*Pesos!$B$49+BD365*Pesos!$B$50+BE365*Pesos!$B$51+BF365*Pesos!$B$52+BG365*Pesos!$B$53</f>
        <v>200</v>
      </c>
      <c r="G365" s="6" t="n">
        <f aca="false">E365*F365</f>
        <v>100</v>
      </c>
      <c r="H365" s="3" t="n">
        <v>77</v>
      </c>
      <c r="I365" s="3"/>
      <c r="J365" s="3"/>
      <c r="K365" s="3"/>
      <c r="L365" s="3"/>
      <c r="M365" s="3"/>
      <c r="N365" s="3"/>
      <c r="O365" s="3"/>
      <c r="P365" s="3"/>
      <c r="Q365" s="3"/>
      <c r="R365" s="3" t="n">
        <v>2</v>
      </c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customFormat="false" ht="15" hidden="false" customHeight="false" outlineLevel="0" collapsed="false">
      <c r="A366" s="3" t="s">
        <v>65</v>
      </c>
      <c r="B366" s="3" t="s">
        <v>125</v>
      </c>
      <c r="C366" s="3" t="s">
        <v>1020</v>
      </c>
      <c r="D366" s="3" t="s">
        <v>1021</v>
      </c>
      <c r="E366" s="3" t="n">
        <v>0.5</v>
      </c>
      <c r="F366" s="6" t="n">
        <f aca="false">H366*Pesos!$B$2+I366*Pesos!$B$3+J366*Pesos!$B$4+K366*Pesos!$B$5+L366*Pesos!$B$6+M366*Pesos!$B$7+N366*Pesos!$B$8+O366*Pesos!$B$9+P366*Pesos!$B$10+Q366*Pesos!$B$11+R366*Pesos!$B$12+S366*Pesos!$B$13+T366*Pesos!$B$14+U366*Pesos!$B$15+V366*Pesos!$B$16+W366*Pesos!$B$17+X366*Pesos!$B$18+Y366*Pesos!$B$19+Z366*Pesos!$B$20+AA366*Pesos!$B$21+AB366*Pesos!$B$22+AC366*Pesos!$B$23+AD366*Pesos!$B$24+AE366*Pesos!$B$25+AF366*Pesos!$B$26+AG366*Pesos!$B$27+AH366*Pesos!$B$28+AI366*Pesos!$B$29+AJ366*Pesos!$B$30+AK366*Pesos!$B$31+AL366*Pesos!$B$32+AM366*Pesos!$B$33+AN366*Pesos!$B$34+AO366*Pesos!$B$35+AP366*Pesos!$B$36+AQ366*Pesos!$B$37+AR366*Pesos!$B$38+AS366*Pesos!$B$39+AT366*Pesos!$B$40+AU366*Pesos!$B$41+AV366*Pesos!$B$42+AW366*Pesos!$B$43+AX366*Pesos!$B$44+AY366*Pesos!$B$45+AZ366*Pesos!$B$46+BA366*Pesos!$B$47+BB366*Pesos!$B$48+BC366*Pesos!$B$49+BD366*Pesos!$B$50+BE366*Pesos!$B$51+BF366*Pesos!$B$52+BG366*Pesos!$B$53</f>
        <v>250</v>
      </c>
      <c r="G366" s="6" t="n">
        <f aca="false">E366*F366</f>
        <v>125</v>
      </c>
      <c r="H366" s="3" t="n">
        <v>98</v>
      </c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 t="n">
        <v>-5</v>
      </c>
      <c r="AC366" s="3"/>
      <c r="AD366" s="3"/>
      <c r="AE366" s="3"/>
      <c r="AF366" s="3"/>
      <c r="AG366" s="3" t="n">
        <v>5</v>
      </c>
      <c r="AH366" s="3"/>
      <c r="AI366" s="3" t="n">
        <v>10</v>
      </c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 t="s">
        <v>1022</v>
      </c>
      <c r="BI366" s="3"/>
      <c r="BJ366" s="3"/>
      <c r="BK366" s="3"/>
      <c r="BL366" s="3"/>
      <c r="BM366" s="3"/>
    </row>
    <row r="367" customFormat="false" ht="15" hidden="false" customHeight="false" outlineLevel="0" collapsed="false">
      <c r="A367" s="3" t="s">
        <v>65</v>
      </c>
      <c r="B367" s="3" t="s">
        <v>126</v>
      </c>
      <c r="C367" s="3" t="s">
        <v>1009</v>
      </c>
      <c r="D367" s="3" t="s">
        <v>1023</v>
      </c>
      <c r="E367" s="3" t="n">
        <v>0.5</v>
      </c>
      <c r="F367" s="6" t="n">
        <f aca="false">H367*Pesos!$B$2+I367*Pesos!$B$3+J367*Pesos!$B$4+K367*Pesos!$B$5+L367*Pesos!$B$6+M367*Pesos!$B$7+N367*Pesos!$B$8+O367*Pesos!$B$9+P367*Pesos!$B$10+Q367*Pesos!$B$11+R367*Pesos!$B$12+S367*Pesos!$B$13+T367*Pesos!$B$14+U367*Pesos!$B$15+V367*Pesos!$B$16+W367*Pesos!$B$17+X367*Pesos!$B$18+Y367*Pesos!$B$19+Z367*Pesos!$B$20+AA367*Pesos!$B$21+AB367*Pesos!$B$22+AC367*Pesos!$B$23+AD367*Pesos!$B$24+AE367*Pesos!$B$25+AF367*Pesos!$B$26+AG367*Pesos!$B$27+AH367*Pesos!$B$28+AI367*Pesos!$B$29+AJ367*Pesos!$B$30+AK367*Pesos!$B$31+AL367*Pesos!$B$32+AM367*Pesos!$B$33+AN367*Pesos!$B$34+AO367*Pesos!$B$35+AP367*Pesos!$B$36+AQ367*Pesos!$B$37+AR367*Pesos!$B$38+AS367*Pesos!$B$39+AT367*Pesos!$B$40+AU367*Pesos!$B$41+AV367*Pesos!$B$42+AW367*Pesos!$B$43+AX367*Pesos!$B$44+AY367*Pesos!$B$45+AZ367*Pesos!$B$46+BA367*Pesos!$B$47+BB367*Pesos!$B$48+BC367*Pesos!$B$49+BD367*Pesos!$B$50+BE367*Pesos!$B$51+BF367*Pesos!$B$52+BG367*Pesos!$B$53</f>
        <v>300</v>
      </c>
      <c r="G367" s="6" t="n">
        <f aca="false">E367*F367</f>
        <v>150</v>
      </c>
      <c r="H367" s="3" t="n">
        <v>63</v>
      </c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 t="n">
        <v>10</v>
      </c>
      <c r="AH367" s="3"/>
      <c r="AI367" s="3" t="n">
        <v>-5</v>
      </c>
      <c r="AJ367" s="3"/>
      <c r="AK367" s="3"/>
      <c r="AL367" s="3"/>
      <c r="AM367" s="3"/>
      <c r="AN367" s="3" t="n">
        <v>5</v>
      </c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 t="s">
        <v>1023</v>
      </c>
      <c r="BI367" s="3"/>
      <c r="BJ367" s="3"/>
      <c r="BK367" s="3"/>
      <c r="BL367" s="3"/>
      <c r="BM367" s="3" t="s">
        <v>1007</v>
      </c>
    </row>
    <row r="368" customFormat="false" ht="15" hidden="false" customHeight="false" outlineLevel="0" collapsed="false">
      <c r="A368" s="3" t="s">
        <v>65</v>
      </c>
      <c r="B368" s="3" t="s">
        <v>126</v>
      </c>
      <c r="C368" s="3" t="s">
        <v>1024</v>
      </c>
      <c r="D368" s="3" t="s">
        <v>1025</v>
      </c>
      <c r="E368" s="3" t="n">
        <v>0.5</v>
      </c>
      <c r="F368" s="6" t="n">
        <f aca="false">H368*Pesos!$B$2+I368*Pesos!$B$3+J368*Pesos!$B$4+K368*Pesos!$B$5+L368*Pesos!$B$6+M368*Pesos!$B$7+N368*Pesos!$B$8+O368*Pesos!$B$9+P368*Pesos!$B$10+Q368*Pesos!$B$11+R368*Pesos!$B$12+S368*Pesos!$B$13+T368*Pesos!$B$14+U368*Pesos!$B$15+V368*Pesos!$B$16+W368*Pesos!$B$17+X368*Pesos!$B$18+Y368*Pesos!$B$19+Z368*Pesos!$B$20+AA368*Pesos!$B$21+AB368*Pesos!$B$22+AC368*Pesos!$B$23+AD368*Pesos!$B$24+AE368*Pesos!$B$25+AF368*Pesos!$B$26+AG368*Pesos!$B$27+AH368*Pesos!$B$28+AI368*Pesos!$B$29+AJ368*Pesos!$B$30+AK368*Pesos!$B$31+AL368*Pesos!$B$32+AM368*Pesos!$B$33+AN368*Pesos!$B$34+AO368*Pesos!$B$35+AP368*Pesos!$B$36+AQ368*Pesos!$B$37+AR368*Pesos!$B$38+AS368*Pesos!$B$39+AT368*Pesos!$B$40+AU368*Pesos!$B$41+AV368*Pesos!$B$42+AW368*Pesos!$B$43+AX368*Pesos!$B$44+AY368*Pesos!$B$45+AZ368*Pesos!$B$46+BA368*Pesos!$B$47+BB368*Pesos!$B$48+BC368*Pesos!$B$49+BD368*Pesos!$B$50+BE368*Pesos!$B$51+BF368*Pesos!$B$52+BG368*Pesos!$B$53</f>
        <v>50</v>
      </c>
      <c r="G368" s="6" t="n">
        <f aca="false">E368*F368</f>
        <v>25</v>
      </c>
      <c r="H368" s="3" t="n">
        <v>49</v>
      </c>
      <c r="I368" s="3"/>
      <c r="J368" s="3"/>
      <c r="K368" s="3"/>
      <c r="L368" s="3"/>
      <c r="M368" s="3"/>
      <c r="N368" s="3"/>
      <c r="O368" s="3"/>
      <c r="P368" s="3"/>
      <c r="Q368" s="3" t="n">
        <v>2</v>
      </c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customFormat="false" ht="15" hidden="false" customHeight="false" outlineLevel="0" collapsed="false">
      <c r="A369" s="3" t="s">
        <v>65</v>
      </c>
      <c r="B369" s="3" t="s">
        <v>126</v>
      </c>
      <c r="C369" s="3" t="s">
        <v>1026</v>
      </c>
      <c r="D369" s="3" t="s">
        <v>1027</v>
      </c>
      <c r="E369" s="3" t="n">
        <v>0.5</v>
      </c>
      <c r="F369" s="6" t="n">
        <f aca="false">H369*Pesos!$B$2+I369*Pesos!$B$3+J369*Pesos!$B$4+K369*Pesos!$B$5+L369*Pesos!$B$6+M369*Pesos!$B$7+N369*Pesos!$B$8+O369*Pesos!$B$9+P369*Pesos!$B$10+Q369*Pesos!$B$11+R369*Pesos!$B$12+S369*Pesos!$B$13+T369*Pesos!$B$14+U369*Pesos!$B$15+V369*Pesos!$B$16+W369*Pesos!$B$17+X369*Pesos!$B$18+Y369*Pesos!$B$19+Z369*Pesos!$B$20+AA369*Pesos!$B$21+AB369*Pesos!$B$22+AC369*Pesos!$B$23+AD369*Pesos!$B$24+AE369*Pesos!$B$25+AF369*Pesos!$B$26+AG369*Pesos!$B$27+AH369*Pesos!$B$28+AI369*Pesos!$B$29+AJ369*Pesos!$B$30+AK369*Pesos!$B$31+AL369*Pesos!$B$32+AM369*Pesos!$B$33+AN369*Pesos!$B$34+AO369*Pesos!$B$35+AP369*Pesos!$B$36+AQ369*Pesos!$B$37+AR369*Pesos!$B$38+AS369*Pesos!$B$39+AT369*Pesos!$B$40+AU369*Pesos!$B$41+AV369*Pesos!$B$42+AW369*Pesos!$B$43+AX369*Pesos!$B$44+AY369*Pesos!$B$45+AZ369*Pesos!$B$46+BA369*Pesos!$B$47+BB369*Pesos!$B$48+BC369*Pesos!$B$49+BD369*Pesos!$B$50+BE369*Pesos!$B$51+BF369*Pesos!$B$52+BG369*Pesos!$B$53</f>
        <v>160</v>
      </c>
      <c r="G369" s="6" t="n">
        <f aca="false">E369*F369</f>
        <v>80</v>
      </c>
      <c r="H369" s="3" t="n">
        <v>49</v>
      </c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 t="n">
        <v>2</v>
      </c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customFormat="false" ht="15" hidden="false" customHeight="false" outlineLevel="0" collapsed="false">
      <c r="A370" s="3" t="s">
        <v>65</v>
      </c>
      <c r="B370" s="3" t="s">
        <v>126</v>
      </c>
      <c r="C370" s="3" t="s">
        <v>1028</v>
      </c>
      <c r="D370" s="3" t="s">
        <v>1029</v>
      </c>
      <c r="E370" s="3" t="n">
        <v>0.5</v>
      </c>
      <c r="F370" s="6" t="n">
        <f aca="false">H370*Pesos!$B$2+I370*Pesos!$B$3+J370*Pesos!$B$4+K370*Pesos!$B$5+L370*Pesos!$B$6+M370*Pesos!$B$7+N370*Pesos!$B$8+O370*Pesos!$B$9+P370*Pesos!$B$10+Q370*Pesos!$B$11+R370*Pesos!$B$12+S370*Pesos!$B$13+T370*Pesos!$B$14+U370*Pesos!$B$15+V370*Pesos!$B$16+W370*Pesos!$B$17+X370*Pesos!$B$18+Y370*Pesos!$B$19+Z370*Pesos!$B$20+AA370*Pesos!$B$21+AB370*Pesos!$B$22+AC370*Pesos!$B$23+AD370*Pesos!$B$24+AE370*Pesos!$B$25+AF370*Pesos!$B$26+AG370*Pesos!$B$27+AH370*Pesos!$B$28+AI370*Pesos!$B$29+AJ370*Pesos!$B$30+AK370*Pesos!$B$31+AL370*Pesos!$B$32+AM370*Pesos!$B$33+AN370*Pesos!$B$34+AO370*Pesos!$B$35+AP370*Pesos!$B$36+AQ370*Pesos!$B$37+AR370*Pesos!$B$38+AS370*Pesos!$B$39+AT370*Pesos!$B$40+AU370*Pesos!$B$41+AV370*Pesos!$B$42+AW370*Pesos!$B$43+AX370*Pesos!$B$44+AY370*Pesos!$B$45+AZ370*Pesos!$B$46+BA370*Pesos!$B$47+BB370*Pesos!$B$48+BC370*Pesos!$B$49+BD370*Pesos!$B$50+BE370*Pesos!$B$51+BF370*Pesos!$B$52+BG370*Pesos!$B$53</f>
        <v>450</v>
      </c>
      <c r="G370" s="6" t="n">
        <f aca="false">E370*F370</f>
        <v>225</v>
      </c>
      <c r="H370" s="3" t="n">
        <v>84</v>
      </c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 t="n">
        <v>10</v>
      </c>
      <c r="AH370" s="3"/>
      <c r="AI370" s="3" t="n">
        <v>5</v>
      </c>
      <c r="AJ370" s="3"/>
      <c r="AK370" s="3"/>
      <c r="AL370" s="3"/>
      <c r="AM370" s="3"/>
      <c r="AN370" s="3" t="n">
        <v>5</v>
      </c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 t="s">
        <v>1030</v>
      </c>
      <c r="BI370" s="3"/>
      <c r="BJ370" s="3"/>
      <c r="BK370" s="3"/>
      <c r="BL370" s="3"/>
      <c r="BM370" s="3"/>
    </row>
    <row r="371" customFormat="false" ht="15" hidden="false" customHeight="false" outlineLevel="0" collapsed="false">
      <c r="A371" s="3" t="s">
        <v>65</v>
      </c>
      <c r="B371" s="3" t="s">
        <v>126</v>
      </c>
      <c r="C371" s="3" t="s">
        <v>1031</v>
      </c>
      <c r="D371" s="3" t="s">
        <v>1032</v>
      </c>
      <c r="E371" s="3" t="n">
        <v>0.5</v>
      </c>
      <c r="F371" s="6" t="n">
        <f aca="false">H371*Pesos!$B$2+I371*Pesos!$B$3+J371*Pesos!$B$4+K371*Pesos!$B$5+L371*Pesos!$B$6+M371*Pesos!$B$7+N371*Pesos!$B$8+O371*Pesos!$B$9+P371*Pesos!$B$10+Q371*Pesos!$B$11+R371*Pesos!$B$12+S371*Pesos!$B$13+T371*Pesos!$B$14+U371*Pesos!$B$15+V371*Pesos!$B$16+W371*Pesos!$B$17+X371*Pesos!$B$18+Y371*Pesos!$B$19+Z371*Pesos!$B$20+AA371*Pesos!$B$21+AB371*Pesos!$B$22+AC371*Pesos!$B$23+AD371*Pesos!$B$24+AE371*Pesos!$B$25+AF371*Pesos!$B$26+AG371*Pesos!$B$27+AH371*Pesos!$B$28+AI371*Pesos!$B$29+AJ371*Pesos!$B$30+AK371*Pesos!$B$31+AL371*Pesos!$B$32+AM371*Pesos!$B$33+AN371*Pesos!$B$34+AO371*Pesos!$B$35+AP371*Pesos!$B$36+AQ371*Pesos!$B$37+AR371*Pesos!$B$38+AS371*Pesos!$B$39+AT371*Pesos!$B$40+AU371*Pesos!$B$41+AV371*Pesos!$B$42+AW371*Pesos!$B$43+AX371*Pesos!$B$44+AY371*Pesos!$B$45+AZ371*Pesos!$B$46+BA371*Pesos!$B$47+BB371*Pesos!$B$48+BC371*Pesos!$B$49+BD371*Pesos!$B$50+BE371*Pesos!$B$51+BF371*Pesos!$B$52+BG371*Pesos!$B$53</f>
        <v>75</v>
      </c>
      <c r="G371" s="6" t="n">
        <f aca="false">E371*F371</f>
        <v>37.5</v>
      </c>
      <c r="H371" s="3" t="n">
        <v>77</v>
      </c>
      <c r="I371" s="3" t="n">
        <v>50</v>
      </c>
      <c r="J371" s="3"/>
      <c r="K371" s="3"/>
      <c r="L371" s="3"/>
      <c r="M371" s="3"/>
      <c r="N371" s="3"/>
      <c r="O371" s="3"/>
      <c r="P371" s="3"/>
      <c r="Q371" s="3" t="n">
        <v>1</v>
      </c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customFormat="false" ht="15" hidden="false" customHeight="false" outlineLevel="0" collapsed="false">
      <c r="A372" s="3" t="s">
        <v>65</v>
      </c>
      <c r="B372" s="3" t="s">
        <v>126</v>
      </c>
      <c r="C372" s="3" t="s">
        <v>1033</v>
      </c>
      <c r="D372" s="3" t="s">
        <v>1034</v>
      </c>
      <c r="E372" s="3" t="n">
        <v>0.5</v>
      </c>
      <c r="F372" s="6" t="n">
        <f aca="false">H372*Pesos!$B$2+I372*Pesos!$B$3+J372*Pesos!$B$4+K372*Pesos!$B$5+L372*Pesos!$B$6+M372*Pesos!$B$7+N372*Pesos!$B$8+O372*Pesos!$B$9+P372*Pesos!$B$10+Q372*Pesos!$B$11+R372*Pesos!$B$12+S372*Pesos!$B$13+T372*Pesos!$B$14+U372*Pesos!$B$15+V372*Pesos!$B$16+W372*Pesos!$B$17+X372*Pesos!$B$18+Y372*Pesos!$B$19+Z372*Pesos!$B$20+AA372*Pesos!$B$21+AB372*Pesos!$B$22+AC372*Pesos!$B$23+AD372*Pesos!$B$24+AE372*Pesos!$B$25+AF372*Pesos!$B$26+AG372*Pesos!$B$27+AH372*Pesos!$B$28+AI372*Pesos!$B$29+AJ372*Pesos!$B$30+AK372*Pesos!$B$31+AL372*Pesos!$B$32+AM372*Pesos!$B$33+AN372*Pesos!$B$34+AO372*Pesos!$B$35+AP372*Pesos!$B$36+AQ372*Pesos!$B$37+AR372*Pesos!$B$38+AS372*Pesos!$B$39+AT372*Pesos!$B$40+AU372*Pesos!$B$41+AV372*Pesos!$B$42+AW372*Pesos!$B$43+AX372*Pesos!$B$44+AY372*Pesos!$B$45+AZ372*Pesos!$B$46+BA372*Pesos!$B$47+BB372*Pesos!$B$48+BC372*Pesos!$B$49+BD372*Pesos!$B$50+BE372*Pesos!$B$51+BF372*Pesos!$B$52+BG372*Pesos!$B$53</f>
        <v>-36.5</v>
      </c>
      <c r="G372" s="6" t="n">
        <f aca="false">E372*F372</f>
        <v>-18.25</v>
      </c>
      <c r="H372" s="3" t="n">
        <v>98</v>
      </c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 t="n">
        <v>-0.05</v>
      </c>
      <c r="AB372" s="3"/>
      <c r="AC372" s="3"/>
      <c r="AD372" s="3"/>
      <c r="AE372" s="3"/>
      <c r="AF372" s="3"/>
      <c r="AG372" s="3" t="n">
        <v>5</v>
      </c>
      <c r="AH372" s="3"/>
      <c r="AI372" s="3" t="n">
        <v>-10</v>
      </c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 t="s">
        <v>1035</v>
      </c>
      <c r="BI372" s="3"/>
      <c r="BJ372" s="3"/>
      <c r="BK372" s="3"/>
      <c r="BL372" s="3"/>
      <c r="BM372" s="3"/>
    </row>
    <row r="373" customFormat="false" ht="15" hidden="false" customHeight="false" outlineLevel="0" collapsed="false">
      <c r="A373" s="3" t="s">
        <v>65</v>
      </c>
      <c r="B373" s="3" t="s">
        <v>127</v>
      </c>
      <c r="C373" s="3" t="s">
        <v>1036</v>
      </c>
      <c r="D373" s="3" t="s">
        <v>1037</v>
      </c>
      <c r="E373" s="3" t="n">
        <v>1</v>
      </c>
      <c r="F373" s="6" t="n">
        <f aca="false">H373*Pesos!$B$2+I373*Pesos!$B$3+J373*Pesos!$B$4+K373*Pesos!$B$5+L373*Pesos!$B$6+M373*Pesos!$B$7+N373*Pesos!$B$8+O373*Pesos!$B$9+P373*Pesos!$B$10+Q373*Pesos!$B$11+R373*Pesos!$B$12+S373*Pesos!$B$13+T373*Pesos!$B$14+U373*Pesos!$B$15+V373*Pesos!$B$16+W373*Pesos!$B$17+X373*Pesos!$B$18+Y373*Pesos!$B$19+Z373*Pesos!$B$20+AA373*Pesos!$B$21+AB373*Pesos!$B$22+AC373*Pesos!$B$23+AD373*Pesos!$B$24+AE373*Pesos!$B$25+AF373*Pesos!$B$26+AG373*Pesos!$B$27+AH373*Pesos!$B$28+AI373*Pesos!$B$29+AJ373*Pesos!$B$30+AK373*Pesos!$B$31+AL373*Pesos!$B$32+AM373*Pesos!$B$33+AN373*Pesos!$B$34+AO373*Pesos!$B$35+AP373*Pesos!$B$36+AQ373*Pesos!$B$37+AR373*Pesos!$B$38+AS373*Pesos!$B$39+AT373*Pesos!$B$40+AU373*Pesos!$B$41+AV373*Pesos!$B$42+AW373*Pesos!$B$43+AX373*Pesos!$B$44+AY373*Pesos!$B$45+AZ373*Pesos!$B$46+BA373*Pesos!$B$47+BB373*Pesos!$B$48+BC373*Pesos!$B$49+BD373*Pesos!$B$50+BE373*Pesos!$B$51+BF373*Pesos!$B$52+BG373*Pesos!$B$53</f>
        <v>208</v>
      </c>
      <c r="G373" s="6" t="n">
        <f aca="false">E373*F373</f>
        <v>208</v>
      </c>
      <c r="H373" s="3" t="n">
        <v>49</v>
      </c>
      <c r="I373" s="3"/>
      <c r="J373" s="3"/>
      <c r="K373" s="3"/>
      <c r="L373" s="3"/>
      <c r="M373" s="3"/>
      <c r="N373" s="3"/>
      <c r="O373" s="3"/>
      <c r="P373" s="3"/>
      <c r="Q373" s="3"/>
      <c r="R373" s="3" t="n">
        <v>2</v>
      </c>
      <c r="S373" s="3"/>
      <c r="T373" s="3"/>
      <c r="U373" s="3"/>
      <c r="V373" s="3"/>
      <c r="W373" s="3"/>
      <c r="X373" s="3"/>
      <c r="Y373" s="3"/>
      <c r="Z373" s="3"/>
      <c r="AA373" s="3"/>
      <c r="AB373" s="3" t="n">
        <v>-0.4</v>
      </c>
      <c r="AC373" s="3"/>
      <c r="AD373" s="3"/>
      <c r="AE373" s="3"/>
      <c r="AF373" s="3"/>
      <c r="AG373" s="3" t="n">
        <v>1.6</v>
      </c>
      <c r="AH373" s="3"/>
      <c r="AI373" s="3"/>
      <c r="AJ373" s="3"/>
      <c r="AK373" s="3"/>
      <c r="AL373" s="3"/>
      <c r="AM373" s="3"/>
      <c r="AN373" s="3"/>
      <c r="AO373" s="3"/>
      <c r="AP373" s="3" t="n">
        <v>-1.2</v>
      </c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 t="s">
        <v>1006</v>
      </c>
      <c r="BK373" s="3"/>
      <c r="BL373" s="3"/>
      <c r="BM373" s="3"/>
    </row>
    <row r="374" customFormat="false" ht="15" hidden="false" customHeight="false" outlineLevel="0" collapsed="false">
      <c r="A374" s="3" t="s">
        <v>65</v>
      </c>
      <c r="B374" s="3" t="s">
        <v>127</v>
      </c>
      <c r="C374" s="3" t="s">
        <v>1038</v>
      </c>
      <c r="D374" s="3" t="s">
        <v>1039</v>
      </c>
      <c r="E374" s="3" t="n">
        <v>1</v>
      </c>
      <c r="F374" s="6" t="n">
        <f aca="false">H374*Pesos!$B$2+I374*Pesos!$B$3+J374*Pesos!$B$4+K374*Pesos!$B$5+L374*Pesos!$B$6+M374*Pesos!$B$7+N374*Pesos!$B$8+O374*Pesos!$B$9+P374*Pesos!$B$10+Q374*Pesos!$B$11+R374*Pesos!$B$12+S374*Pesos!$B$13+T374*Pesos!$B$14+U374*Pesos!$B$15+V374*Pesos!$B$16+W374*Pesos!$B$17+X374*Pesos!$B$18+Y374*Pesos!$B$19+Z374*Pesos!$B$20+AA374*Pesos!$B$21+AB374*Pesos!$B$22+AC374*Pesos!$B$23+AD374*Pesos!$B$24+AE374*Pesos!$B$25+AF374*Pesos!$B$26+AG374*Pesos!$B$27+AH374*Pesos!$B$28+AI374*Pesos!$B$29+AJ374*Pesos!$B$30+AK374*Pesos!$B$31+AL374*Pesos!$B$32+AM374*Pesos!$B$33+AN374*Pesos!$B$34+AO374*Pesos!$B$35+AP374*Pesos!$B$36+AQ374*Pesos!$B$37+AR374*Pesos!$B$38+AS374*Pesos!$B$39+AT374*Pesos!$B$40+AU374*Pesos!$B$41+AV374*Pesos!$B$42+AW374*Pesos!$B$43+AX374*Pesos!$B$44+AY374*Pesos!$B$45+AZ374*Pesos!$B$46+BA374*Pesos!$B$47+BB374*Pesos!$B$48+BC374*Pesos!$B$49+BD374*Pesos!$B$50+BE374*Pesos!$B$51+BF374*Pesos!$B$52+BG374*Pesos!$B$53</f>
        <v>300</v>
      </c>
      <c r="G374" s="6" t="n">
        <f aca="false">E374*F374</f>
        <v>300</v>
      </c>
      <c r="H374" s="3" t="n">
        <v>49</v>
      </c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 t="n">
        <v>10</v>
      </c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 t="s">
        <v>1039</v>
      </c>
      <c r="BI374" s="3"/>
      <c r="BJ374" s="3"/>
      <c r="BK374" s="3"/>
      <c r="BL374" s="3"/>
      <c r="BM374" s="3"/>
    </row>
    <row r="375" customFormat="false" ht="15" hidden="false" customHeight="false" outlineLevel="0" collapsed="false">
      <c r="A375" s="3" t="s">
        <v>65</v>
      </c>
      <c r="B375" s="3" t="s">
        <v>127</v>
      </c>
      <c r="C375" s="3" t="s">
        <v>1040</v>
      </c>
      <c r="D375" s="3" t="s">
        <v>1041</v>
      </c>
      <c r="E375" s="3" t="n">
        <v>1</v>
      </c>
      <c r="F375" s="6" t="n">
        <f aca="false">H375*Pesos!$B$2+I375*Pesos!$B$3+J375*Pesos!$B$4+K375*Pesos!$B$5+L375*Pesos!$B$6+M375*Pesos!$B$7+N375*Pesos!$B$8+O375*Pesos!$B$9+P375*Pesos!$B$10+Q375*Pesos!$B$11+R375*Pesos!$B$12+S375*Pesos!$B$13+T375*Pesos!$B$14+U375*Pesos!$B$15+V375*Pesos!$B$16+W375*Pesos!$B$17+X375*Pesos!$B$18+Y375*Pesos!$B$19+Z375*Pesos!$B$20+AA375*Pesos!$B$21+AB375*Pesos!$B$22+AC375*Pesos!$B$23+AD375*Pesos!$B$24+AE375*Pesos!$B$25+AF375*Pesos!$B$26+AG375*Pesos!$B$27+AH375*Pesos!$B$28+AI375*Pesos!$B$29+AJ375*Pesos!$B$30+AK375*Pesos!$B$31+AL375*Pesos!$B$32+AM375*Pesos!$B$33+AN375*Pesos!$B$34+AO375*Pesos!$B$35+AP375*Pesos!$B$36+AQ375*Pesos!$B$37+AR375*Pesos!$B$38+AS375*Pesos!$B$39+AT375*Pesos!$B$40+AU375*Pesos!$B$41+AV375*Pesos!$B$42+AW375*Pesos!$B$43+AX375*Pesos!$B$44+AY375*Pesos!$B$45+AZ375*Pesos!$B$46+BA375*Pesos!$B$47+BB375*Pesos!$B$48+BC375*Pesos!$B$49+BD375*Pesos!$B$50+BE375*Pesos!$B$51+BF375*Pesos!$B$52+BG375*Pesos!$B$53</f>
        <v>200</v>
      </c>
      <c r="G375" s="6" t="n">
        <f aca="false">E375*F375</f>
        <v>200</v>
      </c>
      <c r="H375" s="3" t="n">
        <v>49</v>
      </c>
      <c r="I375" s="3"/>
      <c r="J375" s="3"/>
      <c r="K375" s="3"/>
      <c r="L375" s="3"/>
      <c r="M375" s="3"/>
      <c r="N375" s="3"/>
      <c r="O375" s="3"/>
      <c r="P375" s="3"/>
      <c r="Q375" s="3"/>
      <c r="R375" s="3" t="n">
        <v>2</v>
      </c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customFormat="false" ht="15" hidden="false" customHeight="false" outlineLevel="0" collapsed="false">
      <c r="A376" s="3" t="s">
        <v>65</v>
      </c>
      <c r="B376" s="3" t="s">
        <v>127</v>
      </c>
      <c r="C376" s="3" t="s">
        <v>1042</v>
      </c>
      <c r="D376" s="3" t="s">
        <v>1043</v>
      </c>
      <c r="E376" s="3" t="n">
        <v>1</v>
      </c>
      <c r="F376" s="6" t="n">
        <f aca="false">H376*Pesos!$B$2+I376*Pesos!$B$3+J376*Pesos!$B$4+K376*Pesos!$B$5+L376*Pesos!$B$6+M376*Pesos!$B$7+N376*Pesos!$B$8+O376*Pesos!$B$9+P376*Pesos!$B$10+Q376*Pesos!$B$11+R376*Pesos!$B$12+S376*Pesos!$B$13+T376*Pesos!$B$14+U376*Pesos!$B$15+V376*Pesos!$B$16+W376*Pesos!$B$17+X376*Pesos!$B$18+Y376*Pesos!$B$19+Z376*Pesos!$B$20+AA376*Pesos!$B$21+AB376*Pesos!$B$22+AC376*Pesos!$B$23+AD376*Pesos!$B$24+AE376*Pesos!$B$25+AF376*Pesos!$B$26+AG376*Pesos!$B$27+AH376*Pesos!$B$28+AI376*Pesos!$B$29+AJ376*Pesos!$B$30+AK376*Pesos!$B$31+AL376*Pesos!$B$32+AM376*Pesos!$B$33+AN376*Pesos!$B$34+AO376*Pesos!$B$35+AP376*Pesos!$B$36+AQ376*Pesos!$B$37+AR376*Pesos!$B$38+AS376*Pesos!$B$39+AT376*Pesos!$B$40+AU376*Pesos!$B$41+AV376*Pesos!$B$42+AW376*Pesos!$B$43+AX376*Pesos!$B$44+AY376*Pesos!$B$45+AZ376*Pesos!$B$46+BA376*Pesos!$B$47+BB376*Pesos!$B$48+BC376*Pesos!$B$49+BD376*Pesos!$B$50+BE376*Pesos!$B$51+BF376*Pesos!$B$52+BG376*Pesos!$B$53</f>
        <v>185</v>
      </c>
      <c r="G376" s="6" t="n">
        <f aca="false">E376*F376</f>
        <v>185</v>
      </c>
      <c r="H376" s="3" t="n">
        <v>63</v>
      </c>
      <c r="I376" s="3"/>
      <c r="J376" s="3"/>
      <c r="K376" s="3"/>
      <c r="L376" s="3"/>
      <c r="M376" s="3"/>
      <c r="N376" s="3"/>
      <c r="O376" s="3"/>
      <c r="P376" s="3"/>
      <c r="Q376" s="3" t="n">
        <v>1</v>
      </c>
      <c r="R376" s="3"/>
      <c r="S376" s="3" t="n">
        <v>2</v>
      </c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customFormat="false" ht="15" hidden="false" customHeight="false" outlineLevel="0" collapsed="false">
      <c r="A377" s="3" t="s">
        <v>65</v>
      </c>
      <c r="B377" s="3" t="s">
        <v>127</v>
      </c>
      <c r="C377" s="3" t="s">
        <v>1044</v>
      </c>
      <c r="D377" s="3" t="s">
        <v>1045</v>
      </c>
      <c r="E377" s="3" t="n">
        <v>1</v>
      </c>
      <c r="F377" s="6" t="n">
        <f aca="false">H377*Pesos!$B$2+I377*Pesos!$B$3+J377*Pesos!$B$4+K377*Pesos!$B$5+L377*Pesos!$B$6+M377*Pesos!$B$7+N377*Pesos!$B$8+O377*Pesos!$B$9+P377*Pesos!$B$10+Q377*Pesos!$B$11+R377*Pesos!$B$12+S377*Pesos!$B$13+T377*Pesos!$B$14+U377*Pesos!$B$15+V377*Pesos!$B$16+W377*Pesos!$B$17+X377*Pesos!$B$18+Y377*Pesos!$B$19+Z377*Pesos!$B$20+AA377*Pesos!$B$21+AB377*Pesos!$B$22+AC377*Pesos!$B$23+AD377*Pesos!$B$24+AE377*Pesos!$B$25+AF377*Pesos!$B$26+AG377*Pesos!$B$27+AH377*Pesos!$B$28+AI377*Pesos!$B$29+AJ377*Pesos!$B$30+AK377*Pesos!$B$31+AL377*Pesos!$B$32+AM377*Pesos!$B$33+AN377*Pesos!$B$34+AO377*Pesos!$B$35+AP377*Pesos!$B$36+AQ377*Pesos!$B$37+AR377*Pesos!$B$38+AS377*Pesos!$B$39+AT377*Pesos!$B$40+AU377*Pesos!$B$41+AV377*Pesos!$B$42+AW377*Pesos!$B$43+AX377*Pesos!$B$44+AY377*Pesos!$B$45+AZ377*Pesos!$B$46+BA377*Pesos!$B$47+BB377*Pesos!$B$48+BC377*Pesos!$B$49+BD377*Pesos!$B$50+BE377*Pesos!$B$51+BF377*Pesos!$B$52+BG377*Pesos!$B$53</f>
        <v>120</v>
      </c>
      <c r="G377" s="6" t="n">
        <f aca="false">E377*F377</f>
        <v>120</v>
      </c>
      <c r="H377" s="3" t="n">
        <v>49</v>
      </c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 t="n">
        <v>2</v>
      </c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customFormat="false" ht="15" hidden="false" customHeight="false" outlineLevel="0" collapsed="false">
      <c r="A378" s="3" t="s">
        <v>65</v>
      </c>
      <c r="B378" s="3" t="s">
        <v>127</v>
      </c>
      <c r="C378" s="3" t="s">
        <v>1046</v>
      </c>
      <c r="D378" s="3" t="s">
        <v>1047</v>
      </c>
      <c r="E378" s="3" t="n">
        <v>1</v>
      </c>
      <c r="F378" s="6" t="n">
        <f aca="false">H378*Pesos!$B$2+I378*Pesos!$B$3+J378*Pesos!$B$4+K378*Pesos!$B$5+L378*Pesos!$B$6+M378*Pesos!$B$7+N378*Pesos!$B$8+O378*Pesos!$B$9+P378*Pesos!$B$10+Q378*Pesos!$B$11+R378*Pesos!$B$12+S378*Pesos!$B$13+T378*Pesos!$B$14+U378*Pesos!$B$15+V378*Pesos!$B$16+W378*Pesos!$B$17+X378*Pesos!$B$18+Y378*Pesos!$B$19+Z378*Pesos!$B$20+AA378*Pesos!$B$21+AB378*Pesos!$B$22+AC378*Pesos!$B$23+AD378*Pesos!$B$24+AE378*Pesos!$B$25+AF378*Pesos!$B$26+AG378*Pesos!$B$27+AH378*Pesos!$B$28+AI378*Pesos!$B$29+AJ378*Pesos!$B$30+AK378*Pesos!$B$31+AL378*Pesos!$B$32+AM378*Pesos!$B$33+AN378*Pesos!$B$34+AO378*Pesos!$B$35+AP378*Pesos!$B$36+AQ378*Pesos!$B$37+AR378*Pesos!$B$38+AS378*Pesos!$B$39+AT378*Pesos!$B$40+AU378*Pesos!$B$41+AV378*Pesos!$B$42+AW378*Pesos!$B$43+AX378*Pesos!$B$44+AY378*Pesos!$B$45+AZ378*Pesos!$B$46+BA378*Pesos!$B$47+BB378*Pesos!$B$48+BC378*Pesos!$B$49+BD378*Pesos!$B$50+BE378*Pesos!$B$51+BF378*Pesos!$B$52+BG378*Pesos!$B$53</f>
        <v>300</v>
      </c>
      <c r="G378" s="6" t="n">
        <f aca="false">E378*F378</f>
        <v>300</v>
      </c>
      <c r="H378" s="3" t="n">
        <v>105</v>
      </c>
      <c r="I378" s="3"/>
      <c r="J378" s="3"/>
      <c r="K378" s="3"/>
      <c r="L378" s="3"/>
      <c r="M378" s="3"/>
      <c r="N378" s="3"/>
      <c r="O378" s="3"/>
      <c r="P378" s="3" t="n">
        <v>1</v>
      </c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customFormat="false" ht="15" hidden="false" customHeight="false" outlineLevel="0" collapsed="false">
      <c r="A379" s="3" t="s">
        <v>65</v>
      </c>
      <c r="B379" s="3" t="s">
        <v>128</v>
      </c>
      <c r="C379" s="3" t="s">
        <v>1048</v>
      </c>
      <c r="D379" s="3" t="s">
        <v>1049</v>
      </c>
      <c r="E379" s="3" t="n">
        <v>1</v>
      </c>
      <c r="F379" s="6" t="n">
        <f aca="false">H379*Pesos!$B$2+I379*Pesos!$B$3+J379*Pesos!$B$4+K379*Pesos!$B$5+L379*Pesos!$B$6+M379*Pesos!$B$7+N379*Pesos!$B$8+O379*Pesos!$B$9+P379*Pesos!$B$10+Q379*Pesos!$B$11+R379*Pesos!$B$12+S379*Pesos!$B$13+T379*Pesos!$B$14+U379*Pesos!$B$15+V379*Pesos!$B$16+W379*Pesos!$B$17+X379*Pesos!$B$18+Y379*Pesos!$B$19+Z379*Pesos!$B$20+AA379*Pesos!$B$21+AB379*Pesos!$B$22+AC379*Pesos!$B$23+AD379*Pesos!$B$24+AE379*Pesos!$B$25+AF379*Pesos!$B$26+AG379*Pesos!$B$27+AH379*Pesos!$B$28+AI379*Pesos!$B$29+AJ379*Pesos!$B$30+AK379*Pesos!$B$31+AL379*Pesos!$B$32+AM379*Pesos!$B$33+AN379*Pesos!$B$34+AO379*Pesos!$B$35+AP379*Pesos!$B$36+AQ379*Pesos!$B$37+AR379*Pesos!$B$38+AS379*Pesos!$B$39+AT379*Pesos!$B$40+AU379*Pesos!$B$41+AV379*Pesos!$B$42+AW379*Pesos!$B$43+AX379*Pesos!$B$44+AY379*Pesos!$B$45+AZ379*Pesos!$B$46+BA379*Pesos!$B$47+BB379*Pesos!$B$48+BC379*Pesos!$B$49+BD379*Pesos!$B$50+BE379*Pesos!$B$51+BF379*Pesos!$B$52+BG379*Pesos!$B$53</f>
        <v>325</v>
      </c>
      <c r="G379" s="6" t="n">
        <f aca="false">E379*F379</f>
        <v>325</v>
      </c>
      <c r="H379" s="3" t="n">
        <v>49</v>
      </c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 t="n">
        <v>5</v>
      </c>
      <c r="AR379" s="3" t="n">
        <v>10</v>
      </c>
      <c r="AS379" s="3" t="n">
        <v>13</v>
      </c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 t="s">
        <v>1050</v>
      </c>
      <c r="BI379" s="3"/>
      <c r="BJ379" s="3"/>
      <c r="BK379" s="3"/>
      <c r="BL379" s="3"/>
      <c r="BM379" s="3"/>
    </row>
    <row r="380" customFormat="false" ht="15" hidden="false" customHeight="false" outlineLevel="0" collapsed="false">
      <c r="A380" s="3" t="s">
        <v>65</v>
      </c>
      <c r="B380" s="3" t="s">
        <v>128</v>
      </c>
      <c r="C380" s="3" t="s">
        <v>1051</v>
      </c>
      <c r="D380" s="3" t="s">
        <v>1052</v>
      </c>
      <c r="E380" s="3" t="n">
        <v>1</v>
      </c>
      <c r="F380" s="6" t="n">
        <f aca="false">H380*Pesos!$B$2+I380*Pesos!$B$3+J380*Pesos!$B$4+K380*Pesos!$B$5+L380*Pesos!$B$6+M380*Pesos!$B$7+N380*Pesos!$B$8+O380*Pesos!$B$9+P380*Pesos!$B$10+Q380*Pesos!$B$11+R380*Pesos!$B$12+S380*Pesos!$B$13+T380*Pesos!$B$14+U380*Pesos!$B$15+V380*Pesos!$B$16+W380*Pesos!$B$17+X380*Pesos!$B$18+Y380*Pesos!$B$19+Z380*Pesos!$B$20+AA380*Pesos!$B$21+AB380*Pesos!$B$22+AC380*Pesos!$B$23+AD380*Pesos!$B$24+AE380*Pesos!$B$25+AF380*Pesos!$B$26+AG380*Pesos!$B$27+AH380*Pesos!$B$28+AI380*Pesos!$B$29+AJ380*Pesos!$B$30+AK380*Pesos!$B$31+AL380*Pesos!$B$32+AM380*Pesos!$B$33+AN380*Pesos!$B$34+AO380*Pesos!$B$35+AP380*Pesos!$B$36+AQ380*Pesos!$B$37+AR380*Pesos!$B$38+AS380*Pesos!$B$39+AT380*Pesos!$B$40+AU380*Pesos!$B$41+AV380*Pesos!$B$42+AW380*Pesos!$B$43+AX380*Pesos!$B$44+AY380*Pesos!$B$45+AZ380*Pesos!$B$46+BA380*Pesos!$B$47+BB380*Pesos!$B$48+BC380*Pesos!$B$49+BD380*Pesos!$B$50+BE380*Pesos!$B$51+BF380*Pesos!$B$52+BG380*Pesos!$B$53</f>
        <v>80</v>
      </c>
      <c r="G380" s="6" t="n">
        <f aca="false">E380*F380</f>
        <v>80</v>
      </c>
      <c r="H380" s="3" t="n">
        <v>49</v>
      </c>
      <c r="I380" s="3" t="n">
        <v>50</v>
      </c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 t="n">
        <v>2</v>
      </c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customFormat="false" ht="15" hidden="false" customHeight="false" outlineLevel="0" collapsed="false">
      <c r="A381" s="3" t="s">
        <v>65</v>
      </c>
      <c r="B381" s="3" t="s">
        <v>128</v>
      </c>
      <c r="C381" s="3" t="s">
        <v>1053</v>
      </c>
      <c r="D381" s="3" t="s">
        <v>1054</v>
      </c>
      <c r="E381" s="3" t="n">
        <v>1</v>
      </c>
      <c r="F381" s="6" t="n">
        <f aca="false">H381*Pesos!$B$2+I381*Pesos!$B$3+J381*Pesos!$B$4+K381*Pesos!$B$5+L381*Pesos!$B$6+M381*Pesos!$B$7+N381*Pesos!$B$8+O381*Pesos!$B$9+P381*Pesos!$B$10+Q381*Pesos!$B$11+R381*Pesos!$B$12+S381*Pesos!$B$13+T381*Pesos!$B$14+U381*Pesos!$B$15+V381*Pesos!$B$16+W381*Pesos!$B$17+X381*Pesos!$B$18+Y381*Pesos!$B$19+Z381*Pesos!$B$20+AA381*Pesos!$B$21+AB381*Pesos!$B$22+AC381*Pesos!$B$23+AD381*Pesos!$B$24+AE381*Pesos!$B$25+AF381*Pesos!$B$26+AG381*Pesos!$B$27+AH381*Pesos!$B$28+AI381*Pesos!$B$29+AJ381*Pesos!$B$30+AK381*Pesos!$B$31+AL381*Pesos!$B$32+AM381*Pesos!$B$33+AN381*Pesos!$B$34+AO381*Pesos!$B$35+AP381*Pesos!$B$36+AQ381*Pesos!$B$37+AR381*Pesos!$B$38+AS381*Pesos!$B$39+AT381*Pesos!$B$40+AU381*Pesos!$B$41+AV381*Pesos!$B$42+AW381*Pesos!$B$43+AX381*Pesos!$B$44+AY381*Pesos!$B$45+AZ381*Pesos!$B$46+BA381*Pesos!$B$47+BB381*Pesos!$B$48+BC381*Pesos!$B$49+BD381*Pesos!$B$50+BE381*Pesos!$B$51+BF381*Pesos!$B$52+BG381*Pesos!$B$53</f>
        <v>50</v>
      </c>
      <c r="G381" s="6" t="n">
        <f aca="false">E381*F381</f>
        <v>50</v>
      </c>
      <c r="H381" s="3" t="n">
        <v>49</v>
      </c>
      <c r="I381" s="3"/>
      <c r="J381" s="3"/>
      <c r="K381" s="3"/>
      <c r="L381" s="3"/>
      <c r="M381" s="3"/>
      <c r="N381" s="3"/>
      <c r="O381" s="3"/>
      <c r="P381" s="3"/>
      <c r="Q381" s="3" t="n">
        <v>2</v>
      </c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customFormat="false" ht="15" hidden="false" customHeight="false" outlineLevel="0" collapsed="false">
      <c r="A382" s="3" t="s">
        <v>65</v>
      </c>
      <c r="B382" s="3" t="s">
        <v>128</v>
      </c>
      <c r="C382" s="3" t="s">
        <v>1055</v>
      </c>
      <c r="D382" s="3" t="s">
        <v>1056</v>
      </c>
      <c r="E382" s="3" t="n">
        <v>1</v>
      </c>
      <c r="F382" s="6" t="n">
        <f aca="false">H382*Pesos!$B$2+I382*Pesos!$B$3+J382*Pesos!$B$4+K382*Pesos!$B$5+L382*Pesos!$B$6+M382*Pesos!$B$7+N382*Pesos!$B$8+O382*Pesos!$B$9+P382*Pesos!$B$10+Q382*Pesos!$B$11+R382*Pesos!$B$12+S382*Pesos!$B$13+T382*Pesos!$B$14+U382*Pesos!$B$15+V382*Pesos!$B$16+W382*Pesos!$B$17+X382*Pesos!$B$18+Y382*Pesos!$B$19+Z382*Pesos!$B$20+AA382*Pesos!$B$21+AB382*Pesos!$B$22+AC382*Pesos!$B$23+AD382*Pesos!$B$24+AE382*Pesos!$B$25+AF382*Pesos!$B$26+AG382*Pesos!$B$27+AH382*Pesos!$B$28+AI382*Pesos!$B$29+AJ382*Pesos!$B$30+AK382*Pesos!$B$31+AL382*Pesos!$B$32+AM382*Pesos!$B$33+AN382*Pesos!$B$34+AO382*Pesos!$B$35+AP382*Pesos!$B$36+AQ382*Pesos!$B$37+AR382*Pesos!$B$38+AS382*Pesos!$B$39+AT382*Pesos!$B$40+AU382*Pesos!$B$41+AV382*Pesos!$B$42+AW382*Pesos!$B$43+AX382*Pesos!$B$44+AY382*Pesos!$B$45+AZ382*Pesos!$B$46+BA382*Pesos!$B$47+BB382*Pesos!$B$48+BC382*Pesos!$B$49+BD382*Pesos!$B$50+BE382*Pesos!$B$51+BF382*Pesos!$B$52+BG382*Pesos!$B$53</f>
        <v>75</v>
      </c>
      <c r="G382" s="6" t="n">
        <f aca="false">E382*F382</f>
        <v>75</v>
      </c>
      <c r="H382" s="3" t="n">
        <v>63</v>
      </c>
      <c r="I382" s="3"/>
      <c r="J382" s="3"/>
      <c r="K382" s="3"/>
      <c r="L382" s="3"/>
      <c r="M382" s="3" t="n">
        <v>75</v>
      </c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customFormat="false" ht="15" hidden="false" customHeight="false" outlineLevel="0" collapsed="false">
      <c r="A383" s="3" t="s">
        <v>65</v>
      </c>
      <c r="B383" s="3" t="s">
        <v>128</v>
      </c>
      <c r="C383" s="3" t="s">
        <v>1057</v>
      </c>
      <c r="D383" s="3" t="s">
        <v>1058</v>
      </c>
      <c r="E383" s="3" t="n">
        <v>1</v>
      </c>
      <c r="F383" s="6" t="n">
        <f aca="false">H383*Pesos!$B$2+I383*Pesos!$B$3+J383*Pesos!$B$4+K383*Pesos!$B$5+L383*Pesos!$B$6+M383*Pesos!$B$7+N383*Pesos!$B$8+O383*Pesos!$B$9+P383*Pesos!$B$10+Q383*Pesos!$B$11+R383*Pesos!$B$12+S383*Pesos!$B$13+T383*Pesos!$B$14+U383*Pesos!$B$15+V383*Pesos!$B$16+W383*Pesos!$B$17+X383*Pesos!$B$18+Y383*Pesos!$B$19+Z383*Pesos!$B$20+AA383*Pesos!$B$21+AB383*Pesos!$B$22+AC383*Pesos!$B$23+AD383*Pesos!$B$24+AE383*Pesos!$B$25+AF383*Pesos!$B$26+AG383*Pesos!$B$27+AH383*Pesos!$B$28+AI383*Pesos!$B$29+AJ383*Pesos!$B$30+AK383*Pesos!$B$31+AL383*Pesos!$B$32+AM383*Pesos!$B$33+AN383*Pesos!$B$34+AO383*Pesos!$B$35+AP383*Pesos!$B$36+AQ383*Pesos!$B$37+AR383*Pesos!$B$38+AS383*Pesos!$B$39+AT383*Pesos!$B$40+AU383*Pesos!$B$41+AV383*Pesos!$B$42+AW383*Pesos!$B$43+AX383*Pesos!$B$44+AY383*Pesos!$B$45+AZ383*Pesos!$B$46+BA383*Pesos!$B$47+BB383*Pesos!$B$48+BC383*Pesos!$B$49+BD383*Pesos!$B$50+BE383*Pesos!$B$51+BF383*Pesos!$B$52+BG383*Pesos!$B$53</f>
        <v>50</v>
      </c>
      <c r="G383" s="6" t="n">
        <f aca="false">E383*F383</f>
        <v>50</v>
      </c>
      <c r="H383" s="3" t="n">
        <v>49</v>
      </c>
      <c r="I383" s="3"/>
      <c r="J383" s="3"/>
      <c r="K383" s="3"/>
      <c r="L383" s="3"/>
      <c r="M383" s="3"/>
      <c r="N383" s="3"/>
      <c r="O383" s="3"/>
      <c r="P383" s="3"/>
      <c r="Q383" s="3" t="n">
        <v>2</v>
      </c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customFormat="false" ht="15" hidden="false" customHeight="false" outlineLevel="0" collapsed="false">
      <c r="A384" s="3" t="s">
        <v>65</v>
      </c>
      <c r="B384" s="3" t="s">
        <v>128</v>
      </c>
      <c r="C384" s="3" t="s">
        <v>1059</v>
      </c>
      <c r="D384" s="3" t="s">
        <v>1060</v>
      </c>
      <c r="E384" s="3" t="n">
        <v>1</v>
      </c>
      <c r="F384" s="6" t="n">
        <f aca="false">H384*Pesos!$B$2+I384*Pesos!$B$3+J384*Pesos!$B$4+K384*Pesos!$B$5+L384*Pesos!$B$6+M384*Pesos!$B$7+N384*Pesos!$B$8+O384*Pesos!$B$9+P384*Pesos!$B$10+Q384*Pesos!$B$11+R384*Pesos!$B$12+S384*Pesos!$B$13+T384*Pesos!$B$14+U384*Pesos!$B$15+V384*Pesos!$B$16+W384*Pesos!$B$17+X384*Pesos!$B$18+Y384*Pesos!$B$19+Z384*Pesos!$B$20+AA384*Pesos!$B$21+AB384*Pesos!$B$22+AC384*Pesos!$B$23+AD384*Pesos!$B$24+AE384*Pesos!$B$25+AF384*Pesos!$B$26+AG384*Pesos!$B$27+AH384*Pesos!$B$28+AI384*Pesos!$B$29+AJ384*Pesos!$B$30+AK384*Pesos!$B$31+AL384*Pesos!$B$32+AM384*Pesos!$B$33+AN384*Pesos!$B$34+AO384*Pesos!$B$35+AP384*Pesos!$B$36+AQ384*Pesos!$B$37+AR384*Pesos!$B$38+AS384*Pesos!$B$39+AT384*Pesos!$B$40+AU384*Pesos!$B$41+AV384*Pesos!$B$42+AW384*Pesos!$B$43+AX384*Pesos!$B$44+AY384*Pesos!$B$45+AZ384*Pesos!$B$46+BA384*Pesos!$B$47+BB384*Pesos!$B$48+BC384*Pesos!$B$49+BD384*Pesos!$B$50+BE384*Pesos!$B$51+BF384*Pesos!$B$52+BG384*Pesos!$B$53</f>
        <v>150</v>
      </c>
      <c r="G384" s="6" t="n">
        <f aca="false">E384*F384</f>
        <v>150</v>
      </c>
      <c r="H384" s="3" t="n">
        <v>84</v>
      </c>
      <c r="I384" s="3"/>
      <c r="J384" s="3"/>
      <c r="K384" s="3"/>
      <c r="L384" s="3"/>
      <c r="M384" s="3" t="n">
        <v>150</v>
      </c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customFormat="false" ht="15" hidden="false" customHeight="false" outlineLevel="0" collapsed="false">
      <c r="A385" s="3" t="s">
        <v>65</v>
      </c>
      <c r="B385" s="3" t="s">
        <v>129</v>
      </c>
      <c r="C385" s="3" t="s">
        <v>1061</v>
      </c>
      <c r="D385" s="3" t="s">
        <v>1062</v>
      </c>
      <c r="E385" s="3" t="n">
        <v>1</v>
      </c>
      <c r="F385" s="6" t="n">
        <f aca="false">H385*Pesos!$B$2+I385*Pesos!$B$3+J385*Pesos!$B$4+K385*Pesos!$B$5+L385*Pesos!$B$6+M385*Pesos!$B$7+N385*Pesos!$B$8+O385*Pesos!$B$9+P385*Pesos!$B$10+Q385*Pesos!$B$11+R385*Pesos!$B$12+S385*Pesos!$B$13+T385*Pesos!$B$14+U385*Pesos!$B$15+V385*Pesos!$B$16+W385*Pesos!$B$17+X385*Pesos!$B$18+Y385*Pesos!$B$19+Z385*Pesos!$B$20+AA385*Pesos!$B$21+AB385*Pesos!$B$22+AC385*Pesos!$B$23+AD385*Pesos!$B$24+AE385*Pesos!$B$25+AF385*Pesos!$B$26+AG385*Pesos!$B$27+AH385*Pesos!$B$28+AI385*Pesos!$B$29+AJ385*Pesos!$B$30+AK385*Pesos!$B$31+AL385*Pesos!$B$32+AM385*Pesos!$B$33+AN385*Pesos!$B$34+AO385*Pesos!$B$35+AP385*Pesos!$B$36+AQ385*Pesos!$B$37+AR385*Pesos!$B$38+AS385*Pesos!$B$39+AT385*Pesos!$B$40+AU385*Pesos!$B$41+AV385*Pesos!$B$42+AW385*Pesos!$B$43+AX385*Pesos!$B$44+AY385*Pesos!$B$45+AZ385*Pesos!$B$46+BA385*Pesos!$B$47+BB385*Pesos!$B$48+BC385*Pesos!$B$49+BD385*Pesos!$B$50+BE385*Pesos!$B$51+BF385*Pesos!$B$52+BG385*Pesos!$B$53</f>
        <v>18</v>
      </c>
      <c r="G385" s="6" t="n">
        <f aca="false">E385*F385</f>
        <v>18</v>
      </c>
      <c r="H385" s="3" t="n">
        <v>49</v>
      </c>
      <c r="I385" s="3"/>
      <c r="J385" s="3"/>
      <c r="K385" s="3"/>
      <c r="L385" s="3"/>
      <c r="M385" s="3"/>
      <c r="N385" s="3"/>
      <c r="O385" s="3"/>
      <c r="P385" s="3"/>
      <c r="Q385" s="3" t="n">
        <v>2</v>
      </c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 t="n">
        <v>1.6</v>
      </c>
      <c r="AC385" s="3"/>
      <c r="AD385" s="3"/>
      <c r="AE385" s="3"/>
      <c r="AF385" s="3"/>
      <c r="AG385" s="3" t="n">
        <v>-0.4</v>
      </c>
      <c r="AH385" s="3"/>
      <c r="AI385" s="3"/>
      <c r="AJ385" s="3"/>
      <c r="AK385" s="3"/>
      <c r="AL385" s="3"/>
      <c r="AM385" s="3"/>
      <c r="AN385" s="3"/>
      <c r="AO385" s="3"/>
      <c r="AP385" s="3" t="n">
        <v>-1.2</v>
      </c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 t="s">
        <v>969</v>
      </c>
      <c r="BK385" s="3"/>
      <c r="BL385" s="3"/>
      <c r="BM385" s="3"/>
    </row>
    <row r="386" customFormat="false" ht="15" hidden="false" customHeight="false" outlineLevel="0" collapsed="false">
      <c r="A386" s="3" t="s">
        <v>65</v>
      </c>
      <c r="B386" s="3" t="s">
        <v>129</v>
      </c>
      <c r="C386" s="3" t="s">
        <v>1063</v>
      </c>
      <c r="D386" s="3" t="s">
        <v>1064</v>
      </c>
      <c r="E386" s="3" t="n">
        <v>1</v>
      </c>
      <c r="F386" s="6" t="n">
        <f aca="false">H386*Pesos!$B$2+I386*Pesos!$B$3+J386*Pesos!$B$4+K386*Pesos!$B$5+L386*Pesos!$B$6+M386*Pesos!$B$7+N386*Pesos!$B$8+O386*Pesos!$B$9+P386*Pesos!$B$10+Q386*Pesos!$B$11+R386*Pesos!$B$12+S386*Pesos!$B$13+T386*Pesos!$B$14+U386*Pesos!$B$15+V386*Pesos!$B$16+W386*Pesos!$B$17+X386*Pesos!$B$18+Y386*Pesos!$B$19+Z386*Pesos!$B$20+AA386*Pesos!$B$21+AB386*Pesos!$B$22+AC386*Pesos!$B$23+AD386*Pesos!$B$24+AE386*Pesos!$B$25+AF386*Pesos!$B$26+AG386*Pesos!$B$27+AH386*Pesos!$B$28+AI386*Pesos!$B$29+AJ386*Pesos!$B$30+AK386*Pesos!$B$31+AL386*Pesos!$B$32+AM386*Pesos!$B$33+AN386*Pesos!$B$34+AO386*Pesos!$B$35+AP386*Pesos!$B$36+AQ386*Pesos!$B$37+AR386*Pesos!$B$38+AS386*Pesos!$B$39+AT386*Pesos!$B$40+AU386*Pesos!$B$41+AV386*Pesos!$B$42+AW386*Pesos!$B$43+AX386*Pesos!$B$44+AY386*Pesos!$B$45+AZ386*Pesos!$B$46+BA386*Pesos!$B$47+BB386*Pesos!$B$48+BC386*Pesos!$B$49+BD386*Pesos!$B$50+BE386*Pesos!$B$51+BF386*Pesos!$B$52+BG386*Pesos!$B$53</f>
        <v>50</v>
      </c>
      <c r="G386" s="6" t="n">
        <f aca="false">E386*F386</f>
        <v>50</v>
      </c>
      <c r="H386" s="3" t="n">
        <v>49</v>
      </c>
      <c r="I386" s="3"/>
      <c r="J386" s="3"/>
      <c r="K386" s="3"/>
      <c r="L386" s="3"/>
      <c r="M386" s="3"/>
      <c r="N386" s="3"/>
      <c r="O386" s="3"/>
      <c r="P386" s="3"/>
      <c r="Q386" s="3" t="n">
        <v>2</v>
      </c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customFormat="false" ht="15" hidden="false" customHeight="false" outlineLevel="0" collapsed="false">
      <c r="A387" s="3" t="s">
        <v>65</v>
      </c>
      <c r="B387" s="3" t="s">
        <v>129</v>
      </c>
      <c r="C387" s="3" t="s">
        <v>1065</v>
      </c>
      <c r="D387" s="3" t="s">
        <v>1066</v>
      </c>
      <c r="E387" s="3" t="n">
        <v>1</v>
      </c>
      <c r="F387" s="6" t="n">
        <f aca="false">H387*Pesos!$B$2+I387*Pesos!$B$3+J387*Pesos!$B$4+K387*Pesos!$B$5+L387*Pesos!$B$6+M387*Pesos!$B$7+N387*Pesos!$B$8+O387*Pesos!$B$9+P387*Pesos!$B$10+Q387*Pesos!$B$11+R387*Pesos!$B$12+S387*Pesos!$B$13+T387*Pesos!$B$14+U387*Pesos!$B$15+V387*Pesos!$B$16+W387*Pesos!$B$17+X387*Pesos!$B$18+Y387*Pesos!$B$19+Z387*Pesos!$B$20+AA387*Pesos!$B$21+AB387*Pesos!$B$22+AC387*Pesos!$B$23+AD387*Pesos!$B$24+AE387*Pesos!$B$25+AF387*Pesos!$B$26+AG387*Pesos!$B$27+AH387*Pesos!$B$28+AI387*Pesos!$B$29+AJ387*Pesos!$B$30+AK387*Pesos!$B$31+AL387*Pesos!$B$32+AM387*Pesos!$B$33+AN387*Pesos!$B$34+AO387*Pesos!$B$35+AP387*Pesos!$B$36+AQ387*Pesos!$B$37+AR387*Pesos!$B$38+AS387*Pesos!$B$39+AT387*Pesos!$B$40+AU387*Pesos!$B$41+AV387*Pesos!$B$42+AW387*Pesos!$B$43+AX387*Pesos!$B$44+AY387*Pesos!$B$45+AZ387*Pesos!$B$46+BA387*Pesos!$B$47+BB387*Pesos!$B$48+BC387*Pesos!$B$49+BD387*Pesos!$B$50+BE387*Pesos!$B$51+BF387*Pesos!$B$52+BG387*Pesos!$B$53</f>
        <v>120</v>
      </c>
      <c r="G387" s="6" t="n">
        <f aca="false">E387*F387</f>
        <v>120</v>
      </c>
      <c r="H387" s="3" t="n">
        <v>49</v>
      </c>
      <c r="I387" s="3"/>
      <c r="J387" s="3"/>
      <c r="K387" s="3"/>
      <c r="L387" s="3"/>
      <c r="M387" s="3"/>
      <c r="N387" s="3"/>
      <c r="O387" s="3" t="n">
        <v>50</v>
      </c>
      <c r="P387" s="3"/>
      <c r="Q387" s="3"/>
      <c r="R387" s="3"/>
      <c r="S387" s="3"/>
      <c r="T387" s="3"/>
      <c r="U387" s="3"/>
      <c r="V387" s="3" t="n">
        <v>2</v>
      </c>
      <c r="W387" s="3"/>
      <c r="X387" s="3"/>
      <c r="Y387" s="3" t="n">
        <v>100</v>
      </c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customFormat="false" ht="15" hidden="false" customHeight="false" outlineLevel="0" collapsed="false">
      <c r="A388" s="3" t="s">
        <v>65</v>
      </c>
      <c r="B388" s="3" t="s">
        <v>129</v>
      </c>
      <c r="C388" s="3" t="s">
        <v>1067</v>
      </c>
      <c r="D388" s="3" t="s">
        <v>1068</v>
      </c>
      <c r="E388" s="3" t="n">
        <v>1</v>
      </c>
      <c r="F388" s="6" t="n">
        <f aca="false">H388*Pesos!$B$2+I388*Pesos!$B$3+J388*Pesos!$B$4+K388*Pesos!$B$5+L388*Pesos!$B$6+M388*Pesos!$B$7+N388*Pesos!$B$8+O388*Pesos!$B$9+P388*Pesos!$B$10+Q388*Pesos!$B$11+R388*Pesos!$B$12+S388*Pesos!$B$13+T388*Pesos!$B$14+U388*Pesos!$B$15+V388*Pesos!$B$16+W388*Pesos!$B$17+X388*Pesos!$B$18+Y388*Pesos!$B$19+Z388*Pesos!$B$20+AA388*Pesos!$B$21+AB388*Pesos!$B$22+AC388*Pesos!$B$23+AD388*Pesos!$B$24+AE388*Pesos!$B$25+AF388*Pesos!$B$26+AG388*Pesos!$B$27+AH388*Pesos!$B$28+AI388*Pesos!$B$29+AJ388*Pesos!$B$30+AK388*Pesos!$B$31+AL388*Pesos!$B$32+AM388*Pesos!$B$33+AN388*Pesos!$B$34+AO388*Pesos!$B$35+AP388*Pesos!$B$36+AQ388*Pesos!$B$37+AR388*Pesos!$B$38+AS388*Pesos!$B$39+AT388*Pesos!$B$40+AU388*Pesos!$B$41+AV388*Pesos!$B$42+AW388*Pesos!$B$43+AX388*Pesos!$B$44+AY388*Pesos!$B$45+AZ388*Pesos!$B$46+BA388*Pesos!$B$47+BB388*Pesos!$B$48+BC388*Pesos!$B$49+BD388*Pesos!$B$50+BE388*Pesos!$B$51+BF388*Pesos!$B$52+BG388*Pesos!$B$53</f>
        <v>110</v>
      </c>
      <c r="G388" s="6" t="n">
        <f aca="false">E388*F388</f>
        <v>110</v>
      </c>
      <c r="H388" s="3" t="n">
        <v>63</v>
      </c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 t="n">
        <v>5</v>
      </c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 t="n">
        <v>5</v>
      </c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 t="s">
        <v>1068</v>
      </c>
      <c r="BI388" s="3"/>
      <c r="BJ388" s="3"/>
      <c r="BK388" s="3"/>
      <c r="BL388" s="3"/>
      <c r="BM388" s="3"/>
    </row>
    <row r="389" customFormat="false" ht="15" hidden="false" customHeight="false" outlineLevel="0" collapsed="false">
      <c r="A389" s="3" t="s">
        <v>65</v>
      </c>
      <c r="B389" s="3" t="s">
        <v>129</v>
      </c>
      <c r="C389" s="3" t="s">
        <v>1069</v>
      </c>
      <c r="D389" s="3" t="s">
        <v>1070</v>
      </c>
      <c r="E389" s="3" t="n">
        <v>1</v>
      </c>
      <c r="F389" s="6" t="n">
        <f aca="false">H389*Pesos!$B$2+I389*Pesos!$B$3+J389*Pesos!$B$4+K389*Pesos!$B$5+L389*Pesos!$B$6+M389*Pesos!$B$7+N389*Pesos!$B$8+O389*Pesos!$B$9+P389*Pesos!$B$10+Q389*Pesos!$B$11+R389*Pesos!$B$12+S389*Pesos!$B$13+T389*Pesos!$B$14+U389*Pesos!$B$15+V389*Pesos!$B$16+W389*Pesos!$B$17+X389*Pesos!$B$18+Y389*Pesos!$B$19+Z389*Pesos!$B$20+AA389*Pesos!$B$21+AB389*Pesos!$B$22+AC389*Pesos!$B$23+AD389*Pesos!$B$24+AE389*Pesos!$B$25+AF389*Pesos!$B$26+AG389*Pesos!$B$27+AH389*Pesos!$B$28+AI389*Pesos!$B$29+AJ389*Pesos!$B$30+AK389*Pesos!$B$31+AL389*Pesos!$B$32+AM389*Pesos!$B$33+AN389*Pesos!$B$34+AO389*Pesos!$B$35+AP389*Pesos!$B$36+AQ389*Pesos!$B$37+AR389*Pesos!$B$38+AS389*Pesos!$B$39+AT389*Pesos!$B$40+AU389*Pesos!$B$41+AV389*Pesos!$B$42+AW389*Pesos!$B$43+AX389*Pesos!$B$44+AY389*Pesos!$B$45+AZ389*Pesos!$B$46+BA389*Pesos!$B$47+BB389*Pesos!$B$48+BC389*Pesos!$B$49+BD389*Pesos!$B$50+BE389*Pesos!$B$51+BF389*Pesos!$B$52+BG389*Pesos!$B$53</f>
        <v>50</v>
      </c>
      <c r="G389" s="6" t="n">
        <f aca="false">E389*F389</f>
        <v>50</v>
      </c>
      <c r="H389" s="3" t="n">
        <v>49</v>
      </c>
      <c r="I389" s="3"/>
      <c r="J389" s="3"/>
      <c r="K389" s="3"/>
      <c r="L389" s="3"/>
      <c r="M389" s="3"/>
      <c r="N389" s="3"/>
      <c r="O389" s="3"/>
      <c r="P389" s="3"/>
      <c r="Q389" s="3" t="n">
        <v>2</v>
      </c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customFormat="false" ht="15" hidden="false" customHeight="false" outlineLevel="0" collapsed="false">
      <c r="A390" s="3" t="s">
        <v>65</v>
      </c>
      <c r="B390" s="3" t="s">
        <v>129</v>
      </c>
      <c r="C390" s="3" t="s">
        <v>1071</v>
      </c>
      <c r="D390" s="3" t="s">
        <v>1072</v>
      </c>
      <c r="E390" s="3" t="n">
        <v>1</v>
      </c>
      <c r="F390" s="6" t="n">
        <f aca="false">H390*Pesos!$B$2+I390*Pesos!$B$3+J390*Pesos!$B$4+K390*Pesos!$B$5+L390*Pesos!$B$6+M390*Pesos!$B$7+N390*Pesos!$B$8+O390*Pesos!$B$9+P390*Pesos!$B$10+Q390*Pesos!$B$11+R390*Pesos!$B$12+S390*Pesos!$B$13+T390*Pesos!$B$14+U390*Pesos!$B$15+V390*Pesos!$B$16+W390*Pesos!$B$17+X390*Pesos!$B$18+Y390*Pesos!$B$19+Z390*Pesos!$B$20+AA390*Pesos!$B$21+AB390*Pesos!$B$22+AC390*Pesos!$B$23+AD390*Pesos!$B$24+AE390*Pesos!$B$25+AF390*Pesos!$B$26+AG390*Pesos!$B$27+AH390*Pesos!$B$28+AI390*Pesos!$B$29+AJ390*Pesos!$B$30+AK390*Pesos!$B$31+AL390*Pesos!$B$32+AM390*Pesos!$B$33+AN390*Pesos!$B$34+AO390*Pesos!$B$35+AP390*Pesos!$B$36+AQ390*Pesos!$B$37+AR390*Pesos!$B$38+AS390*Pesos!$B$39+AT390*Pesos!$B$40+AU390*Pesos!$B$41+AV390*Pesos!$B$42+AW390*Pesos!$B$43+AX390*Pesos!$B$44+AY390*Pesos!$B$45+AZ390*Pesos!$B$46+BA390*Pesos!$B$47+BB390*Pesos!$B$48+BC390*Pesos!$B$49+BD390*Pesos!$B$50+BE390*Pesos!$B$51+BF390*Pesos!$B$52+BG390*Pesos!$B$53</f>
        <v>195</v>
      </c>
      <c r="G390" s="6" t="n">
        <f aca="false">E390*F390</f>
        <v>195</v>
      </c>
      <c r="H390" s="3" t="n">
        <v>84</v>
      </c>
      <c r="I390" s="3"/>
      <c r="J390" s="3"/>
      <c r="K390" s="3"/>
      <c r="L390" s="3"/>
      <c r="M390" s="3"/>
      <c r="N390" s="3" t="n">
        <v>25</v>
      </c>
      <c r="O390" s="3"/>
      <c r="P390" s="3"/>
      <c r="Q390" s="3" t="n">
        <v>2</v>
      </c>
      <c r="R390" s="3"/>
      <c r="S390" s="3"/>
      <c r="T390" s="3" t="n">
        <v>2</v>
      </c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customFormat="false" ht="15" hidden="false" customHeight="false" outlineLevel="0" collapsed="false">
      <c r="A391" s="3" t="s">
        <v>65</v>
      </c>
      <c r="B391" s="3" t="s">
        <v>130</v>
      </c>
      <c r="C391" s="3" t="s">
        <v>1073</v>
      </c>
      <c r="D391" s="3" t="s">
        <v>1074</v>
      </c>
      <c r="E391" s="3" t="n">
        <v>1</v>
      </c>
      <c r="F391" s="6" t="n">
        <f aca="false">H391*Pesos!$B$2+I391*Pesos!$B$3+J391*Pesos!$B$4+K391*Pesos!$B$5+L391*Pesos!$B$6+M391*Pesos!$B$7+N391*Pesos!$B$8+O391*Pesos!$B$9+P391*Pesos!$B$10+Q391*Pesos!$B$11+R391*Pesos!$B$12+S391*Pesos!$B$13+T391*Pesos!$B$14+U391*Pesos!$B$15+V391*Pesos!$B$16+W391*Pesos!$B$17+X391*Pesos!$B$18+Y391*Pesos!$B$19+Z391*Pesos!$B$20+AA391*Pesos!$B$21+AB391*Pesos!$B$22+AC391*Pesos!$B$23+AD391*Pesos!$B$24+AE391*Pesos!$B$25+AF391*Pesos!$B$26+AG391*Pesos!$B$27+AH391*Pesos!$B$28+AI391*Pesos!$B$29+AJ391*Pesos!$B$30+AK391*Pesos!$B$31+AL391*Pesos!$B$32+AM391*Pesos!$B$33+AN391*Pesos!$B$34+AO391*Pesos!$B$35+AP391*Pesos!$B$36+AQ391*Pesos!$B$37+AR391*Pesos!$B$38+AS391*Pesos!$B$39+AT391*Pesos!$B$40+AU391*Pesos!$B$41+AV391*Pesos!$B$42+AW391*Pesos!$B$43+AX391*Pesos!$B$44+AY391*Pesos!$B$45+AZ391*Pesos!$B$46+BA391*Pesos!$B$47+BB391*Pesos!$B$48+BC391*Pesos!$B$49+BD391*Pesos!$B$50+BE391*Pesos!$B$51+BF391*Pesos!$B$52+BG391*Pesos!$B$53</f>
        <v>50</v>
      </c>
      <c r="G391" s="6" t="n">
        <f aca="false">E391*F391</f>
        <v>50</v>
      </c>
      <c r="H391" s="3" t="n">
        <v>35</v>
      </c>
      <c r="I391" s="3" t="n">
        <v>50</v>
      </c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customFormat="false" ht="15" hidden="false" customHeight="false" outlineLevel="0" collapsed="false">
      <c r="A392" s="3" t="s">
        <v>65</v>
      </c>
      <c r="B392" s="3" t="s">
        <v>130</v>
      </c>
      <c r="C392" s="3" t="s">
        <v>1075</v>
      </c>
      <c r="D392" s="3" t="s">
        <v>1076</v>
      </c>
      <c r="E392" s="3" t="n">
        <v>1</v>
      </c>
      <c r="F392" s="6" t="n">
        <f aca="false">H392*Pesos!$B$2+I392*Pesos!$B$3+J392*Pesos!$B$4+K392*Pesos!$B$5+L392*Pesos!$B$6+M392*Pesos!$B$7+N392*Pesos!$B$8+O392*Pesos!$B$9+P392*Pesos!$B$10+Q392*Pesos!$B$11+R392*Pesos!$B$12+S392*Pesos!$B$13+T392*Pesos!$B$14+U392*Pesos!$B$15+V392*Pesos!$B$16+W392*Pesos!$B$17+X392*Pesos!$B$18+Y392*Pesos!$B$19+Z392*Pesos!$B$20+AA392*Pesos!$B$21+AB392*Pesos!$B$22+AC392*Pesos!$B$23+AD392*Pesos!$B$24+AE392*Pesos!$B$25+AF392*Pesos!$B$26+AG392*Pesos!$B$27+AH392*Pesos!$B$28+AI392*Pesos!$B$29+AJ392*Pesos!$B$30+AK392*Pesos!$B$31+AL392*Pesos!$B$32+AM392*Pesos!$B$33+AN392*Pesos!$B$34+AO392*Pesos!$B$35+AP392*Pesos!$B$36+AQ392*Pesos!$B$37+AR392*Pesos!$B$38+AS392*Pesos!$B$39+AT392*Pesos!$B$40+AU392*Pesos!$B$41+AV392*Pesos!$B$42+AW392*Pesos!$B$43+AX392*Pesos!$B$44+AY392*Pesos!$B$45+AZ392*Pesos!$B$46+BA392*Pesos!$B$47+BB392*Pesos!$B$48+BC392*Pesos!$B$49+BD392*Pesos!$B$50+BE392*Pesos!$B$51+BF392*Pesos!$B$52+BG392*Pesos!$B$53</f>
        <v>188</v>
      </c>
      <c r="G392" s="6" t="n">
        <f aca="false">E392*F392</f>
        <v>188</v>
      </c>
      <c r="H392" s="3" t="n">
        <v>49</v>
      </c>
      <c r="I392" s="3"/>
      <c r="J392" s="3"/>
      <c r="K392" s="3"/>
      <c r="L392" s="3"/>
      <c r="M392" s="3"/>
      <c r="N392" s="3"/>
      <c r="O392" s="3"/>
      <c r="P392" s="3"/>
      <c r="Q392" s="3"/>
      <c r="R392" s="3" t="n">
        <v>2</v>
      </c>
      <c r="S392" s="3"/>
      <c r="T392" s="3"/>
      <c r="U392" s="3"/>
      <c r="V392" s="3"/>
      <c r="W392" s="3"/>
      <c r="X392" s="3"/>
      <c r="Y392" s="3"/>
      <c r="Z392" s="3"/>
      <c r="AA392" s="3"/>
      <c r="AB392" s="3" t="n">
        <v>-1.2</v>
      </c>
      <c r="AC392" s="3"/>
      <c r="AD392" s="3"/>
      <c r="AE392" s="3"/>
      <c r="AF392" s="3"/>
      <c r="AG392" s="3" t="n">
        <v>2.4</v>
      </c>
      <c r="AH392" s="3"/>
      <c r="AI392" s="3"/>
      <c r="AJ392" s="3"/>
      <c r="AK392" s="3"/>
      <c r="AL392" s="3"/>
      <c r="AM392" s="3"/>
      <c r="AN392" s="3"/>
      <c r="AO392" s="3"/>
      <c r="AP392" s="3" t="n">
        <v>-2.4</v>
      </c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 t="s">
        <v>1077</v>
      </c>
      <c r="BK392" s="3"/>
      <c r="BL392" s="3"/>
      <c r="BM392" s="3"/>
    </row>
    <row r="393" customFormat="false" ht="15" hidden="false" customHeight="false" outlineLevel="0" collapsed="false">
      <c r="A393" s="3" t="s">
        <v>65</v>
      </c>
      <c r="B393" s="3" t="s">
        <v>130</v>
      </c>
      <c r="C393" s="3" t="s">
        <v>1078</v>
      </c>
      <c r="D393" s="3" t="s">
        <v>1079</v>
      </c>
      <c r="E393" s="3" t="n">
        <v>1</v>
      </c>
      <c r="F393" s="6" t="n">
        <f aca="false">H393*Pesos!$B$2+I393*Pesos!$B$3+J393*Pesos!$B$4+K393*Pesos!$B$5+L393*Pesos!$B$6+M393*Pesos!$B$7+N393*Pesos!$B$8+O393*Pesos!$B$9+P393*Pesos!$B$10+Q393*Pesos!$B$11+R393*Pesos!$B$12+S393*Pesos!$B$13+T393*Pesos!$B$14+U393*Pesos!$B$15+V393*Pesos!$B$16+W393*Pesos!$B$17+X393*Pesos!$B$18+Y393*Pesos!$B$19+Z393*Pesos!$B$20+AA393*Pesos!$B$21+AB393*Pesos!$B$22+AC393*Pesos!$B$23+AD393*Pesos!$B$24+AE393*Pesos!$B$25+AF393*Pesos!$B$26+AG393*Pesos!$B$27+AH393*Pesos!$B$28+AI393*Pesos!$B$29+AJ393*Pesos!$B$30+AK393*Pesos!$B$31+AL393*Pesos!$B$32+AM393*Pesos!$B$33+AN393*Pesos!$B$34+AO393*Pesos!$B$35+AP393*Pesos!$B$36+AQ393*Pesos!$B$37+AR393*Pesos!$B$38+AS393*Pesos!$B$39+AT393*Pesos!$B$40+AU393*Pesos!$B$41+AV393*Pesos!$B$42+AW393*Pesos!$B$43+AX393*Pesos!$B$44+AY393*Pesos!$B$45+AZ393*Pesos!$B$46+BA393*Pesos!$B$47+BB393*Pesos!$B$48+BC393*Pesos!$B$49+BD393*Pesos!$B$50+BE393*Pesos!$B$51+BF393*Pesos!$B$52+BG393*Pesos!$B$53</f>
        <v>20</v>
      </c>
      <c r="G393" s="6" t="n">
        <f aca="false">E393*F393</f>
        <v>20</v>
      </c>
      <c r="H393" s="3" t="n">
        <v>49</v>
      </c>
      <c r="I393" s="3" t="n">
        <v>100</v>
      </c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 t="n">
        <v>2.8</v>
      </c>
      <c r="AC393" s="3"/>
      <c r="AD393" s="3"/>
      <c r="AE393" s="3"/>
      <c r="AF393" s="3"/>
      <c r="AG393" s="3" t="n">
        <v>-1.2</v>
      </c>
      <c r="AH393" s="3"/>
      <c r="AI393" s="3"/>
      <c r="AJ393" s="3"/>
      <c r="AK393" s="3"/>
      <c r="AL393" s="3"/>
      <c r="AM393" s="3"/>
      <c r="AN393" s="3"/>
      <c r="AO393" s="3"/>
      <c r="AP393" s="3" t="n">
        <v>-2.4</v>
      </c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 t="s">
        <v>1080</v>
      </c>
      <c r="BK393" s="3"/>
      <c r="BL393" s="3"/>
      <c r="BM393" s="3"/>
    </row>
    <row r="394" customFormat="false" ht="15" hidden="false" customHeight="false" outlineLevel="0" collapsed="false">
      <c r="A394" s="3" t="s">
        <v>65</v>
      </c>
      <c r="B394" s="3" t="s">
        <v>130</v>
      </c>
      <c r="C394" s="3" t="s">
        <v>1081</v>
      </c>
      <c r="D394" s="3" t="s">
        <v>1082</v>
      </c>
      <c r="E394" s="3" t="n">
        <v>1</v>
      </c>
      <c r="F394" s="6" t="n">
        <f aca="false">H394*Pesos!$B$2+I394*Pesos!$B$3+J394*Pesos!$B$4+K394*Pesos!$B$5+L394*Pesos!$B$6+M394*Pesos!$B$7+N394*Pesos!$B$8+O394*Pesos!$B$9+P394*Pesos!$B$10+Q394*Pesos!$B$11+R394*Pesos!$B$12+S394*Pesos!$B$13+T394*Pesos!$B$14+U394*Pesos!$B$15+V394*Pesos!$B$16+W394*Pesos!$B$17+X394*Pesos!$B$18+Y394*Pesos!$B$19+Z394*Pesos!$B$20+AA394*Pesos!$B$21+AB394*Pesos!$B$22+AC394*Pesos!$B$23+AD394*Pesos!$B$24+AE394*Pesos!$B$25+AF394*Pesos!$B$26+AG394*Pesos!$B$27+AH394*Pesos!$B$28+AI394*Pesos!$B$29+AJ394*Pesos!$B$30+AK394*Pesos!$B$31+AL394*Pesos!$B$32+AM394*Pesos!$B$33+AN394*Pesos!$B$34+AO394*Pesos!$B$35+AP394*Pesos!$B$36+AQ394*Pesos!$B$37+AR394*Pesos!$B$38+AS394*Pesos!$B$39+AT394*Pesos!$B$40+AU394*Pesos!$B$41+AV394*Pesos!$B$42+AW394*Pesos!$B$43+AX394*Pesos!$B$44+AY394*Pesos!$B$45+AZ394*Pesos!$B$46+BA394*Pesos!$B$47+BB394*Pesos!$B$48+BC394*Pesos!$B$49+BD394*Pesos!$B$50+BE394*Pesos!$B$51+BF394*Pesos!$B$52+BG394*Pesos!$B$53</f>
        <v>260</v>
      </c>
      <c r="G394" s="6" t="n">
        <f aca="false">E394*F394</f>
        <v>260</v>
      </c>
      <c r="H394" s="3" t="n">
        <v>49</v>
      </c>
      <c r="I394" s="3"/>
      <c r="J394" s="3"/>
      <c r="K394" s="3"/>
      <c r="L394" s="3" t="n">
        <v>100000</v>
      </c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 t="n">
        <v>-1.2</v>
      </c>
      <c r="AC394" s="3"/>
      <c r="AD394" s="3"/>
      <c r="AE394" s="3"/>
      <c r="AF394" s="3"/>
      <c r="AG394" s="3" t="n">
        <v>-1.2</v>
      </c>
      <c r="AH394" s="3"/>
      <c r="AI394" s="3"/>
      <c r="AJ394" s="3"/>
      <c r="AK394" s="3"/>
      <c r="AL394" s="3"/>
      <c r="AM394" s="3"/>
      <c r="AN394" s="3"/>
      <c r="AO394" s="3"/>
      <c r="AP394" s="3" t="n">
        <v>3.6</v>
      </c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 t="s">
        <v>986</v>
      </c>
      <c r="BK394" s="3"/>
      <c r="BL394" s="3"/>
      <c r="BM394" s="3"/>
    </row>
    <row r="395" customFormat="false" ht="15" hidden="false" customHeight="false" outlineLevel="0" collapsed="false">
      <c r="A395" s="3" t="s">
        <v>65</v>
      </c>
      <c r="B395" s="3" t="s">
        <v>130</v>
      </c>
      <c r="C395" s="3" t="s">
        <v>1083</v>
      </c>
      <c r="D395" s="3" t="s">
        <v>1084</v>
      </c>
      <c r="E395" s="3" t="n">
        <v>1</v>
      </c>
      <c r="F395" s="6" t="n">
        <f aca="false">H395*Pesos!$B$2+I395*Pesos!$B$3+J395*Pesos!$B$4+K395*Pesos!$B$5+L395*Pesos!$B$6+M395*Pesos!$B$7+N395*Pesos!$B$8+O395*Pesos!$B$9+P395*Pesos!$B$10+Q395*Pesos!$B$11+R395*Pesos!$B$12+S395*Pesos!$B$13+T395*Pesos!$B$14+U395*Pesos!$B$15+V395*Pesos!$B$16+W395*Pesos!$B$17+X395*Pesos!$B$18+Y395*Pesos!$B$19+Z395*Pesos!$B$20+AA395*Pesos!$B$21+AB395*Pesos!$B$22+AC395*Pesos!$B$23+AD395*Pesos!$B$24+AE395*Pesos!$B$25+AF395*Pesos!$B$26+AG395*Pesos!$B$27+AH395*Pesos!$B$28+AI395*Pesos!$B$29+AJ395*Pesos!$B$30+AK395*Pesos!$B$31+AL395*Pesos!$B$32+AM395*Pesos!$B$33+AN395*Pesos!$B$34+AO395*Pesos!$B$35+AP395*Pesos!$B$36+AQ395*Pesos!$B$37+AR395*Pesos!$B$38+AS395*Pesos!$B$39+AT395*Pesos!$B$40+AU395*Pesos!$B$41+AV395*Pesos!$B$42+AW395*Pesos!$B$43+AX395*Pesos!$B$44+AY395*Pesos!$B$45+AZ395*Pesos!$B$46+BA395*Pesos!$B$47+BB395*Pesos!$B$48+BC395*Pesos!$B$49+BD395*Pesos!$B$50+BE395*Pesos!$B$51+BF395*Pesos!$B$52+BG395*Pesos!$B$53</f>
        <v>-28</v>
      </c>
      <c r="G395" s="6" t="n">
        <f aca="false">E395*F395</f>
        <v>-28</v>
      </c>
      <c r="H395" s="3" t="n">
        <v>63</v>
      </c>
      <c r="I395" s="3"/>
      <c r="J395" s="3" t="n">
        <v>5</v>
      </c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 t="n">
        <v>1.2</v>
      </c>
      <c r="AC395" s="3"/>
      <c r="AD395" s="3"/>
      <c r="AE395" s="3"/>
      <c r="AF395" s="3"/>
      <c r="AG395" s="3" t="n">
        <v>1.2</v>
      </c>
      <c r="AH395" s="3"/>
      <c r="AI395" s="3"/>
      <c r="AJ395" s="3"/>
      <c r="AK395" s="3"/>
      <c r="AL395" s="3"/>
      <c r="AM395" s="3"/>
      <c r="AN395" s="3"/>
      <c r="AO395" s="3"/>
      <c r="AP395" s="3" t="n">
        <v>-4.2</v>
      </c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customFormat="false" ht="15" hidden="false" customHeight="false" outlineLevel="0" collapsed="false">
      <c r="A396" s="3" t="s">
        <v>65</v>
      </c>
      <c r="B396" s="3" t="s">
        <v>130</v>
      </c>
      <c r="C396" s="3" t="s">
        <v>1085</v>
      </c>
      <c r="D396" s="3" t="s">
        <v>1086</v>
      </c>
      <c r="E396" s="3" t="n">
        <v>1</v>
      </c>
      <c r="F396" s="6" t="n">
        <f aca="false">H396*Pesos!$B$2+I396*Pesos!$B$3+J396*Pesos!$B$4+K396*Pesos!$B$5+L396*Pesos!$B$6+M396*Pesos!$B$7+N396*Pesos!$B$8+O396*Pesos!$B$9+P396*Pesos!$B$10+Q396*Pesos!$B$11+R396*Pesos!$B$12+S396*Pesos!$B$13+T396*Pesos!$B$14+U396*Pesos!$B$15+V396*Pesos!$B$16+W396*Pesos!$B$17+X396*Pesos!$B$18+Y396*Pesos!$B$19+Z396*Pesos!$B$20+AA396*Pesos!$B$21+AB396*Pesos!$B$22+AC396*Pesos!$B$23+AD396*Pesos!$B$24+AE396*Pesos!$B$25+AF396*Pesos!$B$26+AG396*Pesos!$B$27+AH396*Pesos!$B$28+AI396*Pesos!$B$29+AJ396*Pesos!$B$30+AK396*Pesos!$B$31+AL396*Pesos!$B$32+AM396*Pesos!$B$33+AN396*Pesos!$B$34+AO396*Pesos!$B$35+AP396*Pesos!$B$36+AQ396*Pesos!$B$37+AR396*Pesos!$B$38+AS396*Pesos!$B$39+AT396*Pesos!$B$40+AU396*Pesos!$B$41+AV396*Pesos!$B$42+AW396*Pesos!$B$43+AX396*Pesos!$B$44+AY396*Pesos!$B$45+AZ396*Pesos!$B$46+BA396*Pesos!$B$47+BB396*Pesos!$B$48+BC396*Pesos!$B$49+BD396*Pesos!$B$50+BE396*Pesos!$B$51+BF396*Pesos!$B$52+BG396*Pesos!$B$53</f>
        <v>50</v>
      </c>
      <c r="G396" s="6" t="n">
        <f aca="false">E396*F396</f>
        <v>50</v>
      </c>
      <c r="H396" s="3" t="n">
        <v>49</v>
      </c>
      <c r="I396" s="3"/>
      <c r="J396" s="3"/>
      <c r="K396" s="3"/>
      <c r="L396" s="3"/>
      <c r="M396" s="3"/>
      <c r="N396" s="3"/>
      <c r="O396" s="3"/>
      <c r="P396" s="3"/>
      <c r="Q396" s="3" t="n">
        <v>2</v>
      </c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customFormat="false" ht="15" hidden="false" customHeight="false" outlineLevel="0" collapsed="false">
      <c r="A397" s="3" t="s">
        <v>65</v>
      </c>
      <c r="B397" s="3" t="s">
        <v>130</v>
      </c>
      <c r="C397" s="3" t="s">
        <v>1087</v>
      </c>
      <c r="D397" s="3" t="s">
        <v>1088</v>
      </c>
      <c r="E397" s="3" t="n">
        <v>1</v>
      </c>
      <c r="F397" s="6" t="n">
        <f aca="false">H397*Pesos!$B$2+I397*Pesos!$B$3+J397*Pesos!$B$4+K397*Pesos!$B$5+L397*Pesos!$B$6+M397*Pesos!$B$7+N397*Pesos!$B$8+O397*Pesos!$B$9+P397*Pesos!$B$10+Q397*Pesos!$B$11+R397*Pesos!$B$12+S397*Pesos!$B$13+T397*Pesos!$B$14+U397*Pesos!$B$15+V397*Pesos!$B$16+W397*Pesos!$B$17+X397*Pesos!$B$18+Y397*Pesos!$B$19+Z397*Pesos!$B$20+AA397*Pesos!$B$21+AB397*Pesos!$B$22+AC397*Pesos!$B$23+AD397*Pesos!$B$24+AE397*Pesos!$B$25+AF397*Pesos!$B$26+AG397*Pesos!$B$27+AH397*Pesos!$B$28+AI397*Pesos!$B$29+AJ397*Pesos!$B$30+AK397*Pesos!$B$31+AL397*Pesos!$B$32+AM397*Pesos!$B$33+AN397*Pesos!$B$34+AO397*Pesos!$B$35+AP397*Pesos!$B$36+AQ397*Pesos!$B$37+AR397*Pesos!$B$38+AS397*Pesos!$B$39+AT397*Pesos!$B$40+AU397*Pesos!$B$41+AV397*Pesos!$B$42+AW397*Pesos!$B$43+AX397*Pesos!$B$44+AY397*Pesos!$B$45+AZ397*Pesos!$B$46+BA397*Pesos!$B$47+BB397*Pesos!$B$48+BC397*Pesos!$B$49+BD397*Pesos!$B$50+BE397*Pesos!$B$51+BF397*Pesos!$B$52+BG397*Pesos!$B$53</f>
        <v>250</v>
      </c>
      <c r="G397" s="6" t="n">
        <f aca="false">E397*F397</f>
        <v>250</v>
      </c>
      <c r="H397" s="3" t="n">
        <v>49</v>
      </c>
      <c r="I397" s="3"/>
      <c r="J397" s="3" t="n">
        <v>5</v>
      </c>
      <c r="K397" s="3"/>
      <c r="L397" s="3"/>
      <c r="M397" s="3"/>
      <c r="N397" s="3"/>
      <c r="O397" s="3"/>
      <c r="P397" s="3"/>
      <c r="Q397" s="3"/>
      <c r="R397" s="3" t="n">
        <v>2</v>
      </c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customFormat="false" ht="15" hidden="false" customHeight="false" outlineLevel="0" collapsed="false">
      <c r="A398" s="3" t="s">
        <v>65</v>
      </c>
      <c r="B398" s="3" t="s">
        <v>130</v>
      </c>
      <c r="C398" s="3" t="s">
        <v>1089</v>
      </c>
      <c r="D398" s="3" t="s">
        <v>1090</v>
      </c>
      <c r="E398" s="3" t="n">
        <v>1</v>
      </c>
      <c r="F398" s="6" t="n">
        <f aca="false">H398*Pesos!$B$2+I398*Pesos!$B$3+J398*Pesos!$B$4+K398*Pesos!$B$5+L398*Pesos!$B$6+M398*Pesos!$B$7+N398*Pesos!$B$8+O398*Pesos!$B$9+P398*Pesos!$B$10+Q398*Pesos!$B$11+R398*Pesos!$B$12+S398*Pesos!$B$13+T398*Pesos!$B$14+U398*Pesos!$B$15+V398*Pesos!$B$16+W398*Pesos!$B$17+X398*Pesos!$B$18+Y398*Pesos!$B$19+Z398*Pesos!$B$20+AA398*Pesos!$B$21+AB398*Pesos!$B$22+AC398*Pesos!$B$23+AD398*Pesos!$B$24+AE398*Pesos!$B$25+AF398*Pesos!$B$26+AG398*Pesos!$B$27+AH398*Pesos!$B$28+AI398*Pesos!$B$29+AJ398*Pesos!$B$30+AK398*Pesos!$B$31+AL398*Pesos!$B$32+AM398*Pesos!$B$33+AN398*Pesos!$B$34+AO398*Pesos!$B$35+AP398*Pesos!$B$36+AQ398*Pesos!$B$37+AR398*Pesos!$B$38+AS398*Pesos!$B$39+AT398*Pesos!$B$40+AU398*Pesos!$B$41+AV398*Pesos!$B$42+AW398*Pesos!$B$43+AX398*Pesos!$B$44+AY398*Pesos!$B$45+AZ398*Pesos!$B$46+BA398*Pesos!$B$47+BB398*Pesos!$B$48+BC398*Pesos!$B$49+BD398*Pesos!$B$50+BE398*Pesos!$B$51+BF398*Pesos!$B$52+BG398*Pesos!$B$53</f>
        <v>450</v>
      </c>
      <c r="G398" s="6" t="n">
        <f aca="false">E398*F398</f>
        <v>450</v>
      </c>
      <c r="H398" s="3" t="n">
        <v>105</v>
      </c>
      <c r="I398" s="3" t="n">
        <v>150</v>
      </c>
      <c r="J398" s="3"/>
      <c r="K398" s="3"/>
      <c r="L398" s="3"/>
      <c r="M398" s="3"/>
      <c r="N398" s="3"/>
      <c r="O398" s="3"/>
      <c r="P398" s="3" t="n">
        <v>1</v>
      </c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customFormat="false" ht="15" hidden="false" customHeight="false" outlineLevel="0" collapsed="false">
      <c r="A399" s="3" t="s">
        <v>65</v>
      </c>
      <c r="B399" s="3" t="s">
        <v>131</v>
      </c>
      <c r="C399" s="3" t="s">
        <v>1091</v>
      </c>
      <c r="D399" s="3" t="s">
        <v>1092</v>
      </c>
      <c r="E399" s="3" t="n">
        <v>1</v>
      </c>
      <c r="F399" s="6" t="n">
        <f aca="false">H399*Pesos!$B$2+I399*Pesos!$B$3+J399*Pesos!$B$4+K399*Pesos!$B$5+L399*Pesos!$B$6+M399*Pesos!$B$7+N399*Pesos!$B$8+O399*Pesos!$B$9+P399*Pesos!$B$10+Q399*Pesos!$B$11+R399*Pesos!$B$12+S399*Pesos!$B$13+T399*Pesos!$B$14+U399*Pesos!$B$15+V399*Pesos!$B$16+W399*Pesos!$B$17+X399*Pesos!$B$18+Y399*Pesos!$B$19+Z399*Pesos!$B$20+AA399*Pesos!$B$21+AB399*Pesos!$B$22+AC399*Pesos!$B$23+AD399*Pesos!$B$24+AE399*Pesos!$B$25+AF399*Pesos!$B$26+AG399*Pesos!$B$27+AH399*Pesos!$B$28+AI399*Pesos!$B$29+AJ399*Pesos!$B$30+AK399*Pesos!$B$31+AL399*Pesos!$B$32+AM399*Pesos!$B$33+AN399*Pesos!$B$34+AO399*Pesos!$B$35+AP399*Pesos!$B$36+AQ399*Pesos!$B$37+AR399*Pesos!$B$38+AS399*Pesos!$B$39+AT399*Pesos!$B$40+AU399*Pesos!$B$41+AV399*Pesos!$B$42+AW399*Pesos!$B$43+AX399*Pesos!$B$44+AY399*Pesos!$B$45+AZ399*Pesos!$B$46+BA399*Pesos!$B$47+BB399*Pesos!$B$48+BC399*Pesos!$B$49+BD399*Pesos!$B$50+BE399*Pesos!$B$51+BF399*Pesos!$B$52+BG399*Pesos!$B$53</f>
        <v>28</v>
      </c>
      <c r="G399" s="6" t="n">
        <f aca="false">E399*F399</f>
        <v>28</v>
      </c>
      <c r="H399" s="3" t="n">
        <v>49</v>
      </c>
      <c r="I399" s="3" t="n">
        <v>50</v>
      </c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 t="n">
        <v>0.8</v>
      </c>
      <c r="AC399" s="3"/>
      <c r="AD399" s="3"/>
      <c r="AE399" s="3"/>
      <c r="AF399" s="3"/>
      <c r="AG399" s="3" t="n">
        <v>0.8</v>
      </c>
      <c r="AH399" s="3"/>
      <c r="AI399" s="3"/>
      <c r="AJ399" s="3"/>
      <c r="AK399" s="3"/>
      <c r="AL399" s="3"/>
      <c r="AM399" s="3"/>
      <c r="AN399" s="3"/>
      <c r="AO399" s="3"/>
      <c r="AP399" s="3" t="n">
        <v>-1.8</v>
      </c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 t="s">
        <v>981</v>
      </c>
      <c r="BI399" s="3"/>
      <c r="BJ399" s="3"/>
      <c r="BK399" s="3"/>
      <c r="BL399" s="3"/>
      <c r="BM399" s="3"/>
    </row>
    <row r="400" customFormat="false" ht="15" hidden="false" customHeight="false" outlineLevel="0" collapsed="false">
      <c r="A400" s="3" t="s">
        <v>65</v>
      </c>
      <c r="B400" s="3" t="s">
        <v>131</v>
      </c>
      <c r="C400" s="3" t="s">
        <v>1093</v>
      </c>
      <c r="D400" s="3" t="s">
        <v>1094</v>
      </c>
      <c r="E400" s="3" t="n">
        <v>1</v>
      </c>
      <c r="F400" s="6" t="n">
        <f aca="false">H400*Pesos!$B$2+I400*Pesos!$B$3+J400*Pesos!$B$4+K400*Pesos!$B$5+L400*Pesos!$B$6+M400*Pesos!$B$7+N400*Pesos!$B$8+O400*Pesos!$B$9+P400*Pesos!$B$10+Q400*Pesos!$B$11+R400*Pesos!$B$12+S400*Pesos!$B$13+T400*Pesos!$B$14+U400*Pesos!$B$15+V400*Pesos!$B$16+W400*Pesos!$B$17+X400*Pesos!$B$18+Y400*Pesos!$B$19+Z400*Pesos!$B$20+AA400*Pesos!$B$21+AB400*Pesos!$B$22+AC400*Pesos!$B$23+AD400*Pesos!$B$24+AE400*Pesos!$B$25+AF400*Pesos!$B$26+AG400*Pesos!$B$27+AH400*Pesos!$B$28+AI400*Pesos!$B$29+AJ400*Pesos!$B$30+AK400*Pesos!$B$31+AL400*Pesos!$B$32+AM400*Pesos!$B$33+AN400*Pesos!$B$34+AO400*Pesos!$B$35+AP400*Pesos!$B$36+AQ400*Pesos!$B$37+AR400*Pesos!$B$38+AS400*Pesos!$B$39+AT400*Pesos!$B$40+AU400*Pesos!$B$41+AV400*Pesos!$B$42+AW400*Pesos!$B$43+AX400*Pesos!$B$44+AY400*Pesos!$B$45+AZ400*Pesos!$B$46+BA400*Pesos!$B$47+BB400*Pesos!$B$48+BC400*Pesos!$B$49+BD400*Pesos!$B$50+BE400*Pesos!$B$51+BF400*Pesos!$B$52+BG400*Pesos!$B$53</f>
        <v>200</v>
      </c>
      <c r="G400" s="6" t="n">
        <f aca="false">E400*F400</f>
        <v>200</v>
      </c>
      <c r="H400" s="3" t="n">
        <v>49</v>
      </c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 t="n">
        <v>5</v>
      </c>
      <c r="AC400" s="3"/>
      <c r="AD400" s="3"/>
      <c r="AE400" s="3"/>
      <c r="AF400" s="3"/>
      <c r="AG400" s="3" t="n">
        <v>5</v>
      </c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 t="s">
        <v>1094</v>
      </c>
      <c r="BI400" s="3"/>
      <c r="BJ400" s="3"/>
      <c r="BK400" s="3"/>
      <c r="BL400" s="3"/>
      <c r="BM400" s="3"/>
    </row>
    <row r="401" customFormat="false" ht="15" hidden="false" customHeight="false" outlineLevel="0" collapsed="false">
      <c r="A401" s="3" t="s">
        <v>65</v>
      </c>
      <c r="B401" s="3" t="s">
        <v>131</v>
      </c>
      <c r="C401" s="3" t="s">
        <v>1095</v>
      </c>
      <c r="D401" s="3" t="s">
        <v>1096</v>
      </c>
      <c r="E401" s="3" t="n">
        <v>1</v>
      </c>
      <c r="F401" s="6" t="n">
        <f aca="false">H401*Pesos!$B$2+I401*Pesos!$B$3+J401*Pesos!$B$4+K401*Pesos!$B$5+L401*Pesos!$B$6+M401*Pesos!$B$7+N401*Pesos!$B$8+O401*Pesos!$B$9+P401*Pesos!$B$10+Q401*Pesos!$B$11+R401*Pesos!$B$12+S401*Pesos!$B$13+T401*Pesos!$B$14+U401*Pesos!$B$15+V401*Pesos!$B$16+W401*Pesos!$B$17+X401*Pesos!$B$18+Y401*Pesos!$B$19+Z401*Pesos!$B$20+AA401*Pesos!$B$21+AB401*Pesos!$B$22+AC401*Pesos!$B$23+AD401*Pesos!$B$24+AE401*Pesos!$B$25+AF401*Pesos!$B$26+AG401*Pesos!$B$27+AH401*Pesos!$B$28+AI401*Pesos!$B$29+AJ401*Pesos!$B$30+AK401*Pesos!$B$31+AL401*Pesos!$B$32+AM401*Pesos!$B$33+AN401*Pesos!$B$34+AO401*Pesos!$B$35+AP401*Pesos!$B$36+AQ401*Pesos!$B$37+AR401*Pesos!$B$38+AS401*Pesos!$B$39+AT401*Pesos!$B$40+AU401*Pesos!$B$41+AV401*Pesos!$B$42+AW401*Pesos!$B$43+AX401*Pesos!$B$44+AY401*Pesos!$B$45+AZ401*Pesos!$B$46+BA401*Pesos!$B$47+BB401*Pesos!$B$48+BC401*Pesos!$B$49+BD401*Pesos!$B$50+BE401*Pesos!$B$51+BF401*Pesos!$B$52+BG401*Pesos!$B$53</f>
        <v>152</v>
      </c>
      <c r="G401" s="6" t="n">
        <f aca="false">E401*F401</f>
        <v>152</v>
      </c>
      <c r="H401" s="3" t="n">
        <v>63</v>
      </c>
      <c r="I401" s="3"/>
      <c r="J401" s="3"/>
      <c r="K401" s="3"/>
      <c r="L401" s="3"/>
      <c r="M401" s="3"/>
      <c r="N401" s="3"/>
      <c r="O401" s="3"/>
      <c r="P401" s="3"/>
      <c r="Q401" s="3"/>
      <c r="R401" s="3" t="n">
        <v>2</v>
      </c>
      <c r="S401" s="3"/>
      <c r="T401" s="3"/>
      <c r="U401" s="3"/>
      <c r="V401" s="3"/>
      <c r="W401" s="3"/>
      <c r="X401" s="3"/>
      <c r="Y401" s="3"/>
      <c r="Z401" s="3"/>
      <c r="AA401" s="3"/>
      <c r="AB401" s="3" t="n">
        <v>1.2</v>
      </c>
      <c r="AC401" s="3"/>
      <c r="AD401" s="3"/>
      <c r="AE401" s="3"/>
      <c r="AF401" s="3"/>
      <c r="AG401" s="3" t="n">
        <v>-0.8</v>
      </c>
      <c r="AH401" s="3"/>
      <c r="AI401" s="3"/>
      <c r="AJ401" s="3"/>
      <c r="AK401" s="3"/>
      <c r="AL401" s="3"/>
      <c r="AM401" s="3"/>
      <c r="AN401" s="3"/>
      <c r="AO401" s="3"/>
      <c r="AP401" s="3" t="n">
        <v>-1.2</v>
      </c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 t="s">
        <v>969</v>
      </c>
      <c r="BK401" s="3"/>
      <c r="BL401" s="3"/>
      <c r="BM401" s="3"/>
    </row>
    <row r="402" customFormat="false" ht="15" hidden="false" customHeight="false" outlineLevel="0" collapsed="false">
      <c r="A402" s="3" t="s">
        <v>65</v>
      </c>
      <c r="B402" s="3" t="s">
        <v>131</v>
      </c>
      <c r="C402" s="3" t="s">
        <v>1097</v>
      </c>
      <c r="D402" s="3" t="s">
        <v>1098</v>
      </c>
      <c r="E402" s="3" t="n">
        <v>1</v>
      </c>
      <c r="F402" s="6" t="n">
        <f aca="false">H402*Pesos!$B$2+I402*Pesos!$B$3+J402*Pesos!$B$4+K402*Pesos!$B$5+L402*Pesos!$B$6+M402*Pesos!$B$7+N402*Pesos!$B$8+O402*Pesos!$B$9+P402*Pesos!$B$10+Q402*Pesos!$B$11+R402*Pesos!$B$12+S402*Pesos!$B$13+T402*Pesos!$B$14+U402*Pesos!$B$15+V402*Pesos!$B$16+W402*Pesos!$B$17+X402*Pesos!$B$18+Y402*Pesos!$B$19+Z402*Pesos!$B$20+AA402*Pesos!$B$21+AB402*Pesos!$B$22+AC402*Pesos!$B$23+AD402*Pesos!$B$24+AE402*Pesos!$B$25+AF402*Pesos!$B$26+AG402*Pesos!$B$27+AH402*Pesos!$B$28+AI402*Pesos!$B$29+AJ402*Pesos!$B$30+AK402*Pesos!$B$31+AL402*Pesos!$B$32+AM402*Pesos!$B$33+AN402*Pesos!$B$34+AO402*Pesos!$B$35+AP402*Pesos!$B$36+AQ402*Pesos!$B$37+AR402*Pesos!$B$38+AS402*Pesos!$B$39+AT402*Pesos!$B$40+AU402*Pesos!$B$41+AV402*Pesos!$B$42+AW402*Pesos!$B$43+AX402*Pesos!$B$44+AY402*Pesos!$B$45+AZ402*Pesos!$B$46+BA402*Pesos!$B$47+BB402*Pesos!$B$48+BC402*Pesos!$B$49+BD402*Pesos!$B$50+BE402*Pesos!$B$51+BF402*Pesos!$B$52+BG402*Pesos!$B$53</f>
        <v>200</v>
      </c>
      <c r="G402" s="6" t="n">
        <f aca="false">E402*F402</f>
        <v>200</v>
      </c>
      <c r="H402" s="3" t="n">
        <v>84</v>
      </c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 t="n">
        <v>5</v>
      </c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 t="n">
        <v>10</v>
      </c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 t="s">
        <v>1098</v>
      </c>
      <c r="BI402" s="3"/>
      <c r="BJ402" s="3"/>
      <c r="BK402" s="3"/>
      <c r="BL402" s="3"/>
      <c r="BM402" s="3"/>
    </row>
    <row r="403" customFormat="false" ht="15" hidden="false" customHeight="false" outlineLevel="0" collapsed="false">
      <c r="A403" s="3" t="s">
        <v>65</v>
      </c>
      <c r="B403" s="3" t="s">
        <v>131</v>
      </c>
      <c r="C403" s="3" t="s">
        <v>1099</v>
      </c>
      <c r="D403" s="3" t="s">
        <v>1100</v>
      </c>
      <c r="E403" s="3" t="n">
        <v>1</v>
      </c>
      <c r="F403" s="6" t="n">
        <f aca="false">H403*Pesos!$B$2+I403*Pesos!$B$3+J403*Pesos!$B$4+K403*Pesos!$B$5+L403*Pesos!$B$6+M403*Pesos!$B$7+N403*Pesos!$B$8+O403*Pesos!$B$9+P403*Pesos!$B$10+Q403*Pesos!$B$11+R403*Pesos!$B$12+S403*Pesos!$B$13+T403*Pesos!$B$14+U403*Pesos!$B$15+V403*Pesos!$B$16+W403*Pesos!$B$17+X403*Pesos!$B$18+Y403*Pesos!$B$19+Z403*Pesos!$B$20+AA403*Pesos!$B$21+AB403*Pesos!$B$22+AC403*Pesos!$B$23+AD403*Pesos!$B$24+AE403*Pesos!$B$25+AF403*Pesos!$B$26+AG403*Pesos!$B$27+AH403*Pesos!$B$28+AI403*Pesos!$B$29+AJ403*Pesos!$B$30+AK403*Pesos!$B$31+AL403*Pesos!$B$32+AM403*Pesos!$B$33+AN403*Pesos!$B$34+AO403*Pesos!$B$35+AP403*Pesos!$B$36+AQ403*Pesos!$B$37+AR403*Pesos!$B$38+AS403*Pesos!$B$39+AT403*Pesos!$B$40+AU403*Pesos!$B$41+AV403*Pesos!$B$42+AW403*Pesos!$B$43+AX403*Pesos!$B$44+AY403*Pesos!$B$45+AZ403*Pesos!$B$46+BA403*Pesos!$B$47+BB403*Pesos!$B$48+BC403*Pesos!$B$49+BD403*Pesos!$B$50+BE403*Pesos!$B$51+BF403*Pesos!$B$52+BG403*Pesos!$B$53</f>
        <v>100</v>
      </c>
      <c r="G403" s="6" t="n">
        <f aca="false">E403*F403</f>
        <v>100</v>
      </c>
      <c r="H403" s="3" t="n">
        <v>63</v>
      </c>
      <c r="I403" s="3" t="n">
        <v>100</v>
      </c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 t="s">
        <v>1101</v>
      </c>
      <c r="BL403" s="3"/>
      <c r="BM403" s="3"/>
    </row>
    <row r="404" customFormat="false" ht="15" hidden="false" customHeight="false" outlineLevel="0" collapsed="false">
      <c r="A404" s="3" t="s">
        <v>65</v>
      </c>
      <c r="B404" s="3" t="s">
        <v>131</v>
      </c>
      <c r="C404" s="3" t="s">
        <v>1102</v>
      </c>
      <c r="D404" s="3" t="s">
        <v>1103</v>
      </c>
      <c r="E404" s="3" t="n">
        <v>1</v>
      </c>
      <c r="F404" s="6" t="n">
        <f aca="false">H404*Pesos!$B$2+I404*Pesos!$B$3+J404*Pesos!$B$4+K404*Pesos!$B$5+L404*Pesos!$B$6+M404*Pesos!$B$7+N404*Pesos!$B$8+O404*Pesos!$B$9+P404*Pesos!$B$10+Q404*Pesos!$B$11+R404*Pesos!$B$12+S404*Pesos!$B$13+T404*Pesos!$B$14+U404*Pesos!$B$15+V404*Pesos!$B$16+W404*Pesos!$B$17+X404*Pesos!$B$18+Y404*Pesos!$B$19+Z404*Pesos!$B$20+AA404*Pesos!$B$21+AB404*Pesos!$B$22+AC404*Pesos!$B$23+AD404*Pesos!$B$24+AE404*Pesos!$B$25+AF404*Pesos!$B$26+AG404*Pesos!$B$27+AH404*Pesos!$B$28+AI404*Pesos!$B$29+AJ404*Pesos!$B$30+AK404*Pesos!$B$31+AL404*Pesos!$B$32+AM404*Pesos!$B$33+AN404*Pesos!$B$34+AO404*Pesos!$B$35+AP404*Pesos!$B$36+AQ404*Pesos!$B$37+AR404*Pesos!$B$38+AS404*Pesos!$B$39+AT404*Pesos!$B$40+AU404*Pesos!$B$41+AV404*Pesos!$B$42+AW404*Pesos!$B$43+AX404*Pesos!$B$44+AY404*Pesos!$B$45+AZ404*Pesos!$B$46+BA404*Pesos!$B$47+BB404*Pesos!$B$48+BC404*Pesos!$B$49+BD404*Pesos!$B$50+BE404*Pesos!$B$51+BF404*Pesos!$B$52+BG404*Pesos!$B$53</f>
        <v>475</v>
      </c>
      <c r="G404" s="6" t="n">
        <f aca="false">E404*F404</f>
        <v>475</v>
      </c>
      <c r="H404" s="3" t="n">
        <v>105</v>
      </c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 t="n">
        <v>10</v>
      </c>
      <c r="AC404" s="3"/>
      <c r="AD404" s="3"/>
      <c r="AE404" s="3"/>
      <c r="AF404" s="3"/>
      <c r="AG404" s="3" t="n">
        <v>10</v>
      </c>
      <c r="AH404" s="3"/>
      <c r="AI404" s="3" t="n">
        <v>5</v>
      </c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 t="s">
        <v>1103</v>
      </c>
      <c r="BI404" s="3"/>
      <c r="BJ404" s="3"/>
      <c r="BK404" s="3"/>
      <c r="BL404" s="3"/>
      <c r="BM404" s="3"/>
    </row>
    <row r="405" customFormat="false" ht="15" hidden="false" customHeight="false" outlineLevel="0" collapsed="false">
      <c r="A405" s="3" t="s">
        <v>66</v>
      </c>
      <c r="B405" s="3" t="s">
        <v>132</v>
      </c>
      <c r="C405" s="3" t="s">
        <v>1104</v>
      </c>
      <c r="D405" s="3" t="s">
        <v>1105</v>
      </c>
      <c r="E405" s="3" t="n">
        <v>1</v>
      </c>
      <c r="F405" s="6" t="n">
        <f aca="false">H405*Pesos!$B$2+I405*Pesos!$B$3+J405*Pesos!$B$4+K405*Pesos!$B$5+L405*Pesos!$B$6+M405*Pesos!$B$7+N405*Pesos!$B$8+O405*Pesos!$B$9+P405*Pesos!$B$10+Q405*Pesos!$B$11+R405*Pesos!$B$12+S405*Pesos!$B$13+T405*Pesos!$B$14+U405*Pesos!$B$15+V405*Pesos!$B$16+W405*Pesos!$B$17+X405*Pesos!$B$18+Y405*Pesos!$B$19+Z405*Pesos!$B$20+AA405*Pesos!$B$21+AB405*Pesos!$B$22+AC405*Pesos!$B$23+AD405*Pesos!$B$24+AE405*Pesos!$B$25+AF405*Pesos!$B$26+AG405*Pesos!$B$27+AH405*Pesos!$B$28+AI405*Pesos!$B$29+AJ405*Pesos!$B$30+AK405*Pesos!$B$31+AL405*Pesos!$B$32+AM405*Pesos!$B$33+AN405*Pesos!$B$34+AO405*Pesos!$B$35+AP405*Pesos!$B$36+AQ405*Pesos!$B$37+AR405*Pesos!$B$38+AS405*Pesos!$B$39+AT405*Pesos!$B$40+AU405*Pesos!$B$41+AV405*Pesos!$B$42+AW405*Pesos!$B$43+AX405*Pesos!$B$44+AY405*Pesos!$B$45+AZ405*Pesos!$B$46+BA405*Pesos!$B$47+BB405*Pesos!$B$48+BC405*Pesos!$B$49+BD405*Pesos!$B$50+BE405*Pesos!$B$51+BF405*Pesos!$B$52+BG405*Pesos!$B$53</f>
        <v>100</v>
      </c>
      <c r="G405" s="6" t="n">
        <f aca="false">E405*F405</f>
        <v>100</v>
      </c>
      <c r="H405" s="3" t="n">
        <v>49</v>
      </c>
      <c r="I405" s="3" t="n">
        <v>100</v>
      </c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customFormat="false" ht="15" hidden="false" customHeight="false" outlineLevel="0" collapsed="false">
      <c r="A406" s="3" t="s">
        <v>66</v>
      </c>
      <c r="B406" s="3" t="s">
        <v>132</v>
      </c>
      <c r="C406" s="3" t="s">
        <v>1106</v>
      </c>
      <c r="D406" s="3" t="s">
        <v>1107</v>
      </c>
      <c r="E406" s="3" t="n">
        <v>1</v>
      </c>
      <c r="F406" s="6" t="n">
        <f aca="false">H406*Pesos!$B$2+I406*Pesos!$B$3+J406*Pesos!$B$4+K406*Pesos!$B$5+L406*Pesos!$B$6+M406*Pesos!$B$7+N406*Pesos!$B$8+O406*Pesos!$B$9+P406*Pesos!$B$10+Q406*Pesos!$B$11+R406*Pesos!$B$12+S406*Pesos!$B$13+T406*Pesos!$B$14+U406*Pesos!$B$15+V406*Pesos!$B$16+W406*Pesos!$B$17+X406*Pesos!$B$18+Y406*Pesos!$B$19+Z406*Pesos!$B$20+AA406*Pesos!$B$21+AB406*Pesos!$B$22+AC406*Pesos!$B$23+AD406*Pesos!$B$24+AE406*Pesos!$B$25+AF406*Pesos!$B$26+AG406*Pesos!$B$27+AH406*Pesos!$B$28+AI406*Pesos!$B$29+AJ406*Pesos!$B$30+AK406*Pesos!$B$31+AL406*Pesos!$B$32+AM406*Pesos!$B$33+AN406*Pesos!$B$34+AO406*Pesos!$B$35+AP406*Pesos!$B$36+AQ406*Pesos!$B$37+AR406*Pesos!$B$38+AS406*Pesos!$B$39+AT406*Pesos!$B$40+AU406*Pesos!$B$41+AV406*Pesos!$B$42+AW406*Pesos!$B$43+AX406*Pesos!$B$44+AY406*Pesos!$B$45+AZ406*Pesos!$B$46+BA406*Pesos!$B$47+BB406*Pesos!$B$48+BC406*Pesos!$B$49+BD406*Pesos!$B$50+BE406*Pesos!$B$51+BF406*Pesos!$B$52+BG406*Pesos!$B$53</f>
        <v>239.5</v>
      </c>
      <c r="G406" s="6" t="n">
        <f aca="false">E406*F406</f>
        <v>239.5</v>
      </c>
      <c r="H406" s="3" t="n">
        <v>49</v>
      </c>
      <c r="I406" s="3" t="n">
        <v>50</v>
      </c>
      <c r="J406" s="3" t="n">
        <v>3</v>
      </c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 t="n">
        <v>0.15</v>
      </c>
      <c r="AB406" s="3" t="n">
        <v>5</v>
      </c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 t="s">
        <v>1108</v>
      </c>
      <c r="BI406" s="3"/>
      <c r="BJ406" s="3"/>
      <c r="BK406" s="3"/>
      <c r="BL406" s="3"/>
      <c r="BM406" s="3"/>
    </row>
    <row r="407" customFormat="false" ht="15" hidden="false" customHeight="false" outlineLevel="0" collapsed="false">
      <c r="A407" s="3" t="s">
        <v>66</v>
      </c>
      <c r="B407" s="3" t="s">
        <v>132</v>
      </c>
      <c r="C407" s="3" t="s">
        <v>1109</v>
      </c>
      <c r="D407" s="3" t="s">
        <v>1110</v>
      </c>
      <c r="E407" s="3" t="n">
        <v>0.5</v>
      </c>
      <c r="F407" s="6" t="n">
        <f aca="false">H407*Pesos!$B$2+I407*Pesos!$B$3+J407*Pesos!$B$4+K407*Pesos!$B$5+L407*Pesos!$B$6+M407*Pesos!$B$7+N407*Pesos!$B$8+O407*Pesos!$B$9+P407*Pesos!$B$10+Q407*Pesos!$B$11+R407*Pesos!$B$12+S407*Pesos!$B$13+T407*Pesos!$B$14+U407*Pesos!$B$15+V407*Pesos!$B$16+W407*Pesos!$B$17+X407*Pesos!$B$18+Y407*Pesos!$B$19+Z407*Pesos!$B$20+AA407*Pesos!$B$21+AB407*Pesos!$B$22+AC407*Pesos!$B$23+AD407*Pesos!$B$24+AE407*Pesos!$B$25+AF407*Pesos!$B$26+AG407*Pesos!$B$27+AH407*Pesos!$B$28+AI407*Pesos!$B$29+AJ407*Pesos!$B$30+AK407*Pesos!$B$31+AL407*Pesos!$B$32+AM407*Pesos!$B$33+AN407*Pesos!$B$34+AO407*Pesos!$B$35+AP407*Pesos!$B$36+AQ407*Pesos!$B$37+AR407*Pesos!$B$38+AS407*Pesos!$B$39+AT407*Pesos!$B$40+AU407*Pesos!$B$41+AV407*Pesos!$B$42+AW407*Pesos!$B$43+AX407*Pesos!$B$44+AY407*Pesos!$B$45+AZ407*Pesos!$B$46+BA407*Pesos!$B$47+BB407*Pesos!$B$48+BC407*Pesos!$B$49+BD407*Pesos!$B$50+BE407*Pesos!$B$51+BF407*Pesos!$B$52+BG407*Pesos!$B$53</f>
        <v>123</v>
      </c>
      <c r="G407" s="6" t="n">
        <f aca="false">E407*F407</f>
        <v>61.5</v>
      </c>
      <c r="H407" s="3" t="n">
        <v>49</v>
      </c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 t="n">
        <v>0.1</v>
      </c>
      <c r="AB407" s="3" t="n">
        <v>5</v>
      </c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 t="s">
        <v>1110</v>
      </c>
      <c r="BI407" s="3"/>
      <c r="BJ407" s="3"/>
      <c r="BK407" s="3"/>
      <c r="BL407" s="3"/>
      <c r="BM407" s="3" t="s">
        <v>1111</v>
      </c>
    </row>
    <row r="408" customFormat="false" ht="15" hidden="false" customHeight="false" outlineLevel="0" collapsed="false">
      <c r="A408" s="3" t="s">
        <v>66</v>
      </c>
      <c r="B408" s="3" t="s">
        <v>132</v>
      </c>
      <c r="C408" s="3" t="s">
        <v>1112</v>
      </c>
      <c r="D408" s="3" t="s">
        <v>1113</v>
      </c>
      <c r="E408" s="3" t="n">
        <v>0.5</v>
      </c>
      <c r="F408" s="6" t="n">
        <f aca="false">H408*Pesos!$B$2+I408*Pesos!$B$3+J408*Pesos!$B$4+K408*Pesos!$B$5+L408*Pesos!$B$6+M408*Pesos!$B$7+N408*Pesos!$B$8+O408*Pesos!$B$9+P408*Pesos!$B$10+Q408*Pesos!$B$11+R408*Pesos!$B$12+S408*Pesos!$B$13+T408*Pesos!$B$14+U408*Pesos!$B$15+V408*Pesos!$B$16+W408*Pesos!$B$17+X408*Pesos!$B$18+Y408*Pesos!$B$19+Z408*Pesos!$B$20+AA408*Pesos!$B$21+AB408*Pesos!$B$22+AC408*Pesos!$B$23+AD408*Pesos!$B$24+AE408*Pesos!$B$25+AF408*Pesos!$B$26+AG408*Pesos!$B$27+AH408*Pesos!$B$28+AI408*Pesos!$B$29+AJ408*Pesos!$B$30+AK408*Pesos!$B$31+AL408*Pesos!$B$32+AM408*Pesos!$B$33+AN408*Pesos!$B$34+AO408*Pesos!$B$35+AP408*Pesos!$B$36+AQ408*Pesos!$B$37+AR408*Pesos!$B$38+AS408*Pesos!$B$39+AT408*Pesos!$B$40+AU408*Pesos!$B$41+AV408*Pesos!$B$42+AW408*Pesos!$B$43+AX408*Pesos!$B$44+AY408*Pesos!$B$45+AZ408*Pesos!$B$46+BA408*Pesos!$B$47+BB408*Pesos!$B$48+BC408*Pesos!$B$49+BD408*Pesos!$B$50+BE408*Pesos!$B$51+BF408*Pesos!$B$52+BG408*Pesos!$B$53</f>
        <v>70</v>
      </c>
      <c r="G408" s="6" t="n">
        <f aca="false">E408*F408</f>
        <v>35</v>
      </c>
      <c r="H408" s="3" t="n">
        <v>63</v>
      </c>
      <c r="I408" s="3" t="n">
        <v>50</v>
      </c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 t="n">
        <v>1</v>
      </c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customFormat="false" ht="15" hidden="false" customHeight="false" outlineLevel="0" collapsed="false">
      <c r="A409" s="3" t="s">
        <v>66</v>
      </c>
      <c r="B409" s="3" t="s">
        <v>132</v>
      </c>
      <c r="C409" s="3" t="s">
        <v>1114</v>
      </c>
      <c r="D409" s="3" t="s">
        <v>1115</v>
      </c>
      <c r="E409" s="3" t="n">
        <v>0.5</v>
      </c>
      <c r="F409" s="6" t="n">
        <f aca="false">H409*Pesos!$B$2+I409*Pesos!$B$3+J409*Pesos!$B$4+K409*Pesos!$B$5+L409*Pesos!$B$6+M409*Pesos!$B$7+N409*Pesos!$B$8+O409*Pesos!$B$9+P409*Pesos!$B$10+Q409*Pesos!$B$11+R409*Pesos!$B$12+S409*Pesos!$B$13+T409*Pesos!$B$14+U409*Pesos!$B$15+V409*Pesos!$B$16+W409*Pesos!$B$17+X409*Pesos!$B$18+Y409*Pesos!$B$19+Z409*Pesos!$B$20+AA409*Pesos!$B$21+AB409*Pesos!$B$22+AC409*Pesos!$B$23+AD409*Pesos!$B$24+AE409*Pesos!$B$25+AF409*Pesos!$B$26+AG409*Pesos!$B$27+AH409*Pesos!$B$28+AI409*Pesos!$B$29+AJ409*Pesos!$B$30+AK409*Pesos!$B$31+AL409*Pesos!$B$32+AM409*Pesos!$B$33+AN409*Pesos!$B$34+AO409*Pesos!$B$35+AP409*Pesos!$B$36+AQ409*Pesos!$B$37+AR409*Pesos!$B$38+AS409*Pesos!$B$39+AT409*Pesos!$B$40+AU409*Pesos!$B$41+AV409*Pesos!$B$42+AW409*Pesos!$B$43+AX409*Pesos!$B$44+AY409*Pesos!$B$45+AZ409*Pesos!$B$46+BA409*Pesos!$B$47+BB409*Pesos!$B$48+BC409*Pesos!$B$49+BD409*Pesos!$B$50+BE409*Pesos!$B$51+BF409*Pesos!$B$52+BG409*Pesos!$B$53</f>
        <v>70</v>
      </c>
      <c r="G409" s="6" t="n">
        <f aca="false">E409*F409</f>
        <v>35</v>
      </c>
      <c r="H409" s="3" t="n">
        <v>63</v>
      </c>
      <c r="I409" s="3" t="n">
        <v>50</v>
      </c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 t="n">
        <v>1</v>
      </c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customFormat="false" ht="15" hidden="false" customHeight="false" outlineLevel="0" collapsed="false">
      <c r="A410" s="3" t="s">
        <v>66</v>
      </c>
      <c r="B410" s="3" t="s">
        <v>132</v>
      </c>
      <c r="C410" s="3" t="s">
        <v>1116</v>
      </c>
      <c r="D410" s="3" t="s">
        <v>1117</v>
      </c>
      <c r="E410" s="3" t="n">
        <v>0.5</v>
      </c>
      <c r="F410" s="6" t="n">
        <f aca="false">H410*Pesos!$B$2+I410*Pesos!$B$3+J410*Pesos!$B$4+K410*Pesos!$B$5+L410*Pesos!$B$6+M410*Pesos!$B$7+N410*Pesos!$B$8+O410*Pesos!$B$9+P410*Pesos!$B$10+Q410*Pesos!$B$11+R410*Pesos!$B$12+S410*Pesos!$B$13+T410*Pesos!$B$14+U410*Pesos!$B$15+V410*Pesos!$B$16+W410*Pesos!$B$17+X410*Pesos!$B$18+Y410*Pesos!$B$19+Z410*Pesos!$B$20+AA410*Pesos!$B$21+AB410*Pesos!$B$22+AC410*Pesos!$B$23+AD410*Pesos!$B$24+AE410*Pesos!$B$25+AF410*Pesos!$B$26+AG410*Pesos!$B$27+AH410*Pesos!$B$28+AI410*Pesos!$B$29+AJ410*Pesos!$B$30+AK410*Pesos!$B$31+AL410*Pesos!$B$32+AM410*Pesos!$B$33+AN410*Pesos!$B$34+AO410*Pesos!$B$35+AP410*Pesos!$B$36+AQ410*Pesos!$B$37+AR410*Pesos!$B$38+AS410*Pesos!$B$39+AT410*Pesos!$B$40+AU410*Pesos!$B$41+AV410*Pesos!$B$42+AW410*Pesos!$B$43+AX410*Pesos!$B$44+AY410*Pesos!$B$45+AZ410*Pesos!$B$46+BA410*Pesos!$B$47+BB410*Pesos!$B$48+BC410*Pesos!$B$49+BD410*Pesos!$B$50+BE410*Pesos!$B$51+BF410*Pesos!$B$52+BG410*Pesos!$B$53</f>
        <v>223</v>
      </c>
      <c r="G410" s="6" t="n">
        <f aca="false">E410*F410</f>
        <v>111.5</v>
      </c>
      <c r="H410" s="3" t="n">
        <v>84</v>
      </c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 t="n">
        <v>0.1</v>
      </c>
      <c r="AB410" s="3" t="n">
        <v>15</v>
      </c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 t="s">
        <v>1117</v>
      </c>
      <c r="BI410" s="3"/>
      <c r="BJ410" s="3"/>
      <c r="BK410" s="3"/>
      <c r="BL410" s="3"/>
      <c r="BM410" s="3"/>
    </row>
    <row r="411" customFormat="false" ht="15" hidden="false" customHeight="false" outlineLevel="0" collapsed="false">
      <c r="A411" s="3" t="s">
        <v>66</v>
      </c>
      <c r="B411" s="3" t="s">
        <v>132</v>
      </c>
      <c r="C411" s="3" t="s">
        <v>1118</v>
      </c>
      <c r="D411" s="3" t="s">
        <v>1119</v>
      </c>
      <c r="E411" s="3" t="n">
        <v>0.5</v>
      </c>
      <c r="F411" s="6" t="n">
        <f aca="false">H411*Pesos!$B$2+I411*Pesos!$B$3+J411*Pesos!$B$4+K411*Pesos!$B$5+L411*Pesos!$B$6+M411*Pesos!$B$7+N411*Pesos!$B$8+O411*Pesos!$B$9+P411*Pesos!$B$10+Q411*Pesos!$B$11+R411*Pesos!$B$12+S411*Pesos!$B$13+T411*Pesos!$B$14+U411*Pesos!$B$15+V411*Pesos!$B$16+W411*Pesos!$B$17+X411*Pesos!$B$18+Y411*Pesos!$B$19+Z411*Pesos!$B$20+AA411*Pesos!$B$21+AB411*Pesos!$B$22+AC411*Pesos!$B$23+AD411*Pesos!$B$24+AE411*Pesos!$B$25+AF411*Pesos!$B$26+AG411*Pesos!$B$27+AH411*Pesos!$B$28+AI411*Pesos!$B$29+AJ411*Pesos!$B$30+AK411*Pesos!$B$31+AL411*Pesos!$B$32+AM411*Pesos!$B$33+AN411*Pesos!$B$34+AO411*Pesos!$B$35+AP411*Pesos!$B$36+AQ411*Pesos!$B$37+AR411*Pesos!$B$38+AS411*Pesos!$B$39+AT411*Pesos!$B$40+AU411*Pesos!$B$41+AV411*Pesos!$B$42+AW411*Pesos!$B$43+AX411*Pesos!$B$44+AY411*Pesos!$B$45+AZ411*Pesos!$B$46+BA411*Pesos!$B$47+BB411*Pesos!$B$48+BC411*Pesos!$B$49+BD411*Pesos!$B$50+BE411*Pesos!$B$51+BF411*Pesos!$B$52+BG411*Pesos!$B$53</f>
        <v>40</v>
      </c>
      <c r="G411" s="6" t="n">
        <f aca="false">E411*F411</f>
        <v>20</v>
      </c>
      <c r="H411" s="3" t="n">
        <v>105</v>
      </c>
      <c r="I411" s="3"/>
      <c r="J411" s="3"/>
      <c r="K411" s="3" t="n">
        <v>5</v>
      </c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 t="s">
        <v>1120</v>
      </c>
      <c r="BL411" s="3"/>
      <c r="BM411" s="3"/>
    </row>
    <row r="412" customFormat="false" ht="15" hidden="false" customHeight="false" outlineLevel="0" collapsed="false">
      <c r="A412" s="3" t="s">
        <v>66</v>
      </c>
      <c r="B412" s="3" t="s">
        <v>132</v>
      </c>
      <c r="C412" s="3" t="s">
        <v>1121</v>
      </c>
      <c r="D412" s="3" t="s">
        <v>1122</v>
      </c>
      <c r="E412" s="3" t="n">
        <v>0.5</v>
      </c>
      <c r="F412" s="6" t="n">
        <f aca="false">H412*Pesos!$B$2+I412*Pesos!$B$3+J412*Pesos!$B$4+K412*Pesos!$B$5+L412*Pesos!$B$6+M412*Pesos!$B$7+N412*Pesos!$B$8+O412*Pesos!$B$9+P412*Pesos!$B$10+Q412*Pesos!$B$11+R412*Pesos!$B$12+S412*Pesos!$B$13+T412*Pesos!$B$14+U412*Pesos!$B$15+V412*Pesos!$B$16+W412*Pesos!$B$17+X412*Pesos!$B$18+Y412*Pesos!$B$19+Z412*Pesos!$B$20+AA412*Pesos!$B$21+AB412*Pesos!$B$22+AC412*Pesos!$B$23+AD412*Pesos!$B$24+AE412*Pesos!$B$25+AF412*Pesos!$B$26+AG412*Pesos!$B$27+AH412*Pesos!$B$28+AI412*Pesos!$B$29+AJ412*Pesos!$B$30+AK412*Pesos!$B$31+AL412*Pesos!$B$32+AM412*Pesos!$B$33+AN412*Pesos!$B$34+AO412*Pesos!$B$35+AP412*Pesos!$B$36+AQ412*Pesos!$B$37+AR412*Pesos!$B$38+AS412*Pesos!$B$39+AT412*Pesos!$B$40+AU412*Pesos!$B$41+AV412*Pesos!$B$42+AW412*Pesos!$B$43+AX412*Pesos!$B$44+AY412*Pesos!$B$45+AZ412*Pesos!$B$46+BA412*Pesos!$B$47+BB412*Pesos!$B$48+BC412*Pesos!$B$49+BD412*Pesos!$B$50+BE412*Pesos!$B$51+BF412*Pesos!$B$52+BG412*Pesos!$B$53</f>
        <v>736.5</v>
      </c>
      <c r="G412" s="6" t="n">
        <f aca="false">E412*F412</f>
        <v>368.25</v>
      </c>
      <c r="H412" s="3" t="n">
        <v>84</v>
      </c>
      <c r="I412" s="3"/>
      <c r="J412" s="3"/>
      <c r="K412" s="3"/>
      <c r="L412" s="3"/>
      <c r="M412" s="3"/>
      <c r="N412" s="3"/>
      <c r="O412" s="3"/>
      <c r="P412" s="3" t="n">
        <v>1</v>
      </c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 t="n">
        <v>0.05</v>
      </c>
      <c r="AB412" s="3" t="n">
        <v>10</v>
      </c>
      <c r="AC412" s="3"/>
      <c r="AD412" s="3"/>
      <c r="AE412" s="3"/>
      <c r="AF412" s="3"/>
      <c r="AG412" s="3" t="n">
        <v>10</v>
      </c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 t="s">
        <v>1123</v>
      </c>
      <c r="BI412" s="3"/>
      <c r="BJ412" s="3"/>
      <c r="BK412" s="3"/>
      <c r="BL412" s="3"/>
      <c r="BM412" s="3"/>
    </row>
    <row r="413" customFormat="false" ht="15" hidden="false" customHeight="false" outlineLevel="0" collapsed="false">
      <c r="A413" s="3" t="s">
        <v>66</v>
      </c>
      <c r="B413" s="3" t="s">
        <v>133</v>
      </c>
      <c r="C413" s="3" t="s">
        <v>1111</v>
      </c>
      <c r="D413" s="3" t="s">
        <v>1124</v>
      </c>
      <c r="E413" s="3" t="n">
        <v>0.5</v>
      </c>
      <c r="F413" s="6" t="n">
        <f aca="false">H413*Pesos!$B$2+I413*Pesos!$B$3+J413*Pesos!$B$4+K413*Pesos!$B$5+L413*Pesos!$B$6+M413*Pesos!$B$7+N413*Pesos!$B$8+O413*Pesos!$B$9+P413*Pesos!$B$10+Q413*Pesos!$B$11+R413*Pesos!$B$12+S413*Pesos!$B$13+T413*Pesos!$B$14+U413*Pesos!$B$15+V413*Pesos!$B$16+W413*Pesos!$B$17+X413*Pesos!$B$18+Y413*Pesos!$B$19+Z413*Pesos!$B$20+AA413*Pesos!$B$21+AB413*Pesos!$B$22+AC413*Pesos!$B$23+AD413*Pesos!$B$24+AE413*Pesos!$B$25+AF413*Pesos!$B$26+AG413*Pesos!$B$27+AH413*Pesos!$B$28+AI413*Pesos!$B$29+AJ413*Pesos!$B$30+AK413*Pesos!$B$31+AL413*Pesos!$B$32+AM413*Pesos!$B$33+AN413*Pesos!$B$34+AO413*Pesos!$B$35+AP413*Pesos!$B$36+AQ413*Pesos!$B$37+AR413*Pesos!$B$38+AS413*Pesos!$B$39+AT413*Pesos!$B$40+AU413*Pesos!$B$41+AV413*Pesos!$B$42+AW413*Pesos!$B$43+AX413*Pesos!$B$44+AY413*Pesos!$B$45+AZ413*Pesos!$B$46+BA413*Pesos!$B$47+BB413*Pesos!$B$48+BC413*Pesos!$B$49+BD413*Pesos!$B$50+BE413*Pesos!$B$51+BF413*Pesos!$B$52+BG413*Pesos!$B$53</f>
        <v>200</v>
      </c>
      <c r="G413" s="6" t="n">
        <f aca="false">E413*F413</f>
        <v>100</v>
      </c>
      <c r="H413" s="3" t="n">
        <v>35</v>
      </c>
      <c r="I413" s="3"/>
      <c r="J413" s="3"/>
      <c r="K413" s="3" t="n">
        <v>25</v>
      </c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 t="s">
        <v>1125</v>
      </c>
      <c r="BL413" s="3"/>
      <c r="BM413" s="3" t="s">
        <v>1109</v>
      </c>
    </row>
    <row r="414" customFormat="false" ht="15" hidden="false" customHeight="false" outlineLevel="0" collapsed="false">
      <c r="A414" s="3" t="s">
        <v>66</v>
      </c>
      <c r="B414" s="3" t="s">
        <v>133</v>
      </c>
      <c r="C414" s="3" t="s">
        <v>1126</v>
      </c>
      <c r="D414" s="3" t="s">
        <v>1127</v>
      </c>
      <c r="E414" s="3" t="n">
        <v>0.5</v>
      </c>
      <c r="F414" s="6" t="n">
        <f aca="false">H414*Pesos!$B$2+I414*Pesos!$B$3+J414*Pesos!$B$4+K414*Pesos!$B$5+L414*Pesos!$B$6+M414*Pesos!$B$7+N414*Pesos!$B$8+O414*Pesos!$B$9+P414*Pesos!$B$10+Q414*Pesos!$B$11+R414*Pesos!$B$12+S414*Pesos!$B$13+T414*Pesos!$B$14+U414*Pesos!$B$15+V414*Pesos!$B$16+W414*Pesos!$B$17+X414*Pesos!$B$18+Y414*Pesos!$B$19+Z414*Pesos!$B$20+AA414*Pesos!$B$21+AB414*Pesos!$B$22+AC414*Pesos!$B$23+AD414*Pesos!$B$24+AE414*Pesos!$B$25+AF414*Pesos!$B$26+AG414*Pesos!$B$27+AH414*Pesos!$B$28+AI414*Pesos!$B$29+AJ414*Pesos!$B$30+AK414*Pesos!$B$31+AL414*Pesos!$B$32+AM414*Pesos!$B$33+AN414*Pesos!$B$34+AO414*Pesos!$B$35+AP414*Pesos!$B$36+AQ414*Pesos!$B$37+AR414*Pesos!$B$38+AS414*Pesos!$B$39+AT414*Pesos!$B$40+AU414*Pesos!$B$41+AV414*Pesos!$B$42+AW414*Pesos!$B$43+AX414*Pesos!$B$44+AY414*Pesos!$B$45+AZ414*Pesos!$B$46+BA414*Pesos!$B$47+BB414*Pesos!$B$48+BC414*Pesos!$B$49+BD414*Pesos!$B$50+BE414*Pesos!$B$51+BF414*Pesos!$B$52+BG414*Pesos!$B$53</f>
        <v>370</v>
      </c>
      <c r="G414" s="6" t="n">
        <f aca="false">E414*F414</f>
        <v>185</v>
      </c>
      <c r="H414" s="3" t="n">
        <v>49</v>
      </c>
      <c r="I414" s="3"/>
      <c r="J414" s="3"/>
      <c r="K414" s="3"/>
      <c r="L414" s="3" t="n">
        <v>100000</v>
      </c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 t="n">
        <v>15</v>
      </c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 t="n">
        <v>5</v>
      </c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 t="s">
        <v>1127</v>
      </c>
      <c r="BI414" s="3"/>
      <c r="BJ414" s="3"/>
      <c r="BK414" s="3"/>
      <c r="BL414" s="3"/>
      <c r="BM414" s="3"/>
    </row>
    <row r="415" customFormat="false" ht="15" hidden="false" customHeight="false" outlineLevel="0" collapsed="false">
      <c r="A415" s="3" t="s">
        <v>66</v>
      </c>
      <c r="B415" s="3" t="s">
        <v>133</v>
      </c>
      <c r="C415" s="3" t="s">
        <v>1128</v>
      </c>
      <c r="D415" s="3" t="s">
        <v>1129</v>
      </c>
      <c r="E415" s="3" t="n">
        <v>0.5</v>
      </c>
      <c r="F415" s="6" t="n">
        <f aca="false">H415*Pesos!$B$2+I415*Pesos!$B$3+J415*Pesos!$B$4+K415*Pesos!$B$5+L415*Pesos!$B$6+M415*Pesos!$B$7+N415*Pesos!$B$8+O415*Pesos!$B$9+P415*Pesos!$B$10+Q415*Pesos!$B$11+R415*Pesos!$B$12+S415*Pesos!$B$13+T415*Pesos!$B$14+U415*Pesos!$B$15+V415*Pesos!$B$16+W415*Pesos!$B$17+X415*Pesos!$B$18+Y415*Pesos!$B$19+Z415*Pesos!$B$20+AA415*Pesos!$B$21+AB415*Pesos!$B$22+AC415*Pesos!$B$23+AD415*Pesos!$B$24+AE415*Pesos!$B$25+AF415*Pesos!$B$26+AG415*Pesos!$B$27+AH415*Pesos!$B$28+AI415*Pesos!$B$29+AJ415*Pesos!$B$30+AK415*Pesos!$B$31+AL415*Pesos!$B$32+AM415*Pesos!$B$33+AN415*Pesos!$B$34+AO415*Pesos!$B$35+AP415*Pesos!$B$36+AQ415*Pesos!$B$37+AR415*Pesos!$B$38+AS415*Pesos!$B$39+AT415*Pesos!$B$40+AU415*Pesos!$B$41+AV415*Pesos!$B$42+AW415*Pesos!$B$43+AX415*Pesos!$B$44+AY415*Pesos!$B$45+AZ415*Pesos!$B$46+BA415*Pesos!$B$47+BB415*Pesos!$B$48+BC415*Pesos!$B$49+BD415*Pesos!$B$50+BE415*Pesos!$B$51+BF415*Pesos!$B$52+BG415*Pesos!$B$53</f>
        <v>100</v>
      </c>
      <c r="G415" s="6" t="n">
        <f aca="false">E415*F415</f>
        <v>50</v>
      </c>
      <c r="H415" s="3" t="n">
        <v>63</v>
      </c>
      <c r="I415" s="3"/>
      <c r="J415" s="3"/>
      <c r="K415" s="3"/>
      <c r="L415" s="3"/>
      <c r="M415" s="3" t="n">
        <v>100</v>
      </c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customFormat="false" ht="15" hidden="false" customHeight="false" outlineLevel="0" collapsed="false">
      <c r="A416" s="3" t="s">
        <v>66</v>
      </c>
      <c r="B416" s="3" t="s">
        <v>133</v>
      </c>
      <c r="C416" s="3" t="s">
        <v>1130</v>
      </c>
      <c r="D416" s="3" t="s">
        <v>1131</v>
      </c>
      <c r="E416" s="3" t="n">
        <v>0.5</v>
      </c>
      <c r="F416" s="6" t="n">
        <f aca="false">H416*Pesos!$B$2+I416*Pesos!$B$3+J416*Pesos!$B$4+K416*Pesos!$B$5+L416*Pesos!$B$6+M416*Pesos!$B$7+N416*Pesos!$B$8+O416*Pesos!$B$9+P416*Pesos!$B$10+Q416*Pesos!$B$11+R416*Pesos!$B$12+S416*Pesos!$B$13+T416*Pesos!$B$14+U416*Pesos!$B$15+V416*Pesos!$B$16+W416*Pesos!$B$17+X416*Pesos!$B$18+Y416*Pesos!$B$19+Z416*Pesos!$B$20+AA416*Pesos!$B$21+AB416*Pesos!$B$22+AC416*Pesos!$B$23+AD416*Pesos!$B$24+AE416*Pesos!$B$25+AF416*Pesos!$B$26+AG416*Pesos!$B$27+AH416*Pesos!$B$28+AI416*Pesos!$B$29+AJ416*Pesos!$B$30+AK416*Pesos!$B$31+AL416*Pesos!$B$32+AM416*Pesos!$B$33+AN416*Pesos!$B$34+AO416*Pesos!$B$35+AP416*Pesos!$B$36+AQ416*Pesos!$B$37+AR416*Pesos!$B$38+AS416*Pesos!$B$39+AT416*Pesos!$B$40+AU416*Pesos!$B$41+AV416*Pesos!$B$42+AW416*Pesos!$B$43+AX416*Pesos!$B$44+AY416*Pesos!$B$45+AZ416*Pesos!$B$46+BA416*Pesos!$B$47+BB416*Pesos!$B$48+BC416*Pesos!$B$49+BD416*Pesos!$B$50+BE416*Pesos!$B$51+BF416*Pesos!$B$52+BG416*Pesos!$B$53</f>
        <v>100</v>
      </c>
      <c r="G416" s="6" t="n">
        <f aca="false">E416*F416</f>
        <v>50</v>
      </c>
      <c r="H416" s="3" t="n">
        <v>63</v>
      </c>
      <c r="I416" s="3"/>
      <c r="J416" s="3"/>
      <c r="K416" s="3" t="n">
        <v>10</v>
      </c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 t="n">
        <v>1</v>
      </c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customFormat="false" ht="15" hidden="false" customHeight="false" outlineLevel="0" collapsed="false">
      <c r="A417" s="3" t="s">
        <v>66</v>
      </c>
      <c r="B417" s="3" t="s">
        <v>133</v>
      </c>
      <c r="C417" s="3" t="s">
        <v>1132</v>
      </c>
      <c r="D417" s="3" t="s">
        <v>1133</v>
      </c>
      <c r="E417" s="3" t="n">
        <v>0.5</v>
      </c>
      <c r="F417" s="6" t="n">
        <f aca="false">H417*Pesos!$B$2+I417*Pesos!$B$3+J417*Pesos!$B$4+K417*Pesos!$B$5+L417*Pesos!$B$6+M417*Pesos!$B$7+N417*Pesos!$B$8+O417*Pesos!$B$9+P417*Pesos!$B$10+Q417*Pesos!$B$11+R417*Pesos!$B$12+S417*Pesos!$B$13+T417*Pesos!$B$14+U417*Pesos!$B$15+V417*Pesos!$B$16+W417*Pesos!$B$17+X417*Pesos!$B$18+Y417*Pesos!$B$19+Z417*Pesos!$B$20+AA417*Pesos!$B$21+AB417*Pesos!$B$22+AC417*Pesos!$B$23+AD417*Pesos!$B$24+AE417*Pesos!$B$25+AF417*Pesos!$B$26+AG417*Pesos!$B$27+AH417*Pesos!$B$28+AI417*Pesos!$B$29+AJ417*Pesos!$B$30+AK417*Pesos!$B$31+AL417*Pesos!$B$32+AM417*Pesos!$B$33+AN417*Pesos!$B$34+AO417*Pesos!$B$35+AP417*Pesos!$B$36+AQ417*Pesos!$B$37+AR417*Pesos!$B$38+AS417*Pesos!$B$39+AT417*Pesos!$B$40+AU417*Pesos!$B$41+AV417*Pesos!$B$42+AW417*Pesos!$B$43+AX417*Pesos!$B$44+AY417*Pesos!$B$45+AZ417*Pesos!$B$46+BA417*Pesos!$B$47+BB417*Pesos!$B$48+BC417*Pesos!$B$49+BD417*Pesos!$B$50+BE417*Pesos!$B$51+BF417*Pesos!$B$52+BG417*Pesos!$B$53</f>
        <v>200</v>
      </c>
      <c r="G417" s="6" t="n">
        <f aca="false">E417*F417</f>
        <v>100</v>
      </c>
      <c r="H417" s="3" t="n">
        <v>63</v>
      </c>
      <c r="I417" s="3" t="n">
        <v>150</v>
      </c>
      <c r="J417" s="3"/>
      <c r="K417" s="3"/>
      <c r="L417" s="3"/>
      <c r="M417" s="3"/>
      <c r="N417" s="3"/>
      <c r="O417" s="3"/>
      <c r="P417" s="3"/>
      <c r="Q417" s="3" t="n">
        <v>2</v>
      </c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customFormat="false" ht="15" hidden="false" customHeight="false" outlineLevel="0" collapsed="false">
      <c r="A418" s="3" t="s">
        <v>66</v>
      </c>
      <c r="B418" s="3" t="s">
        <v>133</v>
      </c>
      <c r="C418" s="3" t="s">
        <v>1134</v>
      </c>
      <c r="D418" s="3" t="s">
        <v>1135</v>
      </c>
      <c r="E418" s="3" t="n">
        <v>0.5</v>
      </c>
      <c r="F418" s="6" t="n">
        <f aca="false">H418*Pesos!$B$2+I418*Pesos!$B$3+J418*Pesos!$B$4+K418*Pesos!$B$5+L418*Pesos!$B$6+M418*Pesos!$B$7+N418*Pesos!$B$8+O418*Pesos!$B$9+P418*Pesos!$B$10+Q418*Pesos!$B$11+R418*Pesos!$B$12+S418*Pesos!$B$13+T418*Pesos!$B$14+U418*Pesos!$B$15+V418*Pesos!$B$16+W418*Pesos!$B$17+X418*Pesos!$B$18+Y418*Pesos!$B$19+Z418*Pesos!$B$20+AA418*Pesos!$B$21+AB418*Pesos!$B$22+AC418*Pesos!$B$23+AD418*Pesos!$B$24+AE418*Pesos!$B$25+AF418*Pesos!$B$26+AG418*Pesos!$B$27+AH418*Pesos!$B$28+AI418*Pesos!$B$29+AJ418*Pesos!$B$30+AK418*Pesos!$B$31+AL418*Pesos!$B$32+AM418*Pesos!$B$33+AN418*Pesos!$B$34+AO418*Pesos!$B$35+AP418*Pesos!$B$36+AQ418*Pesos!$B$37+AR418*Pesos!$B$38+AS418*Pesos!$B$39+AT418*Pesos!$B$40+AU418*Pesos!$B$41+AV418*Pesos!$B$42+AW418*Pesos!$B$43+AX418*Pesos!$B$44+AY418*Pesos!$B$45+AZ418*Pesos!$B$46+BA418*Pesos!$B$47+BB418*Pesos!$B$48+BC418*Pesos!$B$49+BD418*Pesos!$B$50+BE418*Pesos!$B$51+BF418*Pesos!$B$52+BG418*Pesos!$B$53</f>
        <v>678</v>
      </c>
      <c r="G418" s="6" t="n">
        <f aca="false">E418*F418</f>
        <v>339</v>
      </c>
      <c r="H418" s="3" t="n">
        <v>105</v>
      </c>
      <c r="I418" s="3"/>
      <c r="J418" s="3"/>
      <c r="K418" s="3"/>
      <c r="L418" s="3"/>
      <c r="M418" s="3"/>
      <c r="N418" s="3"/>
      <c r="O418" s="3"/>
      <c r="P418" s="3" t="n">
        <v>1</v>
      </c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 t="n">
        <v>0.1</v>
      </c>
      <c r="AB418" s="3"/>
      <c r="AC418" s="3" t="n">
        <v>10</v>
      </c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 t="n">
        <v>15</v>
      </c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 t="s">
        <v>1135</v>
      </c>
      <c r="BI418" s="3"/>
      <c r="BJ418" s="3"/>
      <c r="BK418" s="3"/>
      <c r="BL418" s="3"/>
      <c r="BM418" s="3"/>
    </row>
    <row r="419" customFormat="false" ht="15" hidden="false" customHeight="false" outlineLevel="0" collapsed="false">
      <c r="A419" s="3" t="s">
        <v>66</v>
      </c>
      <c r="B419" s="3" t="s">
        <v>80</v>
      </c>
      <c r="C419" s="3" t="s">
        <v>1136</v>
      </c>
      <c r="D419" s="3" t="s">
        <v>1137</v>
      </c>
      <c r="E419" s="3" t="n">
        <v>1</v>
      </c>
      <c r="F419" s="6" t="n">
        <f aca="false">H419*Pesos!$B$2+I419*Pesos!$B$3+J419*Pesos!$B$4+K419*Pesos!$B$5+L419*Pesos!$B$6+M419*Pesos!$B$7+N419*Pesos!$B$8+O419*Pesos!$B$9+P419*Pesos!$B$10+Q419*Pesos!$B$11+R419*Pesos!$B$12+S419*Pesos!$B$13+T419*Pesos!$B$14+U419*Pesos!$B$15+V419*Pesos!$B$16+W419*Pesos!$B$17+X419*Pesos!$B$18+Y419*Pesos!$B$19+Z419*Pesos!$B$20+AA419*Pesos!$B$21+AB419*Pesos!$B$22+AC419*Pesos!$B$23+AD419*Pesos!$B$24+AE419*Pesos!$B$25+AF419*Pesos!$B$26+AG419*Pesos!$B$27+AH419*Pesos!$B$28+AI419*Pesos!$B$29+AJ419*Pesos!$B$30+AK419*Pesos!$B$31+AL419*Pesos!$B$32+AM419*Pesos!$B$33+AN419*Pesos!$B$34+AO419*Pesos!$B$35+AP419*Pesos!$B$36+AQ419*Pesos!$B$37+AR419*Pesos!$B$38+AS419*Pesos!$B$39+AT419*Pesos!$B$40+AU419*Pesos!$B$41+AV419*Pesos!$B$42+AW419*Pesos!$B$43+AX419*Pesos!$B$44+AY419*Pesos!$B$45+AZ419*Pesos!$B$46+BA419*Pesos!$B$47+BB419*Pesos!$B$48+BC419*Pesos!$B$49+BD419*Pesos!$B$50+BE419*Pesos!$B$51+BF419*Pesos!$B$52+BG419*Pesos!$B$53</f>
        <v>170</v>
      </c>
      <c r="G419" s="6" t="n">
        <f aca="false">E419*F419</f>
        <v>170</v>
      </c>
      <c r="H419" s="3" t="n">
        <v>70</v>
      </c>
      <c r="I419" s="3" t="n">
        <v>120</v>
      </c>
      <c r="J419" s="3" t="n">
        <v>5</v>
      </c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customFormat="false" ht="15" hidden="false" customHeight="false" outlineLevel="0" collapsed="false">
      <c r="A420" s="3" t="s">
        <v>66</v>
      </c>
      <c r="B420" s="3" t="s">
        <v>80</v>
      </c>
      <c r="C420" s="3" t="s">
        <v>1138</v>
      </c>
      <c r="D420" s="3" t="s">
        <v>1139</v>
      </c>
      <c r="E420" s="3" t="n">
        <v>1</v>
      </c>
      <c r="F420" s="6" t="n">
        <f aca="false">H420*Pesos!$B$2+I420*Pesos!$B$3+J420*Pesos!$B$4+K420*Pesos!$B$5+L420*Pesos!$B$6+M420*Pesos!$B$7+N420*Pesos!$B$8+O420*Pesos!$B$9+P420*Pesos!$B$10+Q420*Pesos!$B$11+R420*Pesos!$B$12+S420*Pesos!$B$13+T420*Pesos!$B$14+U420*Pesos!$B$15+V420*Pesos!$B$16+W420*Pesos!$B$17+X420*Pesos!$B$18+Y420*Pesos!$B$19+Z420*Pesos!$B$20+AA420*Pesos!$B$21+AB420*Pesos!$B$22+AC420*Pesos!$B$23+AD420*Pesos!$B$24+AE420*Pesos!$B$25+AF420*Pesos!$B$26+AG420*Pesos!$B$27+AH420*Pesos!$B$28+AI420*Pesos!$B$29+AJ420*Pesos!$B$30+AK420*Pesos!$B$31+AL420*Pesos!$B$32+AM420*Pesos!$B$33+AN420*Pesos!$B$34+AO420*Pesos!$B$35+AP420*Pesos!$B$36+AQ420*Pesos!$B$37+AR420*Pesos!$B$38+AS420*Pesos!$B$39+AT420*Pesos!$B$40+AU420*Pesos!$B$41+AV420*Pesos!$B$42+AW420*Pesos!$B$43+AX420*Pesos!$B$44+AY420*Pesos!$B$45+AZ420*Pesos!$B$46+BA420*Pesos!$B$47+BB420*Pesos!$B$48+BC420*Pesos!$B$49+BD420*Pesos!$B$50+BE420*Pesos!$B$51+BF420*Pesos!$B$52+BG420*Pesos!$B$53</f>
        <v>199.5</v>
      </c>
      <c r="G420" s="6" t="n">
        <f aca="false">E420*F420</f>
        <v>199.5</v>
      </c>
      <c r="H420" s="3" t="n">
        <v>70</v>
      </c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 t="n">
        <v>0.15</v>
      </c>
      <c r="AB420" s="3" t="n">
        <v>5</v>
      </c>
      <c r="AC420" s="3" t="n">
        <v>5</v>
      </c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 t="s">
        <v>1139</v>
      </c>
      <c r="BI420" s="3"/>
      <c r="BJ420" s="3"/>
      <c r="BK420" s="3"/>
      <c r="BL420" s="3"/>
      <c r="BM420" s="3"/>
    </row>
    <row r="421" customFormat="false" ht="15" hidden="false" customHeight="false" outlineLevel="0" collapsed="false">
      <c r="A421" s="3" t="s">
        <v>66</v>
      </c>
      <c r="B421" s="3" t="s">
        <v>80</v>
      </c>
      <c r="C421" s="3" t="s">
        <v>1140</v>
      </c>
      <c r="D421" s="3" t="s">
        <v>1141</v>
      </c>
      <c r="E421" s="3" t="n">
        <v>1</v>
      </c>
      <c r="F421" s="6" t="n">
        <f aca="false">H421*Pesos!$B$2+I421*Pesos!$B$3+J421*Pesos!$B$4+K421*Pesos!$B$5+L421*Pesos!$B$6+M421*Pesos!$B$7+N421*Pesos!$B$8+O421*Pesos!$B$9+P421*Pesos!$B$10+Q421*Pesos!$B$11+R421*Pesos!$B$12+S421*Pesos!$B$13+T421*Pesos!$B$14+U421*Pesos!$B$15+V421*Pesos!$B$16+W421*Pesos!$B$17+X421*Pesos!$B$18+Y421*Pesos!$B$19+Z421*Pesos!$B$20+AA421*Pesos!$B$21+AB421*Pesos!$B$22+AC421*Pesos!$B$23+AD421*Pesos!$B$24+AE421*Pesos!$B$25+AF421*Pesos!$B$26+AG421*Pesos!$B$27+AH421*Pesos!$B$28+AI421*Pesos!$B$29+AJ421*Pesos!$B$30+AK421*Pesos!$B$31+AL421*Pesos!$B$32+AM421*Pesos!$B$33+AN421*Pesos!$B$34+AO421*Pesos!$B$35+AP421*Pesos!$B$36+AQ421*Pesos!$B$37+AR421*Pesos!$B$38+AS421*Pesos!$B$39+AT421*Pesos!$B$40+AU421*Pesos!$B$41+AV421*Pesos!$B$42+AW421*Pesos!$B$43+AX421*Pesos!$B$44+AY421*Pesos!$B$45+AZ421*Pesos!$B$46+BA421*Pesos!$B$47+BB421*Pesos!$B$48+BC421*Pesos!$B$49+BD421*Pesos!$B$50+BE421*Pesos!$B$51+BF421*Pesos!$B$52+BG421*Pesos!$B$53</f>
        <v>65</v>
      </c>
      <c r="G421" s="6" t="n">
        <f aca="false">E421*F421</f>
        <v>65</v>
      </c>
      <c r="H421" s="3" t="n">
        <v>70</v>
      </c>
      <c r="I421" s="3"/>
      <c r="J421" s="3"/>
      <c r="K421" s="3" t="n">
        <v>5</v>
      </c>
      <c r="L421" s="3"/>
      <c r="M421" s="3" t="n">
        <v>25</v>
      </c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customFormat="false" ht="15" hidden="false" customHeight="false" outlineLevel="0" collapsed="false">
      <c r="A422" s="3" t="s">
        <v>66</v>
      </c>
      <c r="B422" s="3" t="s">
        <v>80</v>
      </c>
      <c r="C422" s="3" t="s">
        <v>1142</v>
      </c>
      <c r="D422" s="3" t="s">
        <v>1143</v>
      </c>
      <c r="E422" s="3" t="n">
        <v>1</v>
      </c>
      <c r="F422" s="6" t="n">
        <f aca="false">H422*Pesos!$B$2+I422*Pesos!$B$3+J422*Pesos!$B$4+K422*Pesos!$B$5+L422*Pesos!$B$6+M422*Pesos!$B$7+N422*Pesos!$B$8+O422*Pesos!$B$9+P422*Pesos!$B$10+Q422*Pesos!$B$11+R422*Pesos!$B$12+S422*Pesos!$B$13+T422*Pesos!$B$14+U422*Pesos!$B$15+V422*Pesos!$B$16+W422*Pesos!$B$17+X422*Pesos!$B$18+Y422*Pesos!$B$19+Z422*Pesos!$B$20+AA422*Pesos!$B$21+AB422*Pesos!$B$22+AC422*Pesos!$B$23+AD422*Pesos!$B$24+AE422*Pesos!$B$25+AF422*Pesos!$B$26+AG422*Pesos!$B$27+AH422*Pesos!$B$28+AI422*Pesos!$B$29+AJ422*Pesos!$B$30+AK422*Pesos!$B$31+AL422*Pesos!$B$32+AM422*Pesos!$B$33+AN422*Pesos!$B$34+AO422*Pesos!$B$35+AP422*Pesos!$B$36+AQ422*Pesos!$B$37+AR422*Pesos!$B$38+AS422*Pesos!$B$39+AT422*Pesos!$B$40+AU422*Pesos!$B$41+AV422*Pesos!$B$42+AW422*Pesos!$B$43+AX422*Pesos!$B$44+AY422*Pesos!$B$45+AZ422*Pesos!$B$46+BA422*Pesos!$B$47+BB422*Pesos!$B$48+BC422*Pesos!$B$49+BD422*Pesos!$B$50+BE422*Pesos!$B$51+BF422*Pesos!$B$52+BG422*Pesos!$B$53</f>
        <v>290</v>
      </c>
      <c r="G422" s="6" t="n">
        <f aca="false">E422*F422</f>
        <v>290</v>
      </c>
      <c r="H422" s="3" t="n">
        <v>105</v>
      </c>
      <c r="I422" s="3" t="n">
        <v>50</v>
      </c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 t="n">
        <v>12</v>
      </c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customFormat="false" ht="15" hidden="false" customHeight="false" outlineLevel="0" collapsed="false">
      <c r="A423" s="3" t="s">
        <v>66</v>
      </c>
      <c r="B423" s="3" t="s">
        <v>134</v>
      </c>
      <c r="C423" s="3" t="s">
        <v>1144</v>
      </c>
      <c r="D423" s="3" t="s">
        <v>388</v>
      </c>
      <c r="E423" s="3" t="n">
        <v>1</v>
      </c>
      <c r="F423" s="6" t="n">
        <f aca="false">H423*Pesos!$B$2+I423*Pesos!$B$3+J423*Pesos!$B$4+K423*Pesos!$B$5+L423*Pesos!$B$6+M423*Pesos!$B$7+N423*Pesos!$B$8+O423*Pesos!$B$9+P423*Pesos!$B$10+Q423*Pesos!$B$11+R423*Pesos!$B$12+S423*Pesos!$B$13+T423*Pesos!$B$14+U423*Pesos!$B$15+V423*Pesos!$B$16+W423*Pesos!$B$17+X423*Pesos!$B$18+Y423*Pesos!$B$19+Z423*Pesos!$B$20+AA423*Pesos!$B$21+AB423*Pesos!$B$22+AC423*Pesos!$B$23+AD423*Pesos!$B$24+AE423*Pesos!$B$25+AF423*Pesos!$B$26+AG423*Pesos!$B$27+AH423*Pesos!$B$28+AI423*Pesos!$B$29+AJ423*Pesos!$B$30+AK423*Pesos!$B$31+AL423*Pesos!$B$32+AM423*Pesos!$B$33+AN423*Pesos!$B$34+AO423*Pesos!$B$35+AP423*Pesos!$B$36+AQ423*Pesos!$B$37+AR423*Pesos!$B$38+AS423*Pesos!$B$39+AT423*Pesos!$B$40+AU423*Pesos!$B$41+AV423*Pesos!$B$42+AW423*Pesos!$B$43+AX423*Pesos!$B$44+AY423*Pesos!$B$45+AZ423*Pesos!$B$46+BA423*Pesos!$B$47+BB423*Pesos!$B$48+BC423*Pesos!$B$49+BD423*Pesos!$B$50+BE423*Pesos!$B$51+BF423*Pesos!$B$52+BG423*Pesos!$B$53</f>
        <v>200</v>
      </c>
      <c r="G423" s="6" t="n">
        <f aca="false">E423*F423</f>
        <v>200</v>
      </c>
      <c r="H423" s="3" t="n">
        <v>49</v>
      </c>
      <c r="I423" s="3"/>
      <c r="J423" s="3"/>
      <c r="K423" s="3"/>
      <c r="L423" s="3"/>
      <c r="M423" s="3"/>
      <c r="N423" s="3"/>
      <c r="O423" s="3"/>
      <c r="P423" s="3"/>
      <c r="Q423" s="3"/>
      <c r="R423" s="3" t="n">
        <v>2</v>
      </c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customFormat="false" ht="15" hidden="false" customHeight="false" outlineLevel="0" collapsed="false">
      <c r="A424" s="3" t="s">
        <v>66</v>
      </c>
      <c r="B424" s="3" t="s">
        <v>134</v>
      </c>
      <c r="C424" s="3" t="s">
        <v>1145</v>
      </c>
      <c r="D424" s="3" t="s">
        <v>1146</v>
      </c>
      <c r="E424" s="3" t="n">
        <v>0.5</v>
      </c>
      <c r="F424" s="6" t="n">
        <f aca="false">H424*Pesos!$B$2+I424*Pesos!$B$3+J424*Pesos!$B$4+K424*Pesos!$B$5+L424*Pesos!$B$6+M424*Pesos!$B$7+N424*Pesos!$B$8+O424*Pesos!$B$9+P424*Pesos!$B$10+Q424*Pesos!$B$11+R424*Pesos!$B$12+S424*Pesos!$B$13+T424*Pesos!$B$14+U424*Pesos!$B$15+V424*Pesos!$B$16+W424*Pesos!$B$17+X424*Pesos!$B$18+Y424*Pesos!$B$19+Z424*Pesos!$B$20+AA424*Pesos!$B$21+AB424*Pesos!$B$22+AC424*Pesos!$B$23+AD424*Pesos!$B$24+AE424*Pesos!$B$25+AF424*Pesos!$B$26+AG424*Pesos!$B$27+AH424*Pesos!$B$28+AI424*Pesos!$B$29+AJ424*Pesos!$B$30+AK424*Pesos!$B$31+AL424*Pesos!$B$32+AM424*Pesos!$B$33+AN424*Pesos!$B$34+AO424*Pesos!$B$35+AP424*Pesos!$B$36+AQ424*Pesos!$B$37+AR424*Pesos!$B$38+AS424*Pesos!$B$39+AT424*Pesos!$B$40+AU424*Pesos!$B$41+AV424*Pesos!$B$42+AW424*Pesos!$B$43+AX424*Pesos!$B$44+AY424*Pesos!$B$45+AZ424*Pesos!$B$46+BA424*Pesos!$B$47+BB424*Pesos!$B$48+BC424*Pesos!$B$49+BD424*Pesos!$B$50+BE424*Pesos!$B$51+BF424*Pesos!$B$52+BG424*Pesos!$B$53</f>
        <v>160</v>
      </c>
      <c r="G424" s="6" t="n">
        <f aca="false">E424*F424</f>
        <v>80</v>
      </c>
      <c r="H424" s="3" t="n">
        <v>63</v>
      </c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 t="n">
        <v>10</v>
      </c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 t="n">
        <v>5</v>
      </c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 t="s">
        <v>1146</v>
      </c>
      <c r="BI424" s="3"/>
      <c r="BJ424" s="3"/>
      <c r="BK424" s="3"/>
      <c r="BL424" s="3"/>
      <c r="BM424" s="3" t="s">
        <v>1147</v>
      </c>
    </row>
    <row r="425" customFormat="false" ht="15" hidden="false" customHeight="false" outlineLevel="0" collapsed="false">
      <c r="A425" s="3" t="s">
        <v>66</v>
      </c>
      <c r="B425" s="3" t="s">
        <v>134</v>
      </c>
      <c r="C425" s="3" t="s">
        <v>1148</v>
      </c>
      <c r="D425" s="3" t="s">
        <v>1149</v>
      </c>
      <c r="E425" s="3" t="n">
        <v>0.5</v>
      </c>
      <c r="F425" s="6" t="n">
        <f aca="false">H425*Pesos!$B$2+I425*Pesos!$B$3+J425*Pesos!$B$4+K425*Pesos!$B$5+L425*Pesos!$B$6+M425*Pesos!$B$7+N425*Pesos!$B$8+O425*Pesos!$B$9+P425*Pesos!$B$10+Q425*Pesos!$B$11+R425*Pesos!$B$12+S425*Pesos!$B$13+T425*Pesos!$B$14+U425*Pesos!$B$15+V425*Pesos!$B$16+W425*Pesos!$B$17+X425*Pesos!$B$18+Y425*Pesos!$B$19+Z425*Pesos!$B$20+AA425*Pesos!$B$21+AB425*Pesos!$B$22+AC425*Pesos!$B$23+AD425*Pesos!$B$24+AE425*Pesos!$B$25+AF425*Pesos!$B$26+AG425*Pesos!$B$27+AH425*Pesos!$B$28+AI425*Pesos!$B$29+AJ425*Pesos!$B$30+AK425*Pesos!$B$31+AL425*Pesos!$B$32+AM425*Pesos!$B$33+AN425*Pesos!$B$34+AO425*Pesos!$B$35+AP425*Pesos!$B$36+AQ425*Pesos!$B$37+AR425*Pesos!$B$38+AS425*Pesos!$B$39+AT425*Pesos!$B$40+AU425*Pesos!$B$41+AV425*Pesos!$B$42+AW425*Pesos!$B$43+AX425*Pesos!$B$44+AY425*Pesos!$B$45+AZ425*Pesos!$B$46+BA425*Pesos!$B$47+BB425*Pesos!$B$48+BC425*Pesos!$B$49+BD425*Pesos!$B$50+BE425*Pesos!$B$51+BF425*Pesos!$B$52+BG425*Pesos!$B$53</f>
        <v>350</v>
      </c>
      <c r="G425" s="6" t="n">
        <f aca="false">E425*F425</f>
        <v>175</v>
      </c>
      <c r="H425" s="3" t="n">
        <v>49</v>
      </c>
      <c r="I425" s="3" t="n">
        <v>100</v>
      </c>
      <c r="J425" s="3" t="n">
        <v>5</v>
      </c>
      <c r="K425" s="3"/>
      <c r="L425" s="3"/>
      <c r="M425" s="3"/>
      <c r="N425" s="3"/>
      <c r="O425" s="3"/>
      <c r="P425" s="3"/>
      <c r="Q425" s="3"/>
      <c r="R425" s="3" t="n">
        <v>2</v>
      </c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customFormat="false" ht="15" hidden="false" customHeight="false" outlineLevel="0" collapsed="false">
      <c r="A426" s="3" t="s">
        <v>66</v>
      </c>
      <c r="B426" s="3" t="s">
        <v>134</v>
      </c>
      <c r="C426" s="3" t="s">
        <v>1150</v>
      </c>
      <c r="D426" s="3" t="s">
        <v>1151</v>
      </c>
      <c r="E426" s="3" t="n">
        <v>0.5</v>
      </c>
      <c r="F426" s="6" t="n">
        <f aca="false">H426*Pesos!$B$2+I426*Pesos!$B$3+J426*Pesos!$B$4+K426*Pesos!$B$5+L426*Pesos!$B$6+M426*Pesos!$B$7+N426*Pesos!$B$8+O426*Pesos!$B$9+P426*Pesos!$B$10+Q426*Pesos!$B$11+R426*Pesos!$B$12+S426*Pesos!$B$13+T426*Pesos!$B$14+U426*Pesos!$B$15+V426*Pesos!$B$16+W426*Pesos!$B$17+X426*Pesos!$B$18+Y426*Pesos!$B$19+Z426*Pesos!$B$20+AA426*Pesos!$B$21+AB426*Pesos!$B$22+AC426*Pesos!$B$23+AD426*Pesos!$B$24+AE426*Pesos!$B$25+AF426*Pesos!$B$26+AG426*Pesos!$B$27+AH426*Pesos!$B$28+AI426*Pesos!$B$29+AJ426*Pesos!$B$30+AK426*Pesos!$B$31+AL426*Pesos!$B$32+AM426*Pesos!$B$33+AN426*Pesos!$B$34+AO426*Pesos!$B$35+AP426*Pesos!$B$36+AQ426*Pesos!$B$37+AR426*Pesos!$B$38+AS426*Pesos!$B$39+AT426*Pesos!$B$40+AU426*Pesos!$B$41+AV426*Pesos!$B$42+AW426*Pesos!$B$43+AX426*Pesos!$B$44+AY426*Pesos!$B$45+AZ426*Pesos!$B$46+BA426*Pesos!$B$47+BB426*Pesos!$B$48+BC426*Pesos!$B$49+BD426*Pesos!$B$50+BE426*Pesos!$B$51+BF426*Pesos!$B$52+BG426*Pesos!$B$53</f>
        <v>125</v>
      </c>
      <c r="G426" s="6" t="n">
        <f aca="false">E426*F426</f>
        <v>62.5</v>
      </c>
      <c r="H426" s="3" t="n">
        <v>49</v>
      </c>
      <c r="I426" s="3"/>
      <c r="J426" s="3"/>
      <c r="K426" s="3"/>
      <c r="L426" s="3" t="n">
        <v>50000</v>
      </c>
      <c r="M426" s="3"/>
      <c r="N426" s="3"/>
      <c r="O426" s="3"/>
      <c r="P426" s="3"/>
      <c r="Q426" s="3" t="n">
        <v>1</v>
      </c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customFormat="false" ht="15" hidden="false" customHeight="false" outlineLevel="0" collapsed="false">
      <c r="A427" s="3" t="s">
        <v>66</v>
      </c>
      <c r="B427" s="3" t="s">
        <v>134</v>
      </c>
      <c r="C427" s="3" t="s">
        <v>1152</v>
      </c>
      <c r="D427" s="3" t="s">
        <v>1153</v>
      </c>
      <c r="E427" s="3" t="n">
        <v>0.5</v>
      </c>
      <c r="F427" s="6" t="n">
        <f aca="false">H427*Pesos!$B$2+I427*Pesos!$B$3+J427*Pesos!$B$4+K427*Pesos!$B$5+L427*Pesos!$B$6+M427*Pesos!$B$7+N427*Pesos!$B$8+O427*Pesos!$B$9+P427*Pesos!$B$10+Q427*Pesos!$B$11+R427*Pesos!$B$12+S427*Pesos!$B$13+T427*Pesos!$B$14+U427*Pesos!$B$15+V427*Pesos!$B$16+W427*Pesos!$B$17+X427*Pesos!$B$18+Y427*Pesos!$B$19+Z427*Pesos!$B$20+AA427*Pesos!$B$21+AB427*Pesos!$B$22+AC427*Pesos!$B$23+AD427*Pesos!$B$24+AE427*Pesos!$B$25+AF427*Pesos!$B$26+AG427*Pesos!$B$27+AH427*Pesos!$B$28+AI427*Pesos!$B$29+AJ427*Pesos!$B$30+AK427*Pesos!$B$31+AL427*Pesos!$B$32+AM427*Pesos!$B$33+AN427*Pesos!$B$34+AO427*Pesos!$B$35+AP427*Pesos!$B$36+AQ427*Pesos!$B$37+AR427*Pesos!$B$38+AS427*Pesos!$B$39+AT427*Pesos!$B$40+AU427*Pesos!$B$41+AV427*Pesos!$B$42+AW427*Pesos!$B$43+AX427*Pesos!$B$44+AY427*Pesos!$B$45+AZ427*Pesos!$B$46+BA427*Pesos!$B$47+BB427*Pesos!$B$48+BC427*Pesos!$B$49+BD427*Pesos!$B$50+BE427*Pesos!$B$51+BF427*Pesos!$B$52+BG427*Pesos!$B$53</f>
        <v>146.5</v>
      </c>
      <c r="G427" s="6" t="n">
        <f aca="false">E427*F427</f>
        <v>73.25</v>
      </c>
      <c r="H427" s="3" t="n">
        <v>84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 t="n">
        <v>0.05</v>
      </c>
      <c r="AB427" s="3" t="n">
        <v>5</v>
      </c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 t="n">
        <v>5</v>
      </c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 t="s">
        <v>1154</v>
      </c>
      <c r="BI427" s="3"/>
      <c r="BJ427" s="3"/>
      <c r="BK427" s="3"/>
      <c r="BL427" s="3"/>
      <c r="BM427" s="3"/>
    </row>
    <row r="428" customFormat="false" ht="15" hidden="false" customHeight="false" outlineLevel="0" collapsed="false">
      <c r="A428" s="3" t="s">
        <v>66</v>
      </c>
      <c r="B428" s="3" t="s">
        <v>134</v>
      </c>
      <c r="C428" s="3" t="s">
        <v>1155</v>
      </c>
      <c r="D428" s="3" t="s">
        <v>1156</v>
      </c>
      <c r="E428" s="3" t="n">
        <v>0.5</v>
      </c>
      <c r="F428" s="6" t="n">
        <f aca="false">H428*Pesos!$B$2+I428*Pesos!$B$3+J428*Pesos!$B$4+K428*Pesos!$B$5+L428*Pesos!$B$6+M428*Pesos!$B$7+N428*Pesos!$B$8+O428*Pesos!$B$9+P428*Pesos!$B$10+Q428*Pesos!$B$11+R428*Pesos!$B$12+S428*Pesos!$B$13+T428*Pesos!$B$14+U428*Pesos!$B$15+V428*Pesos!$B$16+W428*Pesos!$B$17+X428*Pesos!$B$18+Y428*Pesos!$B$19+Z428*Pesos!$B$20+AA428*Pesos!$B$21+AB428*Pesos!$B$22+AC428*Pesos!$B$23+AD428*Pesos!$B$24+AE428*Pesos!$B$25+AF428*Pesos!$B$26+AG428*Pesos!$B$27+AH428*Pesos!$B$28+AI428*Pesos!$B$29+AJ428*Pesos!$B$30+AK428*Pesos!$B$31+AL428*Pesos!$B$32+AM428*Pesos!$B$33+AN428*Pesos!$B$34+AO428*Pesos!$B$35+AP428*Pesos!$B$36+AQ428*Pesos!$B$37+AR428*Pesos!$B$38+AS428*Pesos!$B$39+AT428*Pesos!$B$40+AU428*Pesos!$B$41+AV428*Pesos!$B$42+AW428*Pesos!$B$43+AX428*Pesos!$B$44+AY428*Pesos!$B$45+AZ428*Pesos!$B$46+BA428*Pesos!$B$47+BB428*Pesos!$B$48+BC428*Pesos!$B$49+BD428*Pesos!$B$50+BE428*Pesos!$B$51+BF428*Pesos!$B$52+BG428*Pesos!$B$53</f>
        <v>275</v>
      </c>
      <c r="G428" s="6" t="n">
        <f aca="false">E428*F428</f>
        <v>137.5</v>
      </c>
      <c r="H428" s="3" t="n">
        <v>77</v>
      </c>
      <c r="I428" s="3"/>
      <c r="J428" s="3"/>
      <c r="K428" s="3"/>
      <c r="L428" s="3" t="n">
        <v>100000</v>
      </c>
      <c r="M428" s="3" t="n">
        <v>50</v>
      </c>
      <c r="N428" s="3"/>
      <c r="O428" s="3"/>
      <c r="P428" s="3"/>
      <c r="Q428" s="3" t="n">
        <v>1</v>
      </c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customFormat="false" ht="15" hidden="false" customHeight="false" outlineLevel="0" collapsed="false">
      <c r="A429" s="3" t="s">
        <v>66</v>
      </c>
      <c r="B429" s="3" t="s">
        <v>134</v>
      </c>
      <c r="C429" s="3" t="s">
        <v>1157</v>
      </c>
      <c r="D429" s="3" t="s">
        <v>1158</v>
      </c>
      <c r="E429" s="3" t="n">
        <v>0.5</v>
      </c>
      <c r="F429" s="6" t="n">
        <f aca="false">H429*Pesos!$B$2+I429*Pesos!$B$3+J429*Pesos!$B$4+K429*Pesos!$B$5+L429*Pesos!$B$6+M429*Pesos!$B$7+N429*Pesos!$B$8+O429*Pesos!$B$9+P429*Pesos!$B$10+Q429*Pesos!$B$11+R429*Pesos!$B$12+S429*Pesos!$B$13+T429*Pesos!$B$14+U429*Pesos!$B$15+V429*Pesos!$B$16+W429*Pesos!$B$17+X429*Pesos!$B$18+Y429*Pesos!$B$19+Z429*Pesos!$B$20+AA429*Pesos!$B$21+AB429*Pesos!$B$22+AC429*Pesos!$B$23+AD429*Pesos!$B$24+AE429*Pesos!$B$25+AF429*Pesos!$B$26+AG429*Pesos!$B$27+AH429*Pesos!$B$28+AI429*Pesos!$B$29+AJ429*Pesos!$B$30+AK429*Pesos!$B$31+AL429*Pesos!$B$32+AM429*Pesos!$B$33+AN429*Pesos!$B$34+AO429*Pesos!$B$35+AP429*Pesos!$B$36+AQ429*Pesos!$B$37+AR429*Pesos!$B$38+AS429*Pesos!$B$39+AT429*Pesos!$B$40+AU429*Pesos!$B$41+AV429*Pesos!$B$42+AW429*Pesos!$B$43+AX429*Pesos!$B$44+AY429*Pesos!$B$45+AZ429*Pesos!$B$46+BA429*Pesos!$B$47+BB429*Pesos!$B$48+BC429*Pesos!$B$49+BD429*Pesos!$B$50+BE429*Pesos!$B$51+BF429*Pesos!$B$52+BG429*Pesos!$B$53</f>
        <v>296.5</v>
      </c>
      <c r="G429" s="6" t="n">
        <f aca="false">E429*F429</f>
        <v>148.25</v>
      </c>
      <c r="H429" s="3" t="n">
        <v>98</v>
      </c>
      <c r="I429" s="3" t="n">
        <v>150</v>
      </c>
      <c r="J429" s="3" t="n">
        <v>5</v>
      </c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 t="n">
        <v>0.05</v>
      </c>
      <c r="AB429" s="3"/>
      <c r="AC429" s="3"/>
      <c r="AD429" s="3"/>
      <c r="AE429" s="3"/>
      <c r="AF429" s="3"/>
      <c r="AG429" s="3" t="n">
        <v>-10</v>
      </c>
      <c r="AH429" s="3"/>
      <c r="AI429" s="3"/>
      <c r="AJ429" s="3"/>
      <c r="AK429" s="3"/>
      <c r="AL429" s="3"/>
      <c r="AM429" s="3"/>
      <c r="AN429" s="3"/>
      <c r="AO429" s="3"/>
      <c r="AP429" s="3" t="n">
        <v>10</v>
      </c>
      <c r="AQ429" s="3"/>
      <c r="AR429" s="3" t="n">
        <v>5</v>
      </c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 t="s">
        <v>1159</v>
      </c>
      <c r="BI429" s="3"/>
      <c r="BJ429" s="3"/>
      <c r="BK429" s="3"/>
      <c r="BL429" s="3"/>
      <c r="BM429" s="3"/>
    </row>
    <row r="430" customFormat="false" ht="15" hidden="false" customHeight="false" outlineLevel="0" collapsed="false">
      <c r="A430" s="3" t="s">
        <v>66</v>
      </c>
      <c r="B430" s="3" t="s">
        <v>135</v>
      </c>
      <c r="C430" s="3" t="s">
        <v>1147</v>
      </c>
      <c r="D430" s="3" t="s">
        <v>1160</v>
      </c>
      <c r="E430" s="3" t="n">
        <v>0.5</v>
      </c>
      <c r="F430" s="6" t="n">
        <f aca="false">H430*Pesos!$B$2+I430*Pesos!$B$3+J430*Pesos!$B$4+K430*Pesos!$B$5+L430*Pesos!$B$6+M430*Pesos!$B$7+N430*Pesos!$B$8+O430*Pesos!$B$9+P430*Pesos!$B$10+Q430*Pesos!$B$11+R430*Pesos!$B$12+S430*Pesos!$B$13+T430*Pesos!$B$14+U430*Pesos!$B$15+V430*Pesos!$B$16+W430*Pesos!$B$17+X430*Pesos!$B$18+Y430*Pesos!$B$19+Z430*Pesos!$B$20+AA430*Pesos!$B$21+AB430*Pesos!$B$22+AC430*Pesos!$B$23+AD430*Pesos!$B$24+AE430*Pesos!$B$25+AF430*Pesos!$B$26+AG430*Pesos!$B$27+AH430*Pesos!$B$28+AI430*Pesos!$B$29+AJ430*Pesos!$B$30+AK430*Pesos!$B$31+AL430*Pesos!$B$32+AM430*Pesos!$B$33+AN430*Pesos!$B$34+AO430*Pesos!$B$35+AP430*Pesos!$B$36+AQ430*Pesos!$B$37+AR430*Pesos!$B$38+AS430*Pesos!$B$39+AT430*Pesos!$B$40+AU430*Pesos!$B$41+AV430*Pesos!$B$42+AW430*Pesos!$B$43+AX430*Pesos!$B$44+AY430*Pesos!$B$45+AZ430*Pesos!$B$46+BA430*Pesos!$B$47+BB430*Pesos!$B$48+BC430*Pesos!$B$49+BD430*Pesos!$B$50+BE430*Pesos!$B$51+BF430*Pesos!$B$52+BG430*Pesos!$B$53</f>
        <v>500</v>
      </c>
      <c r="G430" s="6" t="n">
        <f aca="false">E430*F430</f>
        <v>250</v>
      </c>
      <c r="H430" s="3" t="n">
        <v>63</v>
      </c>
      <c r="I430" s="3"/>
      <c r="J430" s="3"/>
      <c r="K430" s="3"/>
      <c r="L430" s="3"/>
      <c r="M430" s="3"/>
      <c r="N430" s="3"/>
      <c r="O430" s="3"/>
      <c r="P430" s="3"/>
      <c r="Q430" s="3" t="n">
        <v>2</v>
      </c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 t="n">
        <v>-5</v>
      </c>
      <c r="AC430" s="3"/>
      <c r="AD430" s="3"/>
      <c r="AE430" s="3"/>
      <c r="AF430" s="3"/>
      <c r="AG430" s="3"/>
      <c r="AH430" s="3"/>
      <c r="AI430" s="3" t="n">
        <v>20</v>
      </c>
      <c r="AJ430" s="3"/>
      <c r="AK430" s="3"/>
      <c r="AL430" s="3"/>
      <c r="AM430" s="3" t="n">
        <v>20</v>
      </c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 t="s">
        <v>1161</v>
      </c>
      <c r="BI430" s="3"/>
      <c r="BJ430" s="3"/>
      <c r="BK430" s="3"/>
      <c r="BL430" s="3"/>
      <c r="BM430" s="3" t="s">
        <v>1145</v>
      </c>
    </row>
    <row r="431" customFormat="false" ht="15" hidden="false" customHeight="false" outlineLevel="0" collapsed="false">
      <c r="A431" s="3" t="s">
        <v>66</v>
      </c>
      <c r="B431" s="3" t="s">
        <v>135</v>
      </c>
      <c r="C431" s="3" t="s">
        <v>1162</v>
      </c>
      <c r="D431" s="3" t="s">
        <v>1163</v>
      </c>
      <c r="E431" s="3" t="n">
        <v>0.5</v>
      </c>
      <c r="F431" s="6" t="n">
        <f aca="false">H431*Pesos!$B$2+I431*Pesos!$B$3+J431*Pesos!$B$4+K431*Pesos!$B$5+L431*Pesos!$B$6+M431*Pesos!$B$7+N431*Pesos!$B$8+O431*Pesos!$B$9+P431*Pesos!$B$10+Q431*Pesos!$B$11+R431*Pesos!$B$12+S431*Pesos!$B$13+T431*Pesos!$B$14+U431*Pesos!$B$15+V431*Pesos!$B$16+W431*Pesos!$B$17+X431*Pesos!$B$18+Y431*Pesos!$B$19+Z431*Pesos!$B$20+AA431*Pesos!$B$21+AB431*Pesos!$B$22+AC431*Pesos!$B$23+AD431*Pesos!$B$24+AE431*Pesos!$B$25+AF431*Pesos!$B$26+AG431*Pesos!$B$27+AH431*Pesos!$B$28+AI431*Pesos!$B$29+AJ431*Pesos!$B$30+AK431*Pesos!$B$31+AL431*Pesos!$B$32+AM431*Pesos!$B$33+AN431*Pesos!$B$34+AO431*Pesos!$B$35+AP431*Pesos!$B$36+AQ431*Pesos!$B$37+AR431*Pesos!$B$38+AS431*Pesos!$B$39+AT431*Pesos!$B$40+AU431*Pesos!$B$41+AV431*Pesos!$B$42+AW431*Pesos!$B$43+AX431*Pesos!$B$44+AY431*Pesos!$B$45+AZ431*Pesos!$B$46+BA431*Pesos!$B$47+BB431*Pesos!$B$48+BC431*Pesos!$B$49+BD431*Pesos!$B$50+BE431*Pesos!$B$51+BF431*Pesos!$B$52+BG431*Pesos!$B$53</f>
        <v>145</v>
      </c>
      <c r="G431" s="6" t="n">
        <f aca="false">E431*F431</f>
        <v>72.5</v>
      </c>
      <c r="H431" s="3" t="n">
        <v>49</v>
      </c>
      <c r="I431" s="3"/>
      <c r="J431" s="3"/>
      <c r="K431" s="3"/>
      <c r="L431" s="3"/>
      <c r="M431" s="3"/>
      <c r="N431" s="3"/>
      <c r="O431" s="3"/>
      <c r="P431" s="3"/>
      <c r="Q431" s="3"/>
      <c r="R431" s="3" t="n">
        <v>1</v>
      </c>
      <c r="S431" s="3"/>
      <c r="T431" s="3"/>
      <c r="U431" s="3" t="n">
        <v>3</v>
      </c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customFormat="false" ht="15" hidden="false" customHeight="false" outlineLevel="0" collapsed="false">
      <c r="A432" s="3" t="s">
        <v>66</v>
      </c>
      <c r="B432" s="3" t="s">
        <v>135</v>
      </c>
      <c r="C432" s="3" t="s">
        <v>1164</v>
      </c>
      <c r="D432" s="3" t="s">
        <v>1165</v>
      </c>
      <c r="E432" s="3" t="n">
        <v>0.5</v>
      </c>
      <c r="F432" s="6" t="n">
        <f aca="false">H432*Pesos!$B$2+I432*Pesos!$B$3+J432*Pesos!$B$4+K432*Pesos!$B$5+L432*Pesos!$B$6+M432*Pesos!$B$7+N432*Pesos!$B$8+O432*Pesos!$B$9+P432*Pesos!$B$10+Q432*Pesos!$B$11+R432*Pesos!$B$12+S432*Pesos!$B$13+T432*Pesos!$B$14+U432*Pesos!$B$15+V432*Pesos!$B$16+W432*Pesos!$B$17+X432*Pesos!$B$18+Y432*Pesos!$B$19+Z432*Pesos!$B$20+AA432*Pesos!$B$21+AB432*Pesos!$B$22+AC432*Pesos!$B$23+AD432*Pesos!$B$24+AE432*Pesos!$B$25+AF432*Pesos!$B$26+AG432*Pesos!$B$27+AH432*Pesos!$B$28+AI432*Pesos!$B$29+AJ432*Pesos!$B$30+AK432*Pesos!$B$31+AL432*Pesos!$B$32+AM432*Pesos!$B$33+AN432*Pesos!$B$34+AO432*Pesos!$B$35+AP432*Pesos!$B$36+AQ432*Pesos!$B$37+AR432*Pesos!$B$38+AS432*Pesos!$B$39+AT432*Pesos!$B$40+AU432*Pesos!$B$41+AV432*Pesos!$B$42+AW432*Pesos!$B$43+AX432*Pesos!$B$44+AY432*Pesos!$B$45+AZ432*Pesos!$B$46+BA432*Pesos!$B$47+BB432*Pesos!$B$48+BC432*Pesos!$B$49+BD432*Pesos!$B$50+BE432*Pesos!$B$51+BF432*Pesos!$B$52+BG432*Pesos!$B$53</f>
        <v>200</v>
      </c>
      <c r="G432" s="6" t="n">
        <f aca="false">E432*F432</f>
        <v>100</v>
      </c>
      <c r="H432" s="3" t="n">
        <v>49</v>
      </c>
      <c r="I432" s="3"/>
      <c r="J432" s="3"/>
      <c r="K432" s="3"/>
      <c r="L432" s="3"/>
      <c r="M432" s="3"/>
      <c r="N432" s="3"/>
      <c r="O432" s="3"/>
      <c r="P432" s="3"/>
      <c r="Q432" s="3"/>
      <c r="R432" s="3" t="n">
        <v>2</v>
      </c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customFormat="false" ht="15" hidden="false" customHeight="false" outlineLevel="0" collapsed="false">
      <c r="A433" s="3" t="s">
        <v>66</v>
      </c>
      <c r="B433" s="3" t="s">
        <v>135</v>
      </c>
      <c r="C433" s="3" t="s">
        <v>1166</v>
      </c>
      <c r="D433" s="3" t="s">
        <v>1167</v>
      </c>
      <c r="E433" s="3" t="n">
        <v>0.5</v>
      </c>
      <c r="F433" s="6" t="n">
        <f aca="false">H433*Pesos!$B$2+I433*Pesos!$B$3+J433*Pesos!$B$4+K433*Pesos!$B$5+L433*Pesos!$B$6+M433*Pesos!$B$7+N433*Pesos!$B$8+O433*Pesos!$B$9+P433*Pesos!$B$10+Q433*Pesos!$B$11+R433*Pesos!$B$12+S433*Pesos!$B$13+T433*Pesos!$B$14+U433*Pesos!$B$15+V433*Pesos!$B$16+W433*Pesos!$B$17+X433*Pesos!$B$18+Y433*Pesos!$B$19+Z433*Pesos!$B$20+AA433*Pesos!$B$21+AB433*Pesos!$B$22+AC433*Pesos!$B$23+AD433*Pesos!$B$24+AE433*Pesos!$B$25+AF433*Pesos!$B$26+AG433*Pesos!$B$27+AH433*Pesos!$B$28+AI433*Pesos!$B$29+AJ433*Pesos!$B$30+AK433*Pesos!$B$31+AL433*Pesos!$B$32+AM433*Pesos!$B$33+AN433*Pesos!$B$34+AO433*Pesos!$B$35+AP433*Pesos!$B$36+AQ433*Pesos!$B$37+AR433*Pesos!$B$38+AS433*Pesos!$B$39+AT433*Pesos!$B$40+AU433*Pesos!$B$41+AV433*Pesos!$B$42+AW433*Pesos!$B$43+AX433*Pesos!$B$44+AY433*Pesos!$B$45+AZ433*Pesos!$B$46+BA433*Pesos!$B$47+BB433*Pesos!$B$48+BC433*Pesos!$B$49+BD433*Pesos!$B$50+BE433*Pesos!$B$51+BF433*Pesos!$B$52+BG433*Pesos!$B$53</f>
        <v>550</v>
      </c>
      <c r="G433" s="6" t="n">
        <f aca="false">E433*F433</f>
        <v>275</v>
      </c>
      <c r="H433" s="3" t="n">
        <v>84</v>
      </c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 t="n">
        <v>5</v>
      </c>
      <c r="AC433" s="3"/>
      <c r="AD433" s="3"/>
      <c r="AE433" s="3"/>
      <c r="AF433" s="3"/>
      <c r="AG433" s="3" t="n">
        <v>10</v>
      </c>
      <c r="AH433" s="3"/>
      <c r="AI433" s="3" t="n">
        <v>10</v>
      </c>
      <c r="AJ433" s="3"/>
      <c r="AK433" s="3"/>
      <c r="AL433" s="3"/>
      <c r="AM433" s="3" t="n">
        <v>5</v>
      </c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 t="s">
        <v>1168</v>
      </c>
      <c r="BI433" s="3"/>
      <c r="BJ433" s="3"/>
      <c r="BK433" s="3"/>
      <c r="BL433" s="3"/>
      <c r="BM433" s="3"/>
    </row>
    <row r="434" customFormat="false" ht="15" hidden="false" customHeight="false" outlineLevel="0" collapsed="false">
      <c r="A434" s="3" t="s">
        <v>66</v>
      </c>
      <c r="B434" s="3" t="s">
        <v>135</v>
      </c>
      <c r="C434" s="3" t="s">
        <v>1169</v>
      </c>
      <c r="D434" s="3" t="s">
        <v>1170</v>
      </c>
      <c r="E434" s="3" t="n">
        <v>0.5</v>
      </c>
      <c r="F434" s="6" t="n">
        <f aca="false">H434*Pesos!$B$2+I434*Pesos!$B$3+J434*Pesos!$B$4+K434*Pesos!$B$5+L434*Pesos!$B$6+M434*Pesos!$B$7+N434*Pesos!$B$8+O434*Pesos!$B$9+P434*Pesos!$B$10+Q434*Pesos!$B$11+R434*Pesos!$B$12+S434*Pesos!$B$13+T434*Pesos!$B$14+U434*Pesos!$B$15+V434*Pesos!$B$16+W434*Pesos!$B$17+X434*Pesos!$B$18+Y434*Pesos!$B$19+Z434*Pesos!$B$20+AA434*Pesos!$B$21+AB434*Pesos!$B$22+AC434*Pesos!$B$23+AD434*Pesos!$B$24+AE434*Pesos!$B$25+AF434*Pesos!$B$26+AG434*Pesos!$B$27+AH434*Pesos!$B$28+AI434*Pesos!$B$29+AJ434*Pesos!$B$30+AK434*Pesos!$B$31+AL434*Pesos!$B$32+AM434*Pesos!$B$33+AN434*Pesos!$B$34+AO434*Pesos!$B$35+AP434*Pesos!$B$36+AQ434*Pesos!$B$37+AR434*Pesos!$B$38+AS434*Pesos!$B$39+AT434*Pesos!$B$40+AU434*Pesos!$B$41+AV434*Pesos!$B$42+AW434*Pesos!$B$43+AX434*Pesos!$B$44+AY434*Pesos!$B$45+AZ434*Pesos!$B$46+BA434*Pesos!$B$47+BB434*Pesos!$B$48+BC434*Pesos!$B$49+BD434*Pesos!$B$50+BE434*Pesos!$B$51+BF434*Pesos!$B$52+BG434*Pesos!$B$53</f>
        <v>160</v>
      </c>
      <c r="G434" s="6" t="n">
        <f aca="false">E434*F434</f>
        <v>80</v>
      </c>
      <c r="H434" s="3" t="n">
        <v>77</v>
      </c>
      <c r="I434" s="3"/>
      <c r="J434" s="3"/>
      <c r="K434" s="3"/>
      <c r="L434" s="3"/>
      <c r="M434" s="3"/>
      <c r="N434" s="3"/>
      <c r="O434" s="3"/>
      <c r="P434" s="3"/>
      <c r="Q434" s="3"/>
      <c r="R434" s="3" t="n">
        <v>1</v>
      </c>
      <c r="S434" s="3"/>
      <c r="T434" s="3" t="n">
        <v>1</v>
      </c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customFormat="false" ht="15" hidden="false" customHeight="false" outlineLevel="0" collapsed="false">
      <c r="A435" s="3" t="s">
        <v>66</v>
      </c>
      <c r="B435" s="3" t="s">
        <v>135</v>
      </c>
      <c r="C435" s="3" t="s">
        <v>1171</v>
      </c>
      <c r="D435" s="3" t="s">
        <v>1172</v>
      </c>
      <c r="E435" s="3" t="n">
        <v>0.5</v>
      </c>
      <c r="F435" s="6" t="n">
        <f aca="false">H435*Pesos!$B$2+I435*Pesos!$B$3+J435*Pesos!$B$4+K435*Pesos!$B$5+L435*Pesos!$B$6+M435*Pesos!$B$7+N435*Pesos!$B$8+O435*Pesos!$B$9+P435*Pesos!$B$10+Q435*Pesos!$B$11+R435*Pesos!$B$12+S435*Pesos!$B$13+T435*Pesos!$B$14+U435*Pesos!$B$15+V435*Pesos!$B$16+W435*Pesos!$B$17+X435*Pesos!$B$18+Y435*Pesos!$B$19+Z435*Pesos!$B$20+AA435*Pesos!$B$21+AB435*Pesos!$B$22+AC435*Pesos!$B$23+AD435*Pesos!$B$24+AE435*Pesos!$B$25+AF435*Pesos!$B$26+AG435*Pesos!$B$27+AH435*Pesos!$B$28+AI435*Pesos!$B$29+AJ435*Pesos!$B$30+AK435*Pesos!$B$31+AL435*Pesos!$B$32+AM435*Pesos!$B$33+AN435*Pesos!$B$34+AO435*Pesos!$B$35+AP435*Pesos!$B$36+AQ435*Pesos!$B$37+AR435*Pesos!$B$38+AS435*Pesos!$B$39+AT435*Pesos!$B$40+AU435*Pesos!$B$41+AV435*Pesos!$B$42+AW435*Pesos!$B$43+AX435*Pesos!$B$44+AY435*Pesos!$B$45+AZ435*Pesos!$B$46+BA435*Pesos!$B$47+BB435*Pesos!$B$48+BC435*Pesos!$B$49+BD435*Pesos!$B$50+BE435*Pesos!$B$51+BF435*Pesos!$B$52+BG435*Pesos!$B$53</f>
        <v>35</v>
      </c>
      <c r="G435" s="6" t="n">
        <f aca="false">E435*F435</f>
        <v>17.5</v>
      </c>
      <c r="H435" s="3" t="n">
        <v>98</v>
      </c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 t="n">
        <v>-10</v>
      </c>
      <c r="AC435" s="3"/>
      <c r="AD435" s="3"/>
      <c r="AE435" s="3" t="n">
        <v>10</v>
      </c>
      <c r="AF435" s="3"/>
      <c r="AG435" s="3" t="n">
        <v>5</v>
      </c>
      <c r="AH435" s="3"/>
      <c r="AI435" s="3" t="n">
        <v>5</v>
      </c>
      <c r="AJ435" s="3"/>
      <c r="AK435" s="3"/>
      <c r="AL435" s="3" t="n">
        <v>5</v>
      </c>
      <c r="AM435" s="3" t="n">
        <v>5</v>
      </c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 t="s">
        <v>1173</v>
      </c>
      <c r="BI435" s="3"/>
      <c r="BJ435" s="3"/>
      <c r="BK435" s="3"/>
      <c r="BL435" s="3"/>
      <c r="BM435" s="3"/>
    </row>
    <row r="436" customFormat="false" ht="15" hidden="false" customHeight="false" outlineLevel="0" collapsed="false">
      <c r="A436" s="3" t="s">
        <v>66</v>
      </c>
      <c r="B436" s="3" t="s">
        <v>136</v>
      </c>
      <c r="C436" s="3" t="s">
        <v>1174</v>
      </c>
      <c r="D436" s="3" t="s">
        <v>1175</v>
      </c>
      <c r="E436" s="3" t="n">
        <v>1</v>
      </c>
      <c r="F436" s="6" t="n">
        <f aca="false">H436*Pesos!$B$2+I436*Pesos!$B$3+J436*Pesos!$B$4+K436*Pesos!$B$5+L436*Pesos!$B$6+M436*Pesos!$B$7+N436*Pesos!$B$8+O436*Pesos!$B$9+P436*Pesos!$B$10+Q436*Pesos!$B$11+R436*Pesos!$B$12+S436*Pesos!$B$13+T436*Pesos!$B$14+U436*Pesos!$B$15+V436*Pesos!$B$16+W436*Pesos!$B$17+X436*Pesos!$B$18+Y436*Pesos!$B$19+Z436*Pesos!$B$20+AA436*Pesos!$B$21+AB436*Pesos!$B$22+AC436*Pesos!$B$23+AD436*Pesos!$B$24+AE436*Pesos!$B$25+AF436*Pesos!$B$26+AG436*Pesos!$B$27+AH436*Pesos!$B$28+AI436*Pesos!$B$29+AJ436*Pesos!$B$30+AK436*Pesos!$B$31+AL436*Pesos!$B$32+AM436*Pesos!$B$33+AN436*Pesos!$B$34+AO436*Pesos!$B$35+AP436*Pesos!$B$36+AQ436*Pesos!$B$37+AR436*Pesos!$B$38+AS436*Pesos!$B$39+AT436*Pesos!$B$40+AU436*Pesos!$B$41+AV436*Pesos!$B$42+AW436*Pesos!$B$43+AX436*Pesos!$B$44+AY436*Pesos!$B$45+AZ436*Pesos!$B$46+BA436*Pesos!$B$47+BB436*Pesos!$B$48+BC436*Pesos!$B$49+BD436*Pesos!$B$50+BE436*Pesos!$B$51+BF436*Pesos!$B$52+BG436*Pesos!$B$53</f>
        <v>215</v>
      </c>
      <c r="G436" s="6" t="n">
        <f aca="false">E436*F436</f>
        <v>215</v>
      </c>
      <c r="H436" s="3" t="n">
        <v>49</v>
      </c>
      <c r="I436" s="3"/>
      <c r="J436" s="3"/>
      <c r="K436" s="3"/>
      <c r="L436" s="3"/>
      <c r="M436" s="3"/>
      <c r="N436" s="3"/>
      <c r="O436" s="3"/>
      <c r="P436" s="3"/>
      <c r="Q436" s="3"/>
      <c r="R436" s="3" t="n">
        <v>2</v>
      </c>
      <c r="S436" s="3"/>
      <c r="T436" s="3"/>
      <c r="U436" s="3" t="n">
        <v>1</v>
      </c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 t="s">
        <v>1176</v>
      </c>
      <c r="BI436" s="3"/>
      <c r="BJ436" s="3"/>
      <c r="BK436" s="3"/>
      <c r="BL436" s="3"/>
      <c r="BM436" s="3"/>
    </row>
    <row r="437" customFormat="false" ht="15" hidden="false" customHeight="false" outlineLevel="0" collapsed="false">
      <c r="A437" s="3" t="s">
        <v>66</v>
      </c>
      <c r="B437" s="3" t="s">
        <v>136</v>
      </c>
      <c r="C437" s="3" t="s">
        <v>1177</v>
      </c>
      <c r="D437" s="3" t="s">
        <v>1178</v>
      </c>
      <c r="E437" s="3" t="n">
        <v>1</v>
      </c>
      <c r="F437" s="6" t="n">
        <f aca="false">H437*Pesos!$B$2+I437*Pesos!$B$3+J437*Pesos!$B$4+K437*Pesos!$B$5+L437*Pesos!$B$6+M437*Pesos!$B$7+N437*Pesos!$B$8+O437*Pesos!$B$9+P437*Pesos!$B$10+Q437*Pesos!$B$11+R437*Pesos!$B$12+S437*Pesos!$B$13+T437*Pesos!$B$14+U437*Pesos!$B$15+V437*Pesos!$B$16+W437*Pesos!$B$17+X437*Pesos!$B$18+Y437*Pesos!$B$19+Z437*Pesos!$B$20+AA437*Pesos!$B$21+AB437*Pesos!$B$22+AC437*Pesos!$B$23+AD437*Pesos!$B$24+AE437*Pesos!$B$25+AF437*Pesos!$B$26+AG437*Pesos!$B$27+AH437*Pesos!$B$28+AI437*Pesos!$B$29+AJ437*Pesos!$B$30+AK437*Pesos!$B$31+AL437*Pesos!$B$32+AM437*Pesos!$B$33+AN437*Pesos!$B$34+AO437*Pesos!$B$35+AP437*Pesos!$B$36+AQ437*Pesos!$B$37+AR437*Pesos!$B$38+AS437*Pesos!$B$39+AT437*Pesos!$B$40+AU437*Pesos!$B$41+AV437*Pesos!$B$42+AW437*Pesos!$B$43+AX437*Pesos!$B$44+AY437*Pesos!$B$45+AZ437*Pesos!$B$46+BA437*Pesos!$B$47+BB437*Pesos!$B$48+BC437*Pesos!$B$49+BD437*Pesos!$B$50+BE437*Pesos!$B$51+BF437*Pesos!$B$52+BG437*Pesos!$B$53</f>
        <v>185</v>
      </c>
      <c r="G437" s="6" t="n">
        <f aca="false">E437*F437</f>
        <v>185</v>
      </c>
      <c r="H437" s="3" t="n">
        <v>49</v>
      </c>
      <c r="I437" s="3"/>
      <c r="J437" s="3"/>
      <c r="K437" s="3"/>
      <c r="L437" s="3"/>
      <c r="M437" s="3"/>
      <c r="N437" s="3"/>
      <c r="O437" s="3"/>
      <c r="P437" s="3"/>
      <c r="Q437" s="3" t="n">
        <v>1</v>
      </c>
      <c r="R437" s="3"/>
      <c r="S437" s="3" t="n">
        <v>2</v>
      </c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customFormat="false" ht="15" hidden="false" customHeight="false" outlineLevel="0" collapsed="false">
      <c r="A438" s="3" t="s">
        <v>66</v>
      </c>
      <c r="B438" s="3" t="s">
        <v>136</v>
      </c>
      <c r="C438" s="3" t="s">
        <v>1179</v>
      </c>
      <c r="D438" s="3" t="s">
        <v>1180</v>
      </c>
      <c r="E438" s="3" t="n">
        <v>1</v>
      </c>
      <c r="F438" s="6" t="n">
        <f aca="false">H438*Pesos!$B$2+I438*Pesos!$B$3+J438*Pesos!$B$4+K438*Pesos!$B$5+L438*Pesos!$B$6+M438*Pesos!$B$7+N438*Pesos!$B$8+O438*Pesos!$B$9+P438*Pesos!$B$10+Q438*Pesos!$B$11+R438*Pesos!$B$12+S438*Pesos!$B$13+T438*Pesos!$B$14+U438*Pesos!$B$15+V438*Pesos!$B$16+W438*Pesos!$B$17+X438*Pesos!$B$18+Y438*Pesos!$B$19+Z438*Pesos!$B$20+AA438*Pesos!$B$21+AB438*Pesos!$B$22+AC438*Pesos!$B$23+AD438*Pesos!$B$24+AE438*Pesos!$B$25+AF438*Pesos!$B$26+AG438*Pesos!$B$27+AH438*Pesos!$B$28+AI438*Pesos!$B$29+AJ438*Pesos!$B$30+AK438*Pesos!$B$31+AL438*Pesos!$B$32+AM438*Pesos!$B$33+AN438*Pesos!$B$34+AO438*Pesos!$B$35+AP438*Pesos!$B$36+AQ438*Pesos!$B$37+AR438*Pesos!$B$38+AS438*Pesos!$B$39+AT438*Pesos!$B$40+AU438*Pesos!$B$41+AV438*Pesos!$B$42+AW438*Pesos!$B$43+AX438*Pesos!$B$44+AY438*Pesos!$B$45+AZ438*Pesos!$B$46+BA438*Pesos!$B$47+BB438*Pesos!$B$48+BC438*Pesos!$B$49+BD438*Pesos!$B$50+BE438*Pesos!$B$51+BF438*Pesos!$B$52+BG438*Pesos!$B$53</f>
        <v>200</v>
      </c>
      <c r="G438" s="6" t="n">
        <f aca="false">E438*F438</f>
        <v>200</v>
      </c>
      <c r="H438" s="3" t="n">
        <v>49</v>
      </c>
      <c r="I438" s="3"/>
      <c r="J438" s="3"/>
      <c r="K438" s="3"/>
      <c r="L438" s="3"/>
      <c r="M438" s="3"/>
      <c r="N438" s="3"/>
      <c r="O438" s="3"/>
      <c r="P438" s="3"/>
      <c r="Q438" s="3"/>
      <c r="R438" s="3" t="n">
        <v>2</v>
      </c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customFormat="false" ht="15" hidden="false" customHeight="false" outlineLevel="0" collapsed="false">
      <c r="A439" s="3" t="s">
        <v>66</v>
      </c>
      <c r="B439" s="3" t="s">
        <v>136</v>
      </c>
      <c r="C439" s="3" t="s">
        <v>1181</v>
      </c>
      <c r="D439" s="3" t="s">
        <v>1182</v>
      </c>
      <c r="E439" s="3" t="n">
        <v>1</v>
      </c>
      <c r="F439" s="6" t="n">
        <f aca="false">H439*Pesos!$B$2+I439*Pesos!$B$3+J439*Pesos!$B$4+K439*Pesos!$B$5+L439*Pesos!$B$6+M439*Pesos!$B$7+N439*Pesos!$B$8+O439*Pesos!$B$9+P439*Pesos!$B$10+Q439*Pesos!$B$11+R439*Pesos!$B$12+S439*Pesos!$B$13+T439*Pesos!$B$14+U439*Pesos!$B$15+V439*Pesos!$B$16+W439*Pesos!$B$17+X439*Pesos!$B$18+Y439*Pesos!$B$19+Z439*Pesos!$B$20+AA439*Pesos!$B$21+AB439*Pesos!$B$22+AC439*Pesos!$B$23+AD439*Pesos!$B$24+AE439*Pesos!$B$25+AF439*Pesos!$B$26+AG439*Pesos!$B$27+AH439*Pesos!$B$28+AI439*Pesos!$B$29+AJ439*Pesos!$B$30+AK439*Pesos!$B$31+AL439*Pesos!$B$32+AM439*Pesos!$B$33+AN439*Pesos!$B$34+AO439*Pesos!$B$35+AP439*Pesos!$B$36+AQ439*Pesos!$B$37+AR439*Pesos!$B$38+AS439*Pesos!$B$39+AT439*Pesos!$B$40+AU439*Pesos!$B$41+AV439*Pesos!$B$42+AW439*Pesos!$B$43+AX439*Pesos!$B$44+AY439*Pesos!$B$45+AZ439*Pesos!$B$46+BA439*Pesos!$B$47+BB439*Pesos!$B$48+BC439*Pesos!$B$49+BD439*Pesos!$B$50+BE439*Pesos!$B$51+BF439*Pesos!$B$52+BG439*Pesos!$B$53</f>
        <v>825</v>
      </c>
      <c r="G439" s="6" t="n">
        <f aca="false">E439*F439</f>
        <v>825</v>
      </c>
      <c r="H439" s="3" t="n">
        <v>84</v>
      </c>
      <c r="I439" s="3"/>
      <c r="J439" s="3"/>
      <c r="K439" s="3"/>
      <c r="L439" s="3"/>
      <c r="M439" s="3"/>
      <c r="N439" s="3"/>
      <c r="O439" s="3"/>
      <c r="P439" s="3"/>
      <c r="Q439" s="3"/>
      <c r="R439" s="3" t="n">
        <v>3</v>
      </c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 t="n">
        <v>10</v>
      </c>
      <c r="AH439" s="3"/>
      <c r="AI439" s="3" t="n">
        <v>15</v>
      </c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 t="s">
        <v>1182</v>
      </c>
      <c r="BI439" s="3"/>
      <c r="BJ439" s="3"/>
      <c r="BK439" s="3"/>
      <c r="BL439" s="3"/>
      <c r="BM439" s="3"/>
    </row>
    <row r="440" customFormat="false" ht="15" hidden="false" customHeight="false" outlineLevel="0" collapsed="false">
      <c r="A440" s="3" t="s">
        <v>66</v>
      </c>
      <c r="B440" s="3" t="s">
        <v>136</v>
      </c>
      <c r="C440" s="3" t="s">
        <v>1183</v>
      </c>
      <c r="D440" s="3" t="s">
        <v>1184</v>
      </c>
      <c r="E440" s="3" t="n">
        <v>1</v>
      </c>
      <c r="F440" s="6" t="n">
        <f aca="false">H440*Pesos!$B$2+I440*Pesos!$B$3+J440*Pesos!$B$4+K440*Pesos!$B$5+L440*Pesos!$B$6+M440*Pesos!$B$7+N440*Pesos!$B$8+O440*Pesos!$B$9+P440*Pesos!$B$10+Q440*Pesos!$B$11+R440*Pesos!$B$12+S440*Pesos!$B$13+T440*Pesos!$B$14+U440*Pesos!$B$15+V440*Pesos!$B$16+W440*Pesos!$B$17+X440*Pesos!$B$18+Y440*Pesos!$B$19+Z440*Pesos!$B$20+AA440*Pesos!$B$21+AB440*Pesos!$B$22+AC440*Pesos!$B$23+AD440*Pesos!$B$24+AE440*Pesos!$B$25+AF440*Pesos!$B$26+AG440*Pesos!$B$27+AH440*Pesos!$B$28+AI440*Pesos!$B$29+AJ440*Pesos!$B$30+AK440*Pesos!$B$31+AL440*Pesos!$B$32+AM440*Pesos!$B$33+AN440*Pesos!$B$34+AO440*Pesos!$B$35+AP440*Pesos!$B$36+AQ440*Pesos!$B$37+AR440*Pesos!$B$38+AS440*Pesos!$B$39+AT440*Pesos!$B$40+AU440*Pesos!$B$41+AV440*Pesos!$B$42+AW440*Pesos!$B$43+AX440*Pesos!$B$44+AY440*Pesos!$B$45+AZ440*Pesos!$B$46+BA440*Pesos!$B$47+BB440*Pesos!$B$48+BC440*Pesos!$B$49+BD440*Pesos!$B$50+BE440*Pesos!$B$51+BF440*Pesos!$B$52+BG440*Pesos!$B$53</f>
        <v>120</v>
      </c>
      <c r="G440" s="6" t="n">
        <f aca="false">E440*F440</f>
        <v>120</v>
      </c>
      <c r="H440" s="3" t="n">
        <v>49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 t="n">
        <v>2</v>
      </c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customFormat="false" ht="15" hidden="false" customHeight="false" outlineLevel="0" collapsed="false">
      <c r="A441" s="3" t="s">
        <v>66</v>
      </c>
      <c r="B441" s="3" t="s">
        <v>136</v>
      </c>
      <c r="C441" s="3" t="s">
        <v>1185</v>
      </c>
      <c r="D441" s="3" t="s">
        <v>1186</v>
      </c>
      <c r="E441" s="3" t="n">
        <v>1</v>
      </c>
      <c r="F441" s="6" t="n">
        <f aca="false">H441*Pesos!$B$2+I441*Pesos!$B$3+J441*Pesos!$B$4+K441*Pesos!$B$5+L441*Pesos!$B$6+M441*Pesos!$B$7+N441*Pesos!$B$8+O441*Pesos!$B$9+P441*Pesos!$B$10+Q441*Pesos!$B$11+R441*Pesos!$B$12+S441*Pesos!$B$13+T441*Pesos!$B$14+U441*Pesos!$B$15+V441*Pesos!$B$16+W441*Pesos!$B$17+X441*Pesos!$B$18+Y441*Pesos!$B$19+Z441*Pesos!$B$20+AA441*Pesos!$B$21+AB441*Pesos!$B$22+AC441*Pesos!$B$23+AD441*Pesos!$B$24+AE441*Pesos!$B$25+AF441*Pesos!$B$26+AG441*Pesos!$B$27+AH441*Pesos!$B$28+AI441*Pesos!$B$29+AJ441*Pesos!$B$30+AK441*Pesos!$B$31+AL441*Pesos!$B$32+AM441*Pesos!$B$33+AN441*Pesos!$B$34+AO441*Pesos!$B$35+AP441*Pesos!$B$36+AQ441*Pesos!$B$37+AR441*Pesos!$B$38+AS441*Pesos!$B$39+AT441*Pesos!$B$40+AU441*Pesos!$B$41+AV441*Pesos!$B$42+AW441*Pesos!$B$43+AX441*Pesos!$B$44+AY441*Pesos!$B$45+AZ441*Pesos!$B$46+BA441*Pesos!$B$47+BB441*Pesos!$B$48+BC441*Pesos!$B$49+BD441*Pesos!$B$50+BE441*Pesos!$B$51+BF441*Pesos!$B$52+BG441*Pesos!$B$53</f>
        <v>300</v>
      </c>
      <c r="G441" s="6" t="n">
        <f aca="false">E441*F441</f>
        <v>300</v>
      </c>
      <c r="H441" s="3" t="n">
        <v>105</v>
      </c>
      <c r="I441" s="3"/>
      <c r="J441" s="3"/>
      <c r="K441" s="3"/>
      <c r="L441" s="3"/>
      <c r="M441" s="3"/>
      <c r="N441" s="3"/>
      <c r="O441" s="3"/>
      <c r="P441" s="3" t="n">
        <v>1</v>
      </c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customFormat="false" ht="15" hidden="false" customHeight="false" outlineLevel="0" collapsed="false">
      <c r="A442" s="3" t="s">
        <v>66</v>
      </c>
      <c r="B442" s="3" t="s">
        <v>137</v>
      </c>
      <c r="C442" s="3" t="s">
        <v>1187</v>
      </c>
      <c r="D442" s="3" t="s">
        <v>1188</v>
      </c>
      <c r="E442" s="3" t="n">
        <v>1</v>
      </c>
      <c r="F442" s="6" t="n">
        <f aca="false">H442*Pesos!$B$2+I442*Pesos!$B$3+J442*Pesos!$B$4+K442*Pesos!$B$5+L442*Pesos!$B$6+M442*Pesos!$B$7+N442*Pesos!$B$8+O442*Pesos!$B$9+P442*Pesos!$B$10+Q442*Pesos!$B$11+R442*Pesos!$B$12+S442*Pesos!$B$13+T442*Pesos!$B$14+U442*Pesos!$B$15+V442*Pesos!$B$16+W442*Pesos!$B$17+X442*Pesos!$B$18+Y442*Pesos!$B$19+Z442*Pesos!$B$20+AA442*Pesos!$B$21+AB442*Pesos!$B$22+AC442*Pesos!$B$23+AD442*Pesos!$B$24+AE442*Pesos!$B$25+AF442*Pesos!$B$26+AG442*Pesos!$B$27+AH442*Pesos!$B$28+AI442*Pesos!$B$29+AJ442*Pesos!$B$30+AK442*Pesos!$B$31+AL442*Pesos!$B$32+AM442*Pesos!$B$33+AN442*Pesos!$B$34+AO442*Pesos!$B$35+AP442*Pesos!$B$36+AQ442*Pesos!$B$37+AR442*Pesos!$B$38+AS442*Pesos!$B$39+AT442*Pesos!$B$40+AU442*Pesos!$B$41+AV442*Pesos!$B$42+AW442*Pesos!$B$43+AX442*Pesos!$B$44+AY442*Pesos!$B$45+AZ442*Pesos!$B$46+BA442*Pesos!$B$47+BB442*Pesos!$B$48+BC442*Pesos!$B$49+BD442*Pesos!$B$50+BE442*Pesos!$B$51+BF442*Pesos!$B$52+BG442*Pesos!$B$53</f>
        <v>150</v>
      </c>
      <c r="G442" s="6" t="n">
        <f aca="false">E442*F442</f>
        <v>150</v>
      </c>
      <c r="H442" s="3" t="n">
        <v>49</v>
      </c>
      <c r="I442" s="3"/>
      <c r="J442" s="3"/>
      <c r="K442" s="3"/>
      <c r="L442" s="3"/>
      <c r="M442" s="3"/>
      <c r="N442" s="3"/>
      <c r="O442" s="3"/>
      <c r="P442" s="3"/>
      <c r="Q442" s="3" t="n">
        <v>2</v>
      </c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 t="n">
        <v>10</v>
      </c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 t="s">
        <v>1189</v>
      </c>
      <c r="BI442" s="3"/>
      <c r="BJ442" s="3"/>
      <c r="BK442" s="3"/>
      <c r="BL442" s="3"/>
      <c r="BM442" s="3"/>
    </row>
    <row r="443" customFormat="false" ht="15" hidden="false" customHeight="false" outlineLevel="0" collapsed="false">
      <c r="A443" s="3" t="s">
        <v>66</v>
      </c>
      <c r="B443" s="3" t="s">
        <v>137</v>
      </c>
      <c r="C443" s="3" t="s">
        <v>1190</v>
      </c>
      <c r="D443" s="3" t="s">
        <v>1191</v>
      </c>
      <c r="E443" s="3" t="n">
        <v>1</v>
      </c>
      <c r="F443" s="6" t="n">
        <f aca="false">H443*Pesos!$B$2+I443*Pesos!$B$3+J443*Pesos!$B$4+K443*Pesos!$B$5+L443*Pesos!$B$6+M443*Pesos!$B$7+N443*Pesos!$B$8+O443*Pesos!$B$9+P443*Pesos!$B$10+Q443*Pesos!$B$11+R443*Pesos!$B$12+S443*Pesos!$B$13+T443*Pesos!$B$14+U443*Pesos!$B$15+V443*Pesos!$B$16+W443*Pesos!$B$17+X443*Pesos!$B$18+Y443*Pesos!$B$19+Z443*Pesos!$B$20+AA443*Pesos!$B$21+AB443*Pesos!$B$22+AC443*Pesos!$B$23+AD443*Pesos!$B$24+AE443*Pesos!$B$25+AF443*Pesos!$B$26+AG443*Pesos!$B$27+AH443*Pesos!$B$28+AI443*Pesos!$B$29+AJ443*Pesos!$B$30+AK443*Pesos!$B$31+AL443*Pesos!$B$32+AM443*Pesos!$B$33+AN443*Pesos!$B$34+AO443*Pesos!$B$35+AP443*Pesos!$B$36+AQ443*Pesos!$B$37+AR443*Pesos!$B$38+AS443*Pesos!$B$39+AT443*Pesos!$B$40+AU443*Pesos!$B$41+AV443*Pesos!$B$42+AW443*Pesos!$B$43+AX443*Pesos!$B$44+AY443*Pesos!$B$45+AZ443*Pesos!$B$46+BA443*Pesos!$B$47+BB443*Pesos!$B$48+BC443*Pesos!$B$49+BD443*Pesos!$B$50+BE443*Pesos!$B$51+BF443*Pesos!$B$52+BG443*Pesos!$B$53</f>
        <v>125</v>
      </c>
      <c r="G443" s="6" t="n">
        <f aca="false">E443*F443</f>
        <v>125</v>
      </c>
      <c r="H443" s="3" t="n">
        <v>49</v>
      </c>
      <c r="I443" s="3"/>
      <c r="J443" s="3"/>
      <c r="K443" s="3"/>
      <c r="L443" s="3"/>
      <c r="M443" s="3"/>
      <c r="N443" s="3"/>
      <c r="O443" s="3"/>
      <c r="P443" s="3"/>
      <c r="Q443" s="3" t="n">
        <v>1</v>
      </c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 t="n">
        <v>10</v>
      </c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 t="s">
        <v>1192</v>
      </c>
      <c r="BI443" s="3"/>
      <c r="BJ443" s="3"/>
      <c r="BK443" s="3"/>
      <c r="BL443" s="3"/>
      <c r="BM443" s="3"/>
    </row>
    <row r="444" customFormat="false" ht="15" hidden="false" customHeight="false" outlineLevel="0" collapsed="false">
      <c r="A444" s="3" t="s">
        <v>66</v>
      </c>
      <c r="B444" s="3" t="s">
        <v>137</v>
      </c>
      <c r="C444" s="3" t="s">
        <v>1193</v>
      </c>
      <c r="D444" s="3" t="s">
        <v>1194</v>
      </c>
      <c r="E444" s="3" t="n">
        <v>1</v>
      </c>
      <c r="F444" s="6" t="n">
        <f aca="false">H444*Pesos!$B$2+I444*Pesos!$B$3+J444*Pesos!$B$4+K444*Pesos!$B$5+L444*Pesos!$B$6+M444*Pesos!$B$7+N444*Pesos!$B$8+O444*Pesos!$B$9+P444*Pesos!$B$10+Q444*Pesos!$B$11+R444*Pesos!$B$12+S444*Pesos!$B$13+T444*Pesos!$B$14+U444*Pesos!$B$15+V444*Pesos!$B$16+W444*Pesos!$B$17+X444*Pesos!$B$18+Y444*Pesos!$B$19+Z444*Pesos!$B$20+AA444*Pesos!$B$21+AB444*Pesos!$B$22+AC444*Pesos!$B$23+AD444*Pesos!$B$24+AE444*Pesos!$B$25+AF444*Pesos!$B$26+AG444*Pesos!$B$27+AH444*Pesos!$B$28+AI444*Pesos!$B$29+AJ444*Pesos!$B$30+AK444*Pesos!$B$31+AL444*Pesos!$B$32+AM444*Pesos!$B$33+AN444*Pesos!$B$34+AO444*Pesos!$B$35+AP444*Pesos!$B$36+AQ444*Pesos!$B$37+AR444*Pesos!$B$38+AS444*Pesos!$B$39+AT444*Pesos!$B$40+AU444*Pesos!$B$41+AV444*Pesos!$B$42+AW444*Pesos!$B$43+AX444*Pesos!$B$44+AY444*Pesos!$B$45+AZ444*Pesos!$B$46+BA444*Pesos!$B$47+BB444*Pesos!$B$48+BC444*Pesos!$B$49+BD444*Pesos!$B$50+BE444*Pesos!$B$51+BF444*Pesos!$B$52+BG444*Pesos!$B$53</f>
        <v>75</v>
      </c>
      <c r="G444" s="6" t="n">
        <f aca="false">E444*F444</f>
        <v>75</v>
      </c>
      <c r="H444" s="3" t="n">
        <v>63</v>
      </c>
      <c r="I444" s="3"/>
      <c r="J444" s="3"/>
      <c r="K444" s="3"/>
      <c r="L444" s="3"/>
      <c r="M444" s="3" t="n">
        <v>75</v>
      </c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customFormat="false" ht="15" hidden="false" customHeight="false" outlineLevel="0" collapsed="false">
      <c r="A445" s="3" t="s">
        <v>66</v>
      </c>
      <c r="B445" s="3" t="s">
        <v>137</v>
      </c>
      <c r="C445" s="3" t="s">
        <v>1195</v>
      </c>
      <c r="D445" s="3" t="s">
        <v>1196</v>
      </c>
      <c r="E445" s="3" t="n">
        <v>1</v>
      </c>
      <c r="F445" s="6" t="n">
        <f aca="false">H445*Pesos!$B$2+I445*Pesos!$B$3+J445*Pesos!$B$4+K445*Pesos!$B$5+L445*Pesos!$B$6+M445*Pesos!$B$7+N445*Pesos!$B$8+O445*Pesos!$B$9+P445*Pesos!$B$10+Q445*Pesos!$B$11+R445*Pesos!$B$12+S445*Pesos!$B$13+T445*Pesos!$B$14+U445*Pesos!$B$15+V445*Pesos!$B$16+W445*Pesos!$B$17+X445*Pesos!$B$18+Y445*Pesos!$B$19+Z445*Pesos!$B$20+AA445*Pesos!$B$21+AB445*Pesos!$B$22+AC445*Pesos!$B$23+AD445*Pesos!$B$24+AE445*Pesos!$B$25+AF445*Pesos!$B$26+AG445*Pesos!$B$27+AH445*Pesos!$B$28+AI445*Pesos!$B$29+AJ445*Pesos!$B$30+AK445*Pesos!$B$31+AL445*Pesos!$B$32+AM445*Pesos!$B$33+AN445*Pesos!$B$34+AO445*Pesos!$B$35+AP445*Pesos!$B$36+AQ445*Pesos!$B$37+AR445*Pesos!$B$38+AS445*Pesos!$B$39+AT445*Pesos!$B$40+AU445*Pesos!$B$41+AV445*Pesos!$B$42+AW445*Pesos!$B$43+AX445*Pesos!$B$44+AY445*Pesos!$B$45+AZ445*Pesos!$B$46+BA445*Pesos!$B$47+BB445*Pesos!$B$48+BC445*Pesos!$B$49+BD445*Pesos!$B$50+BE445*Pesos!$B$51+BF445*Pesos!$B$52+BG445*Pesos!$B$53</f>
        <v>150</v>
      </c>
      <c r="G445" s="6" t="n">
        <f aca="false">E445*F445</f>
        <v>150</v>
      </c>
      <c r="H445" s="3" t="n">
        <v>49</v>
      </c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 t="n">
        <v>10</v>
      </c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 t="s">
        <v>1196</v>
      </c>
      <c r="BI445" s="3"/>
      <c r="BJ445" s="3"/>
      <c r="BK445" s="3"/>
      <c r="BL445" s="3"/>
      <c r="BM445" s="3"/>
    </row>
    <row r="446" customFormat="false" ht="15" hidden="false" customHeight="false" outlineLevel="0" collapsed="false">
      <c r="A446" s="3" t="s">
        <v>66</v>
      </c>
      <c r="B446" s="3" t="s">
        <v>137</v>
      </c>
      <c r="C446" s="3" t="s">
        <v>1197</v>
      </c>
      <c r="D446" s="3" t="s">
        <v>1198</v>
      </c>
      <c r="E446" s="3" t="n">
        <v>1</v>
      </c>
      <c r="F446" s="6" t="n">
        <f aca="false">H446*Pesos!$B$2+I446*Pesos!$B$3+J446*Pesos!$B$4+K446*Pesos!$B$5+L446*Pesos!$B$6+M446*Pesos!$B$7+N446*Pesos!$B$8+O446*Pesos!$B$9+P446*Pesos!$B$10+Q446*Pesos!$B$11+R446*Pesos!$B$12+S446*Pesos!$B$13+T446*Pesos!$B$14+U446*Pesos!$B$15+V446*Pesos!$B$16+W446*Pesos!$B$17+X446*Pesos!$B$18+Y446*Pesos!$B$19+Z446*Pesos!$B$20+AA446*Pesos!$B$21+AB446*Pesos!$B$22+AC446*Pesos!$B$23+AD446*Pesos!$B$24+AE446*Pesos!$B$25+AF446*Pesos!$B$26+AG446*Pesos!$B$27+AH446*Pesos!$B$28+AI446*Pesos!$B$29+AJ446*Pesos!$B$30+AK446*Pesos!$B$31+AL446*Pesos!$B$32+AM446*Pesos!$B$33+AN446*Pesos!$B$34+AO446*Pesos!$B$35+AP446*Pesos!$B$36+AQ446*Pesos!$B$37+AR446*Pesos!$B$38+AS446*Pesos!$B$39+AT446*Pesos!$B$40+AU446*Pesos!$B$41+AV446*Pesos!$B$42+AW446*Pesos!$B$43+AX446*Pesos!$B$44+AY446*Pesos!$B$45+AZ446*Pesos!$B$46+BA446*Pesos!$B$47+BB446*Pesos!$B$48+BC446*Pesos!$B$49+BD446*Pesos!$B$50+BE446*Pesos!$B$51+BF446*Pesos!$B$52+BG446*Pesos!$B$53</f>
        <v>50</v>
      </c>
      <c r="G446" s="6" t="n">
        <f aca="false">E446*F446</f>
        <v>50</v>
      </c>
      <c r="H446" s="3" t="n">
        <v>49</v>
      </c>
      <c r="I446" s="3"/>
      <c r="J446" s="3"/>
      <c r="K446" s="3"/>
      <c r="L446" s="3"/>
      <c r="M446" s="3"/>
      <c r="N446" s="3"/>
      <c r="O446" s="3"/>
      <c r="P446" s="3"/>
      <c r="Q446" s="3" t="n">
        <v>2</v>
      </c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customFormat="false" ht="15" hidden="false" customHeight="false" outlineLevel="0" collapsed="false">
      <c r="A447" s="3" t="s">
        <v>66</v>
      </c>
      <c r="B447" s="3" t="s">
        <v>137</v>
      </c>
      <c r="C447" s="3" t="s">
        <v>1199</v>
      </c>
      <c r="D447" s="3" t="s">
        <v>1200</v>
      </c>
      <c r="E447" s="3" t="n">
        <v>1</v>
      </c>
      <c r="F447" s="6" t="n">
        <f aca="false">H447*Pesos!$B$2+I447*Pesos!$B$3+J447*Pesos!$B$4+K447*Pesos!$B$5+L447*Pesos!$B$6+M447*Pesos!$B$7+N447*Pesos!$B$8+O447*Pesos!$B$9+P447*Pesos!$B$10+Q447*Pesos!$B$11+R447*Pesos!$B$12+S447*Pesos!$B$13+T447*Pesos!$B$14+U447*Pesos!$B$15+V447*Pesos!$B$16+W447*Pesos!$B$17+X447*Pesos!$B$18+Y447*Pesos!$B$19+Z447*Pesos!$B$20+AA447*Pesos!$B$21+AB447*Pesos!$B$22+AC447*Pesos!$B$23+AD447*Pesos!$B$24+AE447*Pesos!$B$25+AF447*Pesos!$B$26+AG447*Pesos!$B$27+AH447*Pesos!$B$28+AI447*Pesos!$B$29+AJ447*Pesos!$B$30+AK447*Pesos!$B$31+AL447*Pesos!$B$32+AM447*Pesos!$B$33+AN447*Pesos!$B$34+AO447*Pesos!$B$35+AP447*Pesos!$B$36+AQ447*Pesos!$B$37+AR447*Pesos!$B$38+AS447*Pesos!$B$39+AT447*Pesos!$B$40+AU447*Pesos!$B$41+AV447*Pesos!$B$42+AW447*Pesos!$B$43+AX447*Pesos!$B$44+AY447*Pesos!$B$45+AZ447*Pesos!$B$46+BA447*Pesos!$B$47+BB447*Pesos!$B$48+BC447*Pesos!$B$49+BD447*Pesos!$B$50+BE447*Pesos!$B$51+BF447*Pesos!$B$52+BG447*Pesos!$B$53</f>
        <v>150</v>
      </c>
      <c r="G447" s="6" t="n">
        <f aca="false">E447*F447</f>
        <v>150</v>
      </c>
      <c r="H447" s="3" t="n">
        <v>84</v>
      </c>
      <c r="I447" s="3"/>
      <c r="J447" s="3"/>
      <c r="K447" s="3"/>
      <c r="L447" s="3"/>
      <c r="M447" s="3" t="n">
        <v>150</v>
      </c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customFormat="false" ht="15" hidden="false" customHeight="false" outlineLevel="0" collapsed="false">
      <c r="A448" s="3" t="s">
        <v>66</v>
      </c>
      <c r="B448" s="3" t="s">
        <v>138</v>
      </c>
      <c r="C448" s="3" t="s">
        <v>1201</v>
      </c>
      <c r="D448" s="3" t="s">
        <v>1202</v>
      </c>
      <c r="E448" s="3" t="n">
        <v>1</v>
      </c>
      <c r="F448" s="6" t="n">
        <f aca="false">H448*Pesos!$B$2+I448*Pesos!$B$3+J448*Pesos!$B$4+K448*Pesos!$B$5+L448*Pesos!$B$6+M448*Pesos!$B$7+N448*Pesos!$B$8+O448*Pesos!$B$9+P448*Pesos!$B$10+Q448*Pesos!$B$11+R448*Pesos!$B$12+S448*Pesos!$B$13+T448*Pesos!$B$14+U448*Pesos!$B$15+V448*Pesos!$B$16+W448*Pesos!$B$17+X448*Pesos!$B$18+Y448*Pesos!$B$19+Z448*Pesos!$B$20+AA448*Pesos!$B$21+AB448*Pesos!$B$22+AC448*Pesos!$B$23+AD448*Pesos!$B$24+AE448*Pesos!$B$25+AF448*Pesos!$B$26+AG448*Pesos!$B$27+AH448*Pesos!$B$28+AI448*Pesos!$B$29+AJ448*Pesos!$B$30+AK448*Pesos!$B$31+AL448*Pesos!$B$32+AM448*Pesos!$B$33+AN448*Pesos!$B$34+AO448*Pesos!$B$35+AP448*Pesos!$B$36+AQ448*Pesos!$B$37+AR448*Pesos!$B$38+AS448*Pesos!$B$39+AT448*Pesos!$B$40+AU448*Pesos!$B$41+AV448*Pesos!$B$42+AW448*Pesos!$B$43+AX448*Pesos!$B$44+AY448*Pesos!$B$45+AZ448*Pesos!$B$46+BA448*Pesos!$B$47+BB448*Pesos!$B$48+BC448*Pesos!$B$49+BD448*Pesos!$B$50+BE448*Pesos!$B$51+BF448*Pesos!$B$52+BG448*Pesos!$B$53</f>
        <v>50</v>
      </c>
      <c r="G448" s="6" t="n">
        <f aca="false">E448*F448</f>
        <v>50</v>
      </c>
      <c r="H448" s="3" t="n">
        <v>49</v>
      </c>
      <c r="I448" s="3"/>
      <c r="J448" s="3"/>
      <c r="K448" s="3"/>
      <c r="L448" s="3"/>
      <c r="M448" s="3"/>
      <c r="N448" s="3"/>
      <c r="O448" s="3"/>
      <c r="P448" s="3"/>
      <c r="Q448" s="3" t="n">
        <v>2</v>
      </c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customFormat="false" ht="15" hidden="false" customHeight="false" outlineLevel="0" collapsed="false">
      <c r="A449" s="3" t="s">
        <v>66</v>
      </c>
      <c r="B449" s="3" t="s">
        <v>138</v>
      </c>
      <c r="C449" s="3" t="s">
        <v>1203</v>
      </c>
      <c r="D449" s="3" t="s">
        <v>1204</v>
      </c>
      <c r="E449" s="3" t="n">
        <v>1</v>
      </c>
      <c r="F449" s="6" t="n">
        <f aca="false">H449*Pesos!$B$2+I449*Pesos!$B$3+J449*Pesos!$B$4+K449*Pesos!$B$5+L449*Pesos!$B$6+M449*Pesos!$B$7+N449*Pesos!$B$8+O449*Pesos!$B$9+P449*Pesos!$B$10+Q449*Pesos!$B$11+R449*Pesos!$B$12+S449*Pesos!$B$13+T449*Pesos!$B$14+U449*Pesos!$B$15+V449*Pesos!$B$16+W449*Pesos!$B$17+X449*Pesos!$B$18+Y449*Pesos!$B$19+Z449*Pesos!$B$20+AA449*Pesos!$B$21+AB449*Pesos!$B$22+AC449*Pesos!$B$23+AD449*Pesos!$B$24+AE449*Pesos!$B$25+AF449*Pesos!$B$26+AG449*Pesos!$B$27+AH449*Pesos!$B$28+AI449*Pesos!$B$29+AJ449*Pesos!$B$30+AK449*Pesos!$B$31+AL449*Pesos!$B$32+AM449*Pesos!$B$33+AN449*Pesos!$B$34+AO449*Pesos!$B$35+AP449*Pesos!$B$36+AQ449*Pesos!$B$37+AR449*Pesos!$B$38+AS449*Pesos!$B$39+AT449*Pesos!$B$40+AU449*Pesos!$B$41+AV449*Pesos!$B$42+AW449*Pesos!$B$43+AX449*Pesos!$B$44+AY449*Pesos!$B$45+AZ449*Pesos!$B$46+BA449*Pesos!$B$47+BB449*Pesos!$B$48+BC449*Pesos!$B$49+BD449*Pesos!$B$50+BE449*Pesos!$B$51+BF449*Pesos!$B$52+BG449*Pesos!$B$53</f>
        <v>30</v>
      </c>
      <c r="G449" s="6" t="n">
        <f aca="false">E449*F449</f>
        <v>30</v>
      </c>
      <c r="H449" s="3" t="n">
        <v>49</v>
      </c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 t="n">
        <v>3</v>
      </c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customFormat="false" ht="15" hidden="false" customHeight="false" outlineLevel="0" collapsed="false">
      <c r="A450" s="3" t="s">
        <v>66</v>
      </c>
      <c r="B450" s="3" t="s">
        <v>138</v>
      </c>
      <c r="C450" s="3" t="s">
        <v>1205</v>
      </c>
      <c r="D450" s="3" t="s">
        <v>1206</v>
      </c>
      <c r="E450" s="3" t="n">
        <v>1</v>
      </c>
      <c r="F450" s="6" t="n">
        <f aca="false">H450*Pesos!$B$2+I450*Pesos!$B$3+J450*Pesos!$B$4+K450*Pesos!$B$5+L450*Pesos!$B$6+M450*Pesos!$B$7+N450*Pesos!$B$8+O450*Pesos!$B$9+P450*Pesos!$B$10+Q450*Pesos!$B$11+R450*Pesos!$B$12+S450*Pesos!$B$13+T450*Pesos!$B$14+U450*Pesos!$B$15+V450*Pesos!$B$16+W450*Pesos!$B$17+X450*Pesos!$B$18+Y450*Pesos!$B$19+Z450*Pesos!$B$20+AA450*Pesos!$B$21+AB450*Pesos!$B$22+AC450*Pesos!$B$23+AD450*Pesos!$B$24+AE450*Pesos!$B$25+AF450*Pesos!$B$26+AG450*Pesos!$B$27+AH450*Pesos!$B$28+AI450*Pesos!$B$29+AJ450*Pesos!$B$30+AK450*Pesos!$B$31+AL450*Pesos!$B$32+AM450*Pesos!$B$33+AN450*Pesos!$B$34+AO450*Pesos!$B$35+AP450*Pesos!$B$36+AQ450*Pesos!$B$37+AR450*Pesos!$B$38+AS450*Pesos!$B$39+AT450*Pesos!$B$40+AU450*Pesos!$B$41+AV450*Pesos!$B$42+AW450*Pesos!$B$43+AX450*Pesos!$B$44+AY450*Pesos!$B$45+AZ450*Pesos!$B$46+BA450*Pesos!$B$47+BB450*Pesos!$B$48+BC450*Pesos!$B$49+BD450*Pesos!$B$50+BE450*Pesos!$B$51+BF450*Pesos!$B$52+BG450*Pesos!$B$53</f>
        <v>75</v>
      </c>
      <c r="G450" s="6" t="n">
        <f aca="false">E450*F450</f>
        <v>75</v>
      </c>
      <c r="H450" s="3" t="n">
        <v>49</v>
      </c>
      <c r="I450" s="3"/>
      <c r="J450" s="3"/>
      <c r="K450" s="3"/>
      <c r="L450" s="3"/>
      <c r="M450" s="3"/>
      <c r="N450" s="3"/>
      <c r="O450" s="3" t="n">
        <v>50</v>
      </c>
      <c r="P450" s="3"/>
      <c r="Q450" s="3" t="n">
        <v>1</v>
      </c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customFormat="false" ht="15" hidden="false" customHeight="false" outlineLevel="0" collapsed="false">
      <c r="A451" s="3" t="s">
        <v>66</v>
      </c>
      <c r="B451" s="3" t="s">
        <v>138</v>
      </c>
      <c r="C451" s="3" t="s">
        <v>1207</v>
      </c>
      <c r="D451" s="3" t="s">
        <v>1208</v>
      </c>
      <c r="E451" s="3" t="n">
        <v>1</v>
      </c>
      <c r="F451" s="6" t="n">
        <f aca="false">H451*Pesos!$B$2+I451*Pesos!$B$3+J451*Pesos!$B$4+K451*Pesos!$B$5+L451*Pesos!$B$6+M451*Pesos!$B$7+N451*Pesos!$B$8+O451*Pesos!$B$9+P451*Pesos!$B$10+Q451*Pesos!$B$11+R451*Pesos!$B$12+S451*Pesos!$B$13+T451*Pesos!$B$14+U451*Pesos!$B$15+V451*Pesos!$B$16+W451*Pesos!$B$17+X451*Pesos!$B$18+Y451*Pesos!$B$19+Z451*Pesos!$B$20+AA451*Pesos!$B$21+AB451*Pesos!$B$22+AC451*Pesos!$B$23+AD451*Pesos!$B$24+AE451*Pesos!$B$25+AF451*Pesos!$B$26+AG451*Pesos!$B$27+AH451*Pesos!$B$28+AI451*Pesos!$B$29+AJ451*Pesos!$B$30+AK451*Pesos!$B$31+AL451*Pesos!$B$32+AM451*Pesos!$B$33+AN451*Pesos!$B$34+AO451*Pesos!$B$35+AP451*Pesos!$B$36+AQ451*Pesos!$B$37+AR451*Pesos!$B$38+AS451*Pesos!$B$39+AT451*Pesos!$B$40+AU451*Pesos!$B$41+AV451*Pesos!$B$42+AW451*Pesos!$B$43+AX451*Pesos!$B$44+AY451*Pesos!$B$45+AZ451*Pesos!$B$46+BA451*Pesos!$B$47+BB451*Pesos!$B$48+BC451*Pesos!$B$49+BD451*Pesos!$B$50+BE451*Pesos!$B$51+BF451*Pesos!$B$52+BG451*Pesos!$B$53</f>
        <v>100</v>
      </c>
      <c r="G451" s="6" t="n">
        <f aca="false">E451*F451</f>
        <v>100</v>
      </c>
      <c r="H451" s="3" t="n">
        <v>63</v>
      </c>
      <c r="I451" s="3"/>
      <c r="J451" s="3"/>
      <c r="K451" s="3"/>
      <c r="L451" s="3"/>
      <c r="M451" s="3"/>
      <c r="N451" s="3"/>
      <c r="O451" s="3"/>
      <c r="P451" s="3"/>
      <c r="Q451" s="3" t="n">
        <v>2</v>
      </c>
      <c r="R451" s="3"/>
      <c r="S451" s="3"/>
      <c r="T451" s="3"/>
      <c r="U451" s="3"/>
      <c r="V451" s="3"/>
      <c r="W451" s="3"/>
      <c r="X451" s="3"/>
      <c r="Y451" s="3" t="n">
        <v>100</v>
      </c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customFormat="false" ht="15" hidden="false" customHeight="false" outlineLevel="0" collapsed="false">
      <c r="A452" s="3" t="s">
        <v>66</v>
      </c>
      <c r="B452" s="3" t="s">
        <v>138</v>
      </c>
      <c r="C452" s="3" t="s">
        <v>1209</v>
      </c>
      <c r="D452" s="3" t="s">
        <v>1210</v>
      </c>
      <c r="E452" s="3" t="n">
        <v>1</v>
      </c>
      <c r="F452" s="6" t="n">
        <f aca="false">H452*Pesos!$B$2+I452*Pesos!$B$3+J452*Pesos!$B$4+K452*Pesos!$B$5+L452*Pesos!$B$6+M452*Pesos!$B$7+N452*Pesos!$B$8+O452*Pesos!$B$9+P452*Pesos!$B$10+Q452*Pesos!$B$11+R452*Pesos!$B$12+S452*Pesos!$B$13+T452*Pesos!$B$14+U452*Pesos!$B$15+V452*Pesos!$B$16+W452*Pesos!$B$17+X452*Pesos!$B$18+Y452*Pesos!$B$19+Z452*Pesos!$B$20+AA452*Pesos!$B$21+AB452*Pesos!$B$22+AC452*Pesos!$B$23+AD452*Pesos!$B$24+AE452*Pesos!$B$25+AF452*Pesos!$B$26+AG452*Pesos!$B$27+AH452*Pesos!$B$28+AI452*Pesos!$B$29+AJ452*Pesos!$B$30+AK452*Pesos!$B$31+AL452*Pesos!$B$32+AM452*Pesos!$B$33+AN452*Pesos!$B$34+AO452*Pesos!$B$35+AP452*Pesos!$B$36+AQ452*Pesos!$B$37+AR452*Pesos!$B$38+AS452*Pesos!$B$39+AT452*Pesos!$B$40+AU452*Pesos!$B$41+AV452*Pesos!$B$42+AW452*Pesos!$B$43+AX452*Pesos!$B$44+AY452*Pesos!$B$45+AZ452*Pesos!$B$46+BA452*Pesos!$B$47+BB452*Pesos!$B$48+BC452*Pesos!$B$49+BD452*Pesos!$B$50+BE452*Pesos!$B$51+BF452*Pesos!$B$52+BG452*Pesos!$B$53</f>
        <v>65</v>
      </c>
      <c r="G452" s="6" t="n">
        <f aca="false">E452*F452</f>
        <v>65</v>
      </c>
      <c r="H452" s="3" t="n">
        <v>49</v>
      </c>
      <c r="I452" s="3"/>
      <c r="J452" s="3"/>
      <c r="K452" s="3"/>
      <c r="L452" s="3" t="n">
        <v>20000</v>
      </c>
      <c r="M452" s="3" t="n">
        <v>25</v>
      </c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customFormat="false" ht="15" hidden="false" customHeight="false" outlineLevel="0" collapsed="false">
      <c r="A453" s="3" t="s">
        <v>66</v>
      </c>
      <c r="B453" s="3" t="s">
        <v>138</v>
      </c>
      <c r="C453" s="3" t="s">
        <v>1211</v>
      </c>
      <c r="D453" s="3" t="s">
        <v>1212</v>
      </c>
      <c r="E453" s="3" t="n">
        <v>1</v>
      </c>
      <c r="F453" s="6" t="n">
        <f aca="false">H453*Pesos!$B$2+I453*Pesos!$B$3+J453*Pesos!$B$4+K453*Pesos!$B$5+L453*Pesos!$B$6+M453*Pesos!$B$7+N453*Pesos!$B$8+O453*Pesos!$B$9+P453*Pesos!$B$10+Q453*Pesos!$B$11+R453*Pesos!$B$12+S453*Pesos!$B$13+T453*Pesos!$B$14+U453*Pesos!$B$15+V453*Pesos!$B$16+W453*Pesos!$B$17+X453*Pesos!$B$18+Y453*Pesos!$B$19+Z453*Pesos!$B$20+AA453*Pesos!$B$21+AB453*Pesos!$B$22+AC453*Pesos!$B$23+AD453*Pesos!$B$24+AE453*Pesos!$B$25+AF453*Pesos!$B$26+AG453*Pesos!$B$27+AH453*Pesos!$B$28+AI453*Pesos!$B$29+AJ453*Pesos!$B$30+AK453*Pesos!$B$31+AL453*Pesos!$B$32+AM453*Pesos!$B$33+AN453*Pesos!$B$34+AO453*Pesos!$B$35+AP453*Pesos!$B$36+AQ453*Pesos!$B$37+AR453*Pesos!$B$38+AS453*Pesos!$B$39+AT453*Pesos!$B$40+AU453*Pesos!$B$41+AV453*Pesos!$B$42+AW453*Pesos!$B$43+AX453*Pesos!$B$44+AY453*Pesos!$B$45+AZ453*Pesos!$B$46+BA453*Pesos!$B$47+BB453*Pesos!$B$48+BC453*Pesos!$B$49+BD453*Pesos!$B$50+BE453*Pesos!$B$51+BF453*Pesos!$B$52+BG453*Pesos!$B$53</f>
        <v>195</v>
      </c>
      <c r="G453" s="6" t="n">
        <f aca="false">E453*F453</f>
        <v>195</v>
      </c>
      <c r="H453" s="3" t="n">
        <v>84</v>
      </c>
      <c r="I453" s="3"/>
      <c r="J453" s="3"/>
      <c r="K453" s="3"/>
      <c r="L453" s="3"/>
      <c r="M453" s="3"/>
      <c r="N453" s="3" t="n">
        <v>25</v>
      </c>
      <c r="O453" s="3"/>
      <c r="P453" s="3"/>
      <c r="Q453" s="3" t="n">
        <v>2</v>
      </c>
      <c r="R453" s="3"/>
      <c r="S453" s="3"/>
      <c r="T453" s="3" t="n">
        <v>2</v>
      </c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customFormat="false" ht="15" hidden="false" customHeight="false" outlineLevel="0" collapsed="false">
      <c r="A454" s="3" t="s">
        <v>66</v>
      </c>
      <c r="B454" s="3" t="s">
        <v>139</v>
      </c>
      <c r="C454" s="3" t="s">
        <v>1213</v>
      </c>
      <c r="D454" s="3" t="s">
        <v>1214</v>
      </c>
      <c r="E454" s="3" t="n">
        <v>1</v>
      </c>
      <c r="F454" s="6" t="n">
        <f aca="false">H454*Pesos!$B$2+I454*Pesos!$B$3+J454*Pesos!$B$4+K454*Pesos!$B$5+L454*Pesos!$B$6+M454*Pesos!$B$7+N454*Pesos!$B$8+O454*Pesos!$B$9+P454*Pesos!$B$10+Q454*Pesos!$B$11+R454*Pesos!$B$12+S454*Pesos!$B$13+T454*Pesos!$B$14+U454*Pesos!$B$15+V454*Pesos!$B$16+W454*Pesos!$B$17+X454*Pesos!$B$18+Y454*Pesos!$B$19+Z454*Pesos!$B$20+AA454*Pesos!$B$21+AB454*Pesos!$B$22+AC454*Pesos!$B$23+AD454*Pesos!$B$24+AE454*Pesos!$B$25+AF454*Pesos!$B$26+AG454*Pesos!$B$27+AH454*Pesos!$B$28+AI454*Pesos!$B$29+AJ454*Pesos!$B$30+AK454*Pesos!$B$31+AL454*Pesos!$B$32+AM454*Pesos!$B$33+AN454*Pesos!$B$34+AO454*Pesos!$B$35+AP454*Pesos!$B$36+AQ454*Pesos!$B$37+AR454*Pesos!$B$38+AS454*Pesos!$B$39+AT454*Pesos!$B$40+AU454*Pesos!$B$41+AV454*Pesos!$B$42+AW454*Pesos!$B$43+AX454*Pesos!$B$44+AY454*Pesos!$B$45+AZ454*Pesos!$B$46+BA454*Pesos!$B$47+BB454*Pesos!$B$48+BC454*Pesos!$B$49+BD454*Pesos!$B$50+BE454*Pesos!$B$51+BF454*Pesos!$B$52+BG454*Pesos!$B$53</f>
        <v>50</v>
      </c>
      <c r="G454" s="6" t="n">
        <f aca="false">E454*F454</f>
        <v>50</v>
      </c>
      <c r="H454" s="3" t="n">
        <v>35</v>
      </c>
      <c r="I454" s="3" t="n">
        <v>50</v>
      </c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customFormat="false" ht="15" hidden="false" customHeight="false" outlineLevel="0" collapsed="false">
      <c r="A455" s="3" t="s">
        <v>66</v>
      </c>
      <c r="B455" s="3" t="s">
        <v>139</v>
      </c>
      <c r="C455" s="3" t="s">
        <v>1215</v>
      </c>
      <c r="D455" s="3" t="s">
        <v>1216</v>
      </c>
      <c r="E455" s="3" t="n">
        <v>1</v>
      </c>
      <c r="F455" s="6" t="n">
        <f aca="false">H455*Pesos!$B$2+I455*Pesos!$B$3+J455*Pesos!$B$4+K455*Pesos!$B$5+L455*Pesos!$B$6+M455*Pesos!$B$7+N455*Pesos!$B$8+O455*Pesos!$B$9+P455*Pesos!$B$10+Q455*Pesos!$B$11+R455*Pesos!$B$12+S455*Pesos!$B$13+T455*Pesos!$B$14+U455*Pesos!$B$15+V455*Pesos!$B$16+W455*Pesos!$B$17+X455*Pesos!$B$18+Y455*Pesos!$B$19+Z455*Pesos!$B$20+AA455*Pesos!$B$21+AB455*Pesos!$B$22+AC455*Pesos!$B$23+AD455*Pesos!$B$24+AE455*Pesos!$B$25+AF455*Pesos!$B$26+AG455*Pesos!$B$27+AH455*Pesos!$B$28+AI455*Pesos!$B$29+AJ455*Pesos!$B$30+AK455*Pesos!$B$31+AL455*Pesos!$B$32+AM455*Pesos!$B$33+AN455*Pesos!$B$34+AO455*Pesos!$B$35+AP455*Pesos!$B$36+AQ455*Pesos!$B$37+AR455*Pesos!$B$38+AS455*Pesos!$B$39+AT455*Pesos!$B$40+AU455*Pesos!$B$41+AV455*Pesos!$B$42+AW455*Pesos!$B$43+AX455*Pesos!$B$44+AY455*Pesos!$B$45+AZ455*Pesos!$B$46+BA455*Pesos!$B$47+BB455*Pesos!$B$48+BC455*Pesos!$B$49+BD455*Pesos!$B$50+BE455*Pesos!$B$51+BF455*Pesos!$B$52+BG455*Pesos!$B$53</f>
        <v>100</v>
      </c>
      <c r="G455" s="6" t="n">
        <f aca="false">E455*F455</f>
        <v>100</v>
      </c>
      <c r="H455" s="3" t="n">
        <v>49</v>
      </c>
      <c r="I455" s="3" t="n">
        <v>100</v>
      </c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customFormat="false" ht="15" hidden="false" customHeight="false" outlineLevel="0" collapsed="false">
      <c r="A456" s="3" t="s">
        <v>66</v>
      </c>
      <c r="B456" s="3" t="s">
        <v>139</v>
      </c>
      <c r="C456" s="3" t="s">
        <v>1217</v>
      </c>
      <c r="D456" s="3" t="s">
        <v>1218</v>
      </c>
      <c r="E456" s="3" t="n">
        <v>1</v>
      </c>
      <c r="F456" s="6" t="n">
        <f aca="false">H456*Pesos!$B$2+I456*Pesos!$B$3+J456*Pesos!$B$4+K456*Pesos!$B$5+L456*Pesos!$B$6+M456*Pesos!$B$7+N456*Pesos!$B$8+O456*Pesos!$B$9+P456*Pesos!$B$10+Q456*Pesos!$B$11+R456*Pesos!$B$12+S456*Pesos!$B$13+T456*Pesos!$B$14+U456*Pesos!$B$15+V456*Pesos!$B$16+W456*Pesos!$B$17+X456*Pesos!$B$18+Y456*Pesos!$B$19+Z456*Pesos!$B$20+AA456*Pesos!$B$21+AB456*Pesos!$B$22+AC456*Pesos!$B$23+AD456*Pesos!$B$24+AE456*Pesos!$B$25+AF456*Pesos!$B$26+AG456*Pesos!$B$27+AH456*Pesos!$B$28+AI456*Pesos!$B$29+AJ456*Pesos!$B$30+AK456*Pesos!$B$31+AL456*Pesos!$B$32+AM456*Pesos!$B$33+AN456*Pesos!$B$34+AO456*Pesos!$B$35+AP456*Pesos!$B$36+AQ456*Pesos!$B$37+AR456*Pesos!$B$38+AS456*Pesos!$B$39+AT456*Pesos!$B$40+AU456*Pesos!$B$41+AV456*Pesos!$B$42+AW456*Pesos!$B$43+AX456*Pesos!$B$44+AY456*Pesos!$B$45+AZ456*Pesos!$B$46+BA456*Pesos!$B$47+BB456*Pesos!$B$48+BC456*Pesos!$B$49+BD456*Pesos!$B$50+BE456*Pesos!$B$51+BF456*Pesos!$B$52+BG456*Pesos!$B$53</f>
        <v>93</v>
      </c>
      <c r="G456" s="6" t="n">
        <f aca="false">E456*F456</f>
        <v>93</v>
      </c>
      <c r="H456" s="3" t="n">
        <v>49</v>
      </c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 t="n">
        <v>0.1</v>
      </c>
      <c r="AB456" s="3"/>
      <c r="AC456" s="3"/>
      <c r="AD456" s="3"/>
      <c r="AE456" s="3" t="n">
        <v>20</v>
      </c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 t="s">
        <v>1218</v>
      </c>
      <c r="BI456" s="3"/>
      <c r="BJ456" s="3"/>
      <c r="BK456" s="3"/>
      <c r="BL456" s="3"/>
      <c r="BM456" s="3"/>
    </row>
    <row r="457" customFormat="false" ht="15" hidden="false" customHeight="false" outlineLevel="0" collapsed="false">
      <c r="A457" s="3" t="s">
        <v>66</v>
      </c>
      <c r="B457" s="3" t="s">
        <v>139</v>
      </c>
      <c r="C457" s="3" t="s">
        <v>1219</v>
      </c>
      <c r="D457" s="3" t="s">
        <v>1220</v>
      </c>
      <c r="E457" s="3" t="n">
        <v>1</v>
      </c>
      <c r="F457" s="6" t="n">
        <f aca="false">H457*Pesos!$B$2+I457*Pesos!$B$3+J457*Pesos!$B$4+K457*Pesos!$B$5+L457*Pesos!$B$6+M457*Pesos!$B$7+N457*Pesos!$B$8+O457*Pesos!$B$9+P457*Pesos!$B$10+Q457*Pesos!$B$11+R457*Pesos!$B$12+S457*Pesos!$B$13+T457*Pesos!$B$14+U457*Pesos!$B$15+V457*Pesos!$B$16+W457*Pesos!$B$17+X457*Pesos!$B$18+Y457*Pesos!$B$19+Z457*Pesos!$B$20+AA457*Pesos!$B$21+AB457*Pesos!$B$22+AC457*Pesos!$B$23+AD457*Pesos!$B$24+AE457*Pesos!$B$25+AF457*Pesos!$B$26+AG457*Pesos!$B$27+AH457*Pesos!$B$28+AI457*Pesos!$B$29+AJ457*Pesos!$B$30+AK457*Pesos!$B$31+AL457*Pesos!$B$32+AM457*Pesos!$B$33+AN457*Pesos!$B$34+AO457*Pesos!$B$35+AP457*Pesos!$B$36+AQ457*Pesos!$B$37+AR457*Pesos!$B$38+AS457*Pesos!$B$39+AT457*Pesos!$B$40+AU457*Pesos!$B$41+AV457*Pesos!$B$42+AW457*Pesos!$B$43+AX457*Pesos!$B$44+AY457*Pesos!$B$45+AZ457*Pesos!$B$46+BA457*Pesos!$B$47+BB457*Pesos!$B$48+BC457*Pesos!$B$49+BD457*Pesos!$B$50+BE457*Pesos!$B$51+BF457*Pesos!$B$52+BG457*Pesos!$B$53</f>
        <v>125</v>
      </c>
      <c r="G457" s="6" t="n">
        <f aca="false">E457*F457</f>
        <v>125</v>
      </c>
      <c r="H457" s="3" t="n">
        <v>63</v>
      </c>
      <c r="I457" s="3"/>
      <c r="J457" s="3"/>
      <c r="K457" s="3"/>
      <c r="L457" s="3" t="n">
        <v>50000</v>
      </c>
      <c r="M457" s="3"/>
      <c r="N457" s="3"/>
      <c r="O457" s="3"/>
      <c r="P457" s="3"/>
      <c r="Q457" s="3" t="n">
        <v>1</v>
      </c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customFormat="false" ht="15" hidden="false" customHeight="false" outlineLevel="0" collapsed="false">
      <c r="A458" s="3" t="s">
        <v>66</v>
      </c>
      <c r="B458" s="3" t="s">
        <v>139</v>
      </c>
      <c r="C458" s="3" t="s">
        <v>1221</v>
      </c>
      <c r="D458" s="3" t="s">
        <v>1222</v>
      </c>
      <c r="E458" s="3" t="n">
        <v>1</v>
      </c>
      <c r="F458" s="6" t="n">
        <f aca="false">H458*Pesos!$B$2+I458*Pesos!$B$3+J458*Pesos!$B$4+K458*Pesos!$B$5+L458*Pesos!$B$6+M458*Pesos!$B$7+N458*Pesos!$B$8+O458*Pesos!$B$9+P458*Pesos!$B$10+Q458*Pesos!$B$11+R458*Pesos!$B$12+S458*Pesos!$B$13+T458*Pesos!$B$14+U458*Pesos!$B$15+V458*Pesos!$B$16+W458*Pesos!$B$17+X458*Pesos!$B$18+Y458*Pesos!$B$19+Z458*Pesos!$B$20+AA458*Pesos!$B$21+AB458*Pesos!$B$22+AC458*Pesos!$B$23+AD458*Pesos!$B$24+AE458*Pesos!$B$25+AF458*Pesos!$B$26+AG458*Pesos!$B$27+AH458*Pesos!$B$28+AI458*Pesos!$B$29+AJ458*Pesos!$B$30+AK458*Pesos!$B$31+AL458*Pesos!$B$32+AM458*Pesos!$B$33+AN458*Pesos!$B$34+AO458*Pesos!$B$35+AP458*Pesos!$B$36+AQ458*Pesos!$B$37+AR458*Pesos!$B$38+AS458*Pesos!$B$39+AT458*Pesos!$B$40+AU458*Pesos!$B$41+AV458*Pesos!$B$42+AW458*Pesos!$B$43+AX458*Pesos!$B$44+AY458*Pesos!$B$45+AZ458*Pesos!$B$46+BA458*Pesos!$B$47+BB458*Pesos!$B$48+BC458*Pesos!$B$49+BD458*Pesos!$B$50+BE458*Pesos!$B$51+BF458*Pesos!$B$52+BG458*Pesos!$B$53</f>
        <v>50</v>
      </c>
      <c r="G458" s="6" t="n">
        <f aca="false">E458*F458</f>
        <v>50</v>
      </c>
      <c r="H458" s="3" t="n">
        <v>63</v>
      </c>
      <c r="I458" s="3" t="n">
        <v>50</v>
      </c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 t="s">
        <v>1223</v>
      </c>
      <c r="BK458" s="3"/>
      <c r="BL458" s="3"/>
      <c r="BM458" s="3"/>
    </row>
    <row r="459" customFormat="false" ht="15" hidden="false" customHeight="false" outlineLevel="0" collapsed="false">
      <c r="A459" s="3" t="s">
        <v>66</v>
      </c>
      <c r="B459" s="3" t="s">
        <v>139</v>
      </c>
      <c r="C459" s="3" t="s">
        <v>1224</v>
      </c>
      <c r="D459" s="3" t="s">
        <v>1225</v>
      </c>
      <c r="E459" s="3" t="n">
        <v>1</v>
      </c>
      <c r="F459" s="6" t="n">
        <f aca="false">H459*Pesos!$B$2+I459*Pesos!$B$3+J459*Pesos!$B$4+K459*Pesos!$B$5+L459*Pesos!$B$6+M459*Pesos!$B$7+N459*Pesos!$B$8+O459*Pesos!$B$9+P459*Pesos!$B$10+Q459*Pesos!$B$11+R459*Pesos!$B$12+S459*Pesos!$B$13+T459*Pesos!$B$14+U459*Pesos!$B$15+V459*Pesos!$B$16+W459*Pesos!$B$17+X459*Pesos!$B$18+Y459*Pesos!$B$19+Z459*Pesos!$B$20+AA459*Pesos!$B$21+AB459*Pesos!$B$22+AC459*Pesos!$B$23+AD459*Pesos!$B$24+AE459*Pesos!$B$25+AF459*Pesos!$B$26+AG459*Pesos!$B$27+AH459*Pesos!$B$28+AI459*Pesos!$B$29+AJ459*Pesos!$B$30+AK459*Pesos!$B$31+AL459*Pesos!$B$32+AM459*Pesos!$B$33+AN459*Pesos!$B$34+AO459*Pesos!$B$35+AP459*Pesos!$B$36+AQ459*Pesos!$B$37+AR459*Pesos!$B$38+AS459*Pesos!$B$39+AT459*Pesos!$B$40+AU459*Pesos!$B$41+AV459*Pesos!$B$42+AW459*Pesos!$B$43+AX459*Pesos!$B$44+AY459*Pesos!$B$45+AZ459*Pesos!$B$46+BA459*Pesos!$B$47+BB459*Pesos!$B$48+BC459*Pesos!$B$49+BD459*Pesos!$B$50+BE459*Pesos!$B$51+BF459*Pesos!$B$52+BG459*Pesos!$B$53</f>
        <v>200</v>
      </c>
      <c r="G459" s="6" t="n">
        <f aca="false">E459*F459</f>
        <v>200</v>
      </c>
      <c r="H459" s="3" t="n">
        <v>49</v>
      </c>
      <c r="I459" s="3"/>
      <c r="J459" s="3"/>
      <c r="K459" s="3"/>
      <c r="L459" s="3"/>
      <c r="M459" s="3"/>
      <c r="N459" s="3"/>
      <c r="O459" s="3"/>
      <c r="P459" s="3"/>
      <c r="Q459" s="3"/>
      <c r="R459" s="3" t="n">
        <v>2</v>
      </c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customFormat="false" ht="15" hidden="false" customHeight="false" outlineLevel="0" collapsed="false">
      <c r="A460" s="3" t="s">
        <v>66</v>
      </c>
      <c r="B460" s="3" t="s">
        <v>139</v>
      </c>
      <c r="C460" s="3" t="s">
        <v>1226</v>
      </c>
      <c r="D460" s="3" t="s">
        <v>1227</v>
      </c>
      <c r="E460" s="3" t="n">
        <v>1</v>
      </c>
      <c r="F460" s="6" t="n">
        <f aca="false">H460*Pesos!$B$2+I460*Pesos!$B$3+J460*Pesos!$B$4+K460*Pesos!$B$5+L460*Pesos!$B$6+M460*Pesos!$B$7+N460*Pesos!$B$8+O460*Pesos!$B$9+P460*Pesos!$B$10+Q460*Pesos!$B$11+R460*Pesos!$B$12+S460*Pesos!$B$13+T460*Pesos!$B$14+U460*Pesos!$B$15+V460*Pesos!$B$16+W460*Pesos!$B$17+X460*Pesos!$B$18+Y460*Pesos!$B$19+Z460*Pesos!$B$20+AA460*Pesos!$B$21+AB460*Pesos!$B$22+AC460*Pesos!$B$23+AD460*Pesos!$B$24+AE460*Pesos!$B$25+AF460*Pesos!$B$26+AG460*Pesos!$B$27+AH460*Pesos!$B$28+AI460*Pesos!$B$29+AJ460*Pesos!$B$30+AK460*Pesos!$B$31+AL460*Pesos!$B$32+AM460*Pesos!$B$33+AN460*Pesos!$B$34+AO460*Pesos!$B$35+AP460*Pesos!$B$36+AQ460*Pesos!$B$37+AR460*Pesos!$B$38+AS460*Pesos!$B$39+AT460*Pesos!$B$40+AU460*Pesos!$B$41+AV460*Pesos!$B$42+AW460*Pesos!$B$43+AX460*Pesos!$B$44+AY460*Pesos!$B$45+AZ460*Pesos!$B$46+BA460*Pesos!$B$47+BB460*Pesos!$B$48+BC460*Pesos!$B$49+BD460*Pesos!$B$50+BE460*Pesos!$B$51+BF460*Pesos!$B$52+BG460*Pesos!$B$53</f>
        <v>284.5</v>
      </c>
      <c r="G460" s="6" t="n">
        <f aca="false">E460*F460</f>
        <v>284.5</v>
      </c>
      <c r="H460" s="3" t="n">
        <v>105</v>
      </c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 t="n">
        <v>0.15</v>
      </c>
      <c r="AB460" s="3" t="n">
        <v>10</v>
      </c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 t="n">
        <v>5</v>
      </c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 t="s">
        <v>1227</v>
      </c>
      <c r="BI460" s="3"/>
      <c r="BJ460" s="3"/>
      <c r="BK460" s="3"/>
      <c r="BL460" s="3"/>
      <c r="BM460" s="3"/>
    </row>
    <row r="461" customFormat="false" ht="15" hidden="false" customHeight="false" outlineLevel="0" collapsed="false">
      <c r="A461" s="3" t="s">
        <v>66</v>
      </c>
      <c r="B461" s="3" t="s">
        <v>140</v>
      </c>
      <c r="C461" s="3" t="s">
        <v>1228</v>
      </c>
      <c r="D461" s="3" t="s">
        <v>1229</v>
      </c>
      <c r="E461" s="3" t="n">
        <v>1</v>
      </c>
      <c r="F461" s="6" t="n">
        <f aca="false">H461*Pesos!$B$2+I461*Pesos!$B$3+J461*Pesos!$B$4+K461*Pesos!$B$5+L461*Pesos!$B$6+M461*Pesos!$B$7+N461*Pesos!$B$8+O461*Pesos!$B$9+P461*Pesos!$B$10+Q461*Pesos!$B$11+R461*Pesos!$B$12+S461*Pesos!$B$13+T461*Pesos!$B$14+U461*Pesos!$B$15+V461*Pesos!$B$16+W461*Pesos!$B$17+X461*Pesos!$B$18+Y461*Pesos!$B$19+Z461*Pesos!$B$20+AA461*Pesos!$B$21+AB461*Pesos!$B$22+AC461*Pesos!$B$23+AD461*Pesos!$B$24+AE461*Pesos!$B$25+AF461*Pesos!$B$26+AG461*Pesos!$B$27+AH461*Pesos!$B$28+AI461*Pesos!$B$29+AJ461*Pesos!$B$30+AK461*Pesos!$B$31+AL461*Pesos!$B$32+AM461*Pesos!$B$33+AN461*Pesos!$B$34+AO461*Pesos!$B$35+AP461*Pesos!$B$36+AQ461*Pesos!$B$37+AR461*Pesos!$B$38+AS461*Pesos!$B$39+AT461*Pesos!$B$40+AU461*Pesos!$B$41+AV461*Pesos!$B$42+AW461*Pesos!$B$43+AX461*Pesos!$B$44+AY461*Pesos!$B$45+AZ461*Pesos!$B$46+BA461*Pesos!$B$47+BB461*Pesos!$B$48+BC461*Pesos!$B$49+BD461*Pesos!$B$50+BE461*Pesos!$B$51+BF461*Pesos!$B$52+BG461*Pesos!$B$53</f>
        <v>95</v>
      </c>
      <c r="G461" s="6" t="n">
        <f aca="false">E461*F461</f>
        <v>95</v>
      </c>
      <c r="H461" s="3" t="n">
        <v>49</v>
      </c>
      <c r="I461" s="3" t="n">
        <v>50</v>
      </c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 t="n">
        <v>4.5</v>
      </c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 t="s">
        <v>1230</v>
      </c>
      <c r="BK461" s="3"/>
      <c r="BL461" s="3"/>
      <c r="BM461" s="3"/>
    </row>
    <row r="462" customFormat="false" ht="15" hidden="false" customHeight="false" outlineLevel="0" collapsed="false">
      <c r="A462" s="3" t="s">
        <v>66</v>
      </c>
      <c r="B462" s="3" t="s">
        <v>140</v>
      </c>
      <c r="C462" s="3" t="s">
        <v>1231</v>
      </c>
      <c r="D462" s="3" t="s">
        <v>1232</v>
      </c>
      <c r="E462" s="3" t="n">
        <v>1</v>
      </c>
      <c r="F462" s="6" t="n">
        <f aca="false">H462*Pesos!$B$2+I462*Pesos!$B$3+J462*Pesos!$B$4+K462*Pesos!$B$5+L462*Pesos!$B$6+M462*Pesos!$B$7+N462*Pesos!$B$8+O462*Pesos!$B$9+P462*Pesos!$B$10+Q462*Pesos!$B$11+R462*Pesos!$B$12+S462*Pesos!$B$13+T462*Pesos!$B$14+U462*Pesos!$B$15+V462*Pesos!$B$16+W462*Pesos!$B$17+X462*Pesos!$B$18+Y462*Pesos!$B$19+Z462*Pesos!$B$20+AA462*Pesos!$B$21+AB462*Pesos!$B$22+AC462*Pesos!$B$23+AD462*Pesos!$B$24+AE462*Pesos!$B$25+AF462*Pesos!$B$26+AG462*Pesos!$B$27+AH462*Pesos!$B$28+AI462*Pesos!$B$29+AJ462*Pesos!$B$30+AK462*Pesos!$B$31+AL462*Pesos!$B$32+AM462*Pesos!$B$33+AN462*Pesos!$B$34+AO462*Pesos!$B$35+AP462*Pesos!$B$36+AQ462*Pesos!$B$37+AR462*Pesos!$B$38+AS462*Pesos!$B$39+AT462*Pesos!$B$40+AU462*Pesos!$B$41+AV462*Pesos!$B$42+AW462*Pesos!$B$43+AX462*Pesos!$B$44+AY462*Pesos!$B$45+AZ462*Pesos!$B$46+BA462*Pesos!$B$47+BB462*Pesos!$B$48+BC462*Pesos!$B$49+BD462*Pesos!$B$50+BE462*Pesos!$B$51+BF462*Pesos!$B$52+BG462*Pesos!$B$53</f>
        <v>86.5</v>
      </c>
      <c r="G462" s="6" t="n">
        <f aca="false">E462*F462</f>
        <v>86.5</v>
      </c>
      <c r="H462" s="3" t="n">
        <v>49</v>
      </c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 t="n">
        <v>0.05</v>
      </c>
      <c r="AB462" s="3" t="n">
        <v>5</v>
      </c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 t="s">
        <v>1232</v>
      </c>
      <c r="BI462" s="3"/>
      <c r="BJ462" s="3"/>
      <c r="BK462" s="3"/>
      <c r="BL462" s="3"/>
      <c r="BM462" s="3"/>
    </row>
    <row r="463" customFormat="false" ht="15" hidden="false" customHeight="false" outlineLevel="0" collapsed="false">
      <c r="A463" s="3" t="s">
        <v>66</v>
      </c>
      <c r="B463" s="3" t="s">
        <v>140</v>
      </c>
      <c r="C463" s="3" t="s">
        <v>1233</v>
      </c>
      <c r="D463" s="3" t="s">
        <v>1234</v>
      </c>
      <c r="E463" s="3" t="n">
        <v>1</v>
      </c>
      <c r="F463" s="6" t="n">
        <f aca="false">H463*Pesos!$B$2+I463*Pesos!$B$3+J463*Pesos!$B$4+K463*Pesos!$B$5+L463*Pesos!$B$6+M463*Pesos!$B$7+N463*Pesos!$B$8+O463*Pesos!$B$9+P463*Pesos!$B$10+Q463*Pesos!$B$11+R463*Pesos!$B$12+S463*Pesos!$B$13+T463*Pesos!$B$14+U463*Pesos!$B$15+V463*Pesos!$B$16+W463*Pesos!$B$17+X463*Pesos!$B$18+Y463*Pesos!$B$19+Z463*Pesos!$B$20+AA463*Pesos!$B$21+AB463*Pesos!$B$22+AC463*Pesos!$B$23+AD463*Pesos!$B$24+AE463*Pesos!$B$25+AF463*Pesos!$B$26+AG463*Pesos!$B$27+AH463*Pesos!$B$28+AI463*Pesos!$B$29+AJ463*Pesos!$B$30+AK463*Pesos!$B$31+AL463*Pesos!$B$32+AM463*Pesos!$B$33+AN463*Pesos!$B$34+AO463*Pesos!$B$35+AP463*Pesos!$B$36+AQ463*Pesos!$B$37+AR463*Pesos!$B$38+AS463*Pesos!$B$39+AT463*Pesos!$B$40+AU463*Pesos!$B$41+AV463*Pesos!$B$42+AW463*Pesos!$B$43+AX463*Pesos!$B$44+AY463*Pesos!$B$45+AZ463*Pesos!$B$46+BA463*Pesos!$B$47+BB463*Pesos!$B$48+BC463*Pesos!$B$49+BD463*Pesos!$B$50+BE463*Pesos!$B$51+BF463*Pesos!$B$52+BG463*Pesos!$B$53</f>
        <v>225</v>
      </c>
      <c r="G463" s="6" t="n">
        <f aca="false">E463*F463</f>
        <v>225</v>
      </c>
      <c r="H463" s="3" t="n">
        <v>63</v>
      </c>
      <c r="I463" s="3"/>
      <c r="J463" s="3"/>
      <c r="K463" s="3"/>
      <c r="L463" s="3"/>
      <c r="M463" s="3"/>
      <c r="N463" s="3"/>
      <c r="O463" s="3"/>
      <c r="P463" s="3"/>
      <c r="Q463" s="3" t="n">
        <v>1</v>
      </c>
      <c r="R463" s="3" t="n">
        <v>2</v>
      </c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customFormat="false" ht="15" hidden="false" customHeight="false" outlineLevel="0" collapsed="false">
      <c r="A464" s="3" t="s">
        <v>66</v>
      </c>
      <c r="B464" s="3" t="s">
        <v>140</v>
      </c>
      <c r="C464" s="3" t="s">
        <v>1235</v>
      </c>
      <c r="D464" s="3" t="s">
        <v>1236</v>
      </c>
      <c r="E464" s="3" t="n">
        <v>1</v>
      </c>
      <c r="F464" s="6" t="n">
        <f aca="false">H464*Pesos!$B$2+I464*Pesos!$B$3+J464*Pesos!$B$4+K464*Pesos!$B$5+L464*Pesos!$B$6+M464*Pesos!$B$7+N464*Pesos!$B$8+O464*Pesos!$B$9+P464*Pesos!$B$10+Q464*Pesos!$B$11+R464*Pesos!$B$12+S464*Pesos!$B$13+T464*Pesos!$B$14+U464*Pesos!$B$15+V464*Pesos!$B$16+W464*Pesos!$B$17+X464*Pesos!$B$18+Y464*Pesos!$B$19+Z464*Pesos!$B$20+AA464*Pesos!$B$21+AB464*Pesos!$B$22+AC464*Pesos!$B$23+AD464*Pesos!$B$24+AE464*Pesos!$B$25+AF464*Pesos!$B$26+AG464*Pesos!$B$27+AH464*Pesos!$B$28+AI464*Pesos!$B$29+AJ464*Pesos!$B$30+AK464*Pesos!$B$31+AL464*Pesos!$B$32+AM464*Pesos!$B$33+AN464*Pesos!$B$34+AO464*Pesos!$B$35+AP464*Pesos!$B$36+AQ464*Pesos!$B$37+AR464*Pesos!$B$38+AS464*Pesos!$B$39+AT464*Pesos!$B$40+AU464*Pesos!$B$41+AV464*Pesos!$B$42+AW464*Pesos!$B$43+AX464*Pesos!$B$44+AY464*Pesos!$B$45+AZ464*Pesos!$B$46+BA464*Pesos!$B$47+BB464*Pesos!$B$48+BC464*Pesos!$B$49+BD464*Pesos!$B$50+BE464*Pesos!$B$51+BF464*Pesos!$B$52+BG464*Pesos!$B$53</f>
        <v>173</v>
      </c>
      <c r="G464" s="6" t="n">
        <f aca="false">E464*F464</f>
        <v>173</v>
      </c>
      <c r="H464" s="3" t="n">
        <v>84</v>
      </c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 t="n">
        <v>0.1</v>
      </c>
      <c r="AB464" s="3" t="n">
        <v>10</v>
      </c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 t="s">
        <v>1236</v>
      </c>
      <c r="BI464" s="3"/>
      <c r="BJ464" s="3"/>
      <c r="BK464" s="3"/>
      <c r="BL464" s="3"/>
      <c r="BM464" s="3"/>
    </row>
    <row r="465" customFormat="false" ht="15" hidden="false" customHeight="false" outlineLevel="0" collapsed="false">
      <c r="A465" s="3" t="s">
        <v>66</v>
      </c>
      <c r="B465" s="3" t="s">
        <v>140</v>
      </c>
      <c r="C465" s="3" t="s">
        <v>1237</v>
      </c>
      <c r="D465" s="3" t="s">
        <v>1238</v>
      </c>
      <c r="E465" s="3" t="n">
        <v>1</v>
      </c>
      <c r="F465" s="6" t="n">
        <f aca="false">H465*Pesos!$B$2+I465*Pesos!$B$3+J465*Pesos!$B$4+K465*Pesos!$B$5+L465*Pesos!$B$6+M465*Pesos!$B$7+N465*Pesos!$B$8+O465*Pesos!$B$9+P465*Pesos!$B$10+Q465*Pesos!$B$11+R465*Pesos!$B$12+S465*Pesos!$B$13+T465*Pesos!$B$14+U465*Pesos!$B$15+V465*Pesos!$B$16+W465*Pesos!$B$17+X465*Pesos!$B$18+Y465*Pesos!$B$19+Z465*Pesos!$B$20+AA465*Pesos!$B$21+AB465*Pesos!$B$22+AC465*Pesos!$B$23+AD465*Pesos!$B$24+AE465*Pesos!$B$25+AF465*Pesos!$B$26+AG465*Pesos!$B$27+AH465*Pesos!$B$28+AI465*Pesos!$B$29+AJ465*Pesos!$B$30+AK465*Pesos!$B$31+AL465*Pesos!$B$32+AM465*Pesos!$B$33+AN465*Pesos!$B$34+AO465*Pesos!$B$35+AP465*Pesos!$B$36+AQ465*Pesos!$B$37+AR465*Pesos!$B$38+AS465*Pesos!$B$39+AT465*Pesos!$B$40+AU465*Pesos!$B$41+AV465*Pesos!$B$42+AW465*Pesos!$B$43+AX465*Pesos!$B$44+AY465*Pesos!$B$45+AZ465*Pesos!$B$46+BA465*Pesos!$B$47+BB465*Pesos!$B$48+BC465*Pesos!$B$49+BD465*Pesos!$B$50+BE465*Pesos!$B$51+BF465*Pesos!$B$52+BG465*Pesos!$B$53</f>
        <v>18</v>
      </c>
      <c r="G465" s="6" t="n">
        <f aca="false">E465*F465</f>
        <v>18</v>
      </c>
      <c r="H465" s="3" t="n">
        <v>63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 t="n">
        <v>1.2</v>
      </c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 t="s">
        <v>1239</v>
      </c>
      <c r="BK465" s="3"/>
      <c r="BL465" s="3"/>
      <c r="BM465" s="3"/>
    </row>
    <row r="466" customFormat="false" ht="15" hidden="false" customHeight="false" outlineLevel="0" collapsed="false">
      <c r="A466" s="3" t="s">
        <v>66</v>
      </c>
      <c r="B466" s="3" t="s">
        <v>140</v>
      </c>
      <c r="C466" s="3" t="s">
        <v>1240</v>
      </c>
      <c r="D466" s="3" t="s">
        <v>1241</v>
      </c>
      <c r="E466" s="3" t="n">
        <v>1</v>
      </c>
      <c r="F466" s="6" t="n">
        <f aca="false">H466*Pesos!$B$2+I466*Pesos!$B$3+J466*Pesos!$B$4+K466*Pesos!$B$5+L466*Pesos!$B$6+M466*Pesos!$B$7+N466*Pesos!$B$8+O466*Pesos!$B$9+P466*Pesos!$B$10+Q466*Pesos!$B$11+R466*Pesos!$B$12+S466*Pesos!$B$13+T466*Pesos!$B$14+U466*Pesos!$B$15+V466*Pesos!$B$16+W466*Pesos!$B$17+X466*Pesos!$B$18+Y466*Pesos!$B$19+Z466*Pesos!$B$20+AA466*Pesos!$B$21+AB466*Pesos!$B$22+AC466*Pesos!$B$23+AD466*Pesos!$B$24+AE466*Pesos!$B$25+AF466*Pesos!$B$26+AG466*Pesos!$B$27+AH466*Pesos!$B$28+AI466*Pesos!$B$29+AJ466*Pesos!$B$30+AK466*Pesos!$B$31+AL466*Pesos!$B$32+AM466*Pesos!$B$33+AN466*Pesos!$B$34+AO466*Pesos!$B$35+AP466*Pesos!$B$36+AQ466*Pesos!$B$37+AR466*Pesos!$B$38+AS466*Pesos!$B$39+AT466*Pesos!$B$40+AU466*Pesos!$B$41+AV466*Pesos!$B$42+AW466*Pesos!$B$43+AX466*Pesos!$B$44+AY466*Pesos!$B$45+AZ466*Pesos!$B$46+BA466*Pesos!$B$47+BB466*Pesos!$B$48+BC466*Pesos!$B$49+BD466*Pesos!$B$50+BE466*Pesos!$B$51+BF466*Pesos!$B$52+BG466*Pesos!$B$53</f>
        <v>440</v>
      </c>
      <c r="G466" s="6" t="n">
        <f aca="false">E466*F466</f>
        <v>440</v>
      </c>
      <c r="H466" s="3" t="n">
        <v>105</v>
      </c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 t="n">
        <v>10</v>
      </c>
      <c r="AC466" s="3" t="n">
        <v>5</v>
      </c>
      <c r="AD466" s="3"/>
      <c r="AE466" s="3"/>
      <c r="AF466" s="3"/>
      <c r="AG466" s="3" t="n">
        <v>10</v>
      </c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 t="s">
        <v>1241</v>
      </c>
      <c r="BI466" s="3"/>
      <c r="BJ466" s="3"/>
      <c r="BK466" s="3"/>
      <c r="BL466" s="3"/>
      <c r="BM466" s="3"/>
    </row>
    <row r="467" customFormat="false" ht="15" hidden="false" customHeight="false" outlineLevel="0" collapsed="false">
      <c r="A467" s="3" t="s">
        <v>67</v>
      </c>
      <c r="B467" s="3" t="s">
        <v>141</v>
      </c>
      <c r="C467" s="3" t="s">
        <v>1242</v>
      </c>
      <c r="D467" s="3" t="s">
        <v>1243</v>
      </c>
      <c r="E467" s="3" t="n">
        <v>1</v>
      </c>
      <c r="F467" s="6" t="n">
        <f aca="false">H467*Pesos!$B$2+I467*Pesos!$B$3+J467*Pesos!$B$4+K467*Pesos!$B$5+L467*Pesos!$B$6+M467*Pesos!$B$7+N467*Pesos!$B$8+O467*Pesos!$B$9+P467*Pesos!$B$10+Q467*Pesos!$B$11+R467*Pesos!$B$12+S467*Pesos!$B$13+T467*Pesos!$B$14+U467*Pesos!$B$15+V467*Pesos!$B$16+W467*Pesos!$B$17+X467*Pesos!$B$18+Y467*Pesos!$B$19+Z467*Pesos!$B$20+AA467*Pesos!$B$21+AB467*Pesos!$B$22+AC467*Pesos!$B$23+AD467*Pesos!$B$24+AE467*Pesos!$B$25+AF467*Pesos!$B$26+AG467*Pesos!$B$27+AH467*Pesos!$B$28+AI467*Pesos!$B$29+AJ467*Pesos!$B$30+AK467*Pesos!$B$31+AL467*Pesos!$B$32+AM467*Pesos!$B$33+AN467*Pesos!$B$34+AO467*Pesos!$B$35+AP467*Pesos!$B$36+AQ467*Pesos!$B$37+AR467*Pesos!$B$38+AS467*Pesos!$B$39+AT467*Pesos!$B$40+AU467*Pesos!$B$41+AV467*Pesos!$B$42+AW467*Pesos!$B$43+AX467*Pesos!$B$44+AY467*Pesos!$B$45+AZ467*Pesos!$B$46+BA467*Pesos!$B$47+BB467*Pesos!$B$48+BC467*Pesos!$B$49+BD467*Pesos!$B$50+BE467*Pesos!$B$51+BF467*Pesos!$B$52+BG467*Pesos!$B$53</f>
        <v>105</v>
      </c>
      <c r="G467" s="6" t="n">
        <f aca="false">E467*F467</f>
        <v>105</v>
      </c>
      <c r="H467" s="3" t="n">
        <v>49</v>
      </c>
      <c r="I467" s="3" t="n">
        <v>100</v>
      </c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 t="n">
        <v>0.5</v>
      </c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 t="s">
        <v>1244</v>
      </c>
      <c r="BK467" s="3"/>
      <c r="BL467" s="3"/>
      <c r="BM467" s="3"/>
    </row>
    <row r="468" customFormat="false" ht="15" hidden="false" customHeight="false" outlineLevel="0" collapsed="false">
      <c r="A468" s="3" t="s">
        <v>67</v>
      </c>
      <c r="B468" s="3" t="s">
        <v>141</v>
      </c>
      <c r="C468" s="3" t="s">
        <v>1245</v>
      </c>
      <c r="D468" s="3" t="s">
        <v>1246</v>
      </c>
      <c r="E468" s="3" t="n">
        <v>1</v>
      </c>
      <c r="F468" s="6" t="n">
        <f aca="false">H468*Pesos!$B$2+I468*Pesos!$B$3+J468*Pesos!$B$4+K468*Pesos!$B$5+L468*Pesos!$B$6+M468*Pesos!$B$7+N468*Pesos!$B$8+O468*Pesos!$B$9+P468*Pesos!$B$10+Q468*Pesos!$B$11+R468*Pesos!$B$12+S468*Pesos!$B$13+T468*Pesos!$B$14+U468*Pesos!$B$15+V468*Pesos!$B$16+W468*Pesos!$B$17+X468*Pesos!$B$18+Y468*Pesos!$B$19+Z468*Pesos!$B$20+AA468*Pesos!$B$21+AB468*Pesos!$B$22+AC468*Pesos!$B$23+AD468*Pesos!$B$24+AE468*Pesos!$B$25+AF468*Pesos!$B$26+AG468*Pesos!$B$27+AH468*Pesos!$B$28+AI468*Pesos!$B$29+AJ468*Pesos!$B$30+AK468*Pesos!$B$31+AL468*Pesos!$B$32+AM468*Pesos!$B$33+AN468*Pesos!$B$34+AO468*Pesos!$B$35+AP468*Pesos!$B$36+AQ468*Pesos!$B$37+AR468*Pesos!$B$38+AS468*Pesos!$B$39+AT468*Pesos!$B$40+AU468*Pesos!$B$41+AV468*Pesos!$B$42+AW468*Pesos!$B$43+AX468*Pesos!$B$44+AY468*Pesos!$B$45+AZ468*Pesos!$B$46+BA468*Pesos!$B$47+BB468*Pesos!$B$48+BC468*Pesos!$B$49+BD468*Pesos!$B$50+BE468*Pesos!$B$51+BF468*Pesos!$B$52+BG468*Pesos!$B$53</f>
        <v>80</v>
      </c>
      <c r="G468" s="6" t="n">
        <f aca="false">E468*F468</f>
        <v>80</v>
      </c>
      <c r="H468" s="3" t="n">
        <v>49</v>
      </c>
      <c r="I468" s="3" t="n">
        <v>50</v>
      </c>
      <c r="J468" s="3" t="n">
        <v>3</v>
      </c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customFormat="false" ht="15" hidden="false" customHeight="false" outlineLevel="0" collapsed="false">
      <c r="A469" s="3" t="s">
        <v>67</v>
      </c>
      <c r="B469" s="3" t="s">
        <v>141</v>
      </c>
      <c r="C469" s="3" t="s">
        <v>1247</v>
      </c>
      <c r="D469" s="3" t="s">
        <v>1248</v>
      </c>
      <c r="E469" s="3" t="n">
        <v>0.5</v>
      </c>
      <c r="F469" s="6" t="n">
        <f aca="false">H469*Pesos!$B$2+I469*Pesos!$B$3+J469*Pesos!$B$4+K469*Pesos!$B$5+L469*Pesos!$B$6+M469*Pesos!$B$7+N469*Pesos!$B$8+O469*Pesos!$B$9+P469*Pesos!$B$10+Q469*Pesos!$B$11+R469*Pesos!$B$12+S469*Pesos!$B$13+T469*Pesos!$B$14+U469*Pesos!$B$15+V469*Pesos!$B$16+W469*Pesos!$B$17+X469*Pesos!$B$18+Y469*Pesos!$B$19+Z469*Pesos!$B$20+AA469*Pesos!$B$21+AB469*Pesos!$B$22+AC469*Pesos!$B$23+AD469*Pesos!$B$24+AE469*Pesos!$B$25+AF469*Pesos!$B$26+AG469*Pesos!$B$27+AH469*Pesos!$B$28+AI469*Pesos!$B$29+AJ469*Pesos!$B$30+AK469*Pesos!$B$31+AL469*Pesos!$B$32+AM469*Pesos!$B$33+AN469*Pesos!$B$34+AO469*Pesos!$B$35+AP469*Pesos!$B$36+AQ469*Pesos!$B$37+AR469*Pesos!$B$38+AS469*Pesos!$B$39+AT469*Pesos!$B$40+AU469*Pesos!$B$41+AV469*Pesos!$B$42+AW469*Pesos!$B$43+AX469*Pesos!$B$44+AY469*Pesos!$B$45+AZ469*Pesos!$B$46+BA469*Pesos!$B$47+BB469*Pesos!$B$48+BC469*Pesos!$B$49+BD469*Pesos!$B$50+BE469*Pesos!$B$51+BF469*Pesos!$B$52+BG469*Pesos!$B$53</f>
        <v>232.5</v>
      </c>
      <c r="G469" s="6" t="n">
        <f aca="false">E469*F469</f>
        <v>116.25</v>
      </c>
      <c r="H469" s="3" t="n">
        <v>49</v>
      </c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 t="n">
        <v>0.25</v>
      </c>
      <c r="AB469" s="3" t="n">
        <v>5</v>
      </c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 t="s">
        <v>1249</v>
      </c>
      <c r="BI469" s="3"/>
      <c r="BJ469" s="3"/>
      <c r="BK469" s="3"/>
      <c r="BL469" s="3"/>
      <c r="BM469" s="3" t="s">
        <v>1250</v>
      </c>
    </row>
    <row r="470" customFormat="false" ht="15" hidden="false" customHeight="false" outlineLevel="0" collapsed="false">
      <c r="A470" s="3" t="s">
        <v>67</v>
      </c>
      <c r="B470" s="3" t="s">
        <v>141</v>
      </c>
      <c r="C470" s="3" t="s">
        <v>1251</v>
      </c>
      <c r="D470" s="3" t="s">
        <v>1252</v>
      </c>
      <c r="E470" s="3" t="n">
        <v>0.5</v>
      </c>
      <c r="F470" s="6" t="n">
        <f aca="false">H470*Pesos!$B$2+I470*Pesos!$B$3+J470*Pesos!$B$4+K470*Pesos!$B$5+L470*Pesos!$B$6+M470*Pesos!$B$7+N470*Pesos!$B$8+O470*Pesos!$B$9+P470*Pesos!$B$10+Q470*Pesos!$B$11+R470*Pesos!$B$12+S470*Pesos!$B$13+T470*Pesos!$B$14+U470*Pesos!$B$15+V470*Pesos!$B$16+W470*Pesos!$B$17+X470*Pesos!$B$18+Y470*Pesos!$B$19+Z470*Pesos!$B$20+AA470*Pesos!$B$21+AB470*Pesos!$B$22+AC470*Pesos!$B$23+AD470*Pesos!$B$24+AE470*Pesos!$B$25+AF470*Pesos!$B$26+AG470*Pesos!$B$27+AH470*Pesos!$B$28+AI470*Pesos!$B$29+AJ470*Pesos!$B$30+AK470*Pesos!$B$31+AL470*Pesos!$B$32+AM470*Pesos!$B$33+AN470*Pesos!$B$34+AO470*Pesos!$B$35+AP470*Pesos!$B$36+AQ470*Pesos!$B$37+AR470*Pesos!$B$38+AS470*Pesos!$B$39+AT470*Pesos!$B$40+AU470*Pesos!$B$41+AV470*Pesos!$B$42+AW470*Pesos!$B$43+AX470*Pesos!$B$44+AY470*Pesos!$B$45+AZ470*Pesos!$B$46+BA470*Pesos!$B$47+BB470*Pesos!$B$48+BC470*Pesos!$B$49+BD470*Pesos!$B$50+BE470*Pesos!$B$51+BF470*Pesos!$B$52+BG470*Pesos!$B$53</f>
        <v>110</v>
      </c>
      <c r="G470" s="6" t="n">
        <f aca="false">E470*F470</f>
        <v>55</v>
      </c>
      <c r="H470" s="3" t="n">
        <v>63</v>
      </c>
      <c r="I470" s="3" t="n">
        <v>50</v>
      </c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 t="n">
        <v>4</v>
      </c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customFormat="false" ht="15" hidden="false" customHeight="false" outlineLevel="0" collapsed="false">
      <c r="A471" s="3" t="s">
        <v>67</v>
      </c>
      <c r="B471" s="3" t="s">
        <v>141</v>
      </c>
      <c r="C471" s="3" t="s">
        <v>1253</v>
      </c>
      <c r="D471" s="3" t="s">
        <v>1254</v>
      </c>
      <c r="E471" s="3" t="n">
        <v>0.5</v>
      </c>
      <c r="F471" s="6" t="n">
        <f aca="false">H471*Pesos!$B$2+I471*Pesos!$B$3+J471*Pesos!$B$4+K471*Pesos!$B$5+L471*Pesos!$B$6+M471*Pesos!$B$7+N471*Pesos!$B$8+O471*Pesos!$B$9+P471*Pesos!$B$10+Q471*Pesos!$B$11+R471*Pesos!$B$12+S471*Pesos!$B$13+T471*Pesos!$B$14+U471*Pesos!$B$15+V471*Pesos!$B$16+W471*Pesos!$B$17+X471*Pesos!$B$18+Y471*Pesos!$B$19+Z471*Pesos!$B$20+AA471*Pesos!$B$21+AB471*Pesos!$B$22+AC471*Pesos!$B$23+AD471*Pesos!$B$24+AE471*Pesos!$B$25+AF471*Pesos!$B$26+AG471*Pesos!$B$27+AH471*Pesos!$B$28+AI471*Pesos!$B$29+AJ471*Pesos!$B$30+AK471*Pesos!$B$31+AL471*Pesos!$B$32+AM471*Pesos!$B$33+AN471*Pesos!$B$34+AO471*Pesos!$B$35+AP471*Pesos!$B$36+AQ471*Pesos!$B$37+AR471*Pesos!$B$38+AS471*Pesos!$B$39+AT471*Pesos!$B$40+AU471*Pesos!$B$41+AV471*Pesos!$B$42+AW471*Pesos!$B$43+AX471*Pesos!$B$44+AY471*Pesos!$B$45+AZ471*Pesos!$B$46+BA471*Pesos!$B$47+BB471*Pesos!$B$48+BC471*Pesos!$B$49+BD471*Pesos!$B$50+BE471*Pesos!$B$51+BF471*Pesos!$B$52+BG471*Pesos!$B$53</f>
        <v>118</v>
      </c>
      <c r="G471" s="6" t="n">
        <f aca="false">E471*F471</f>
        <v>59</v>
      </c>
      <c r="H471" s="3" t="n">
        <v>49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 t="n">
        <v>0.1</v>
      </c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 t="n">
        <v>3</v>
      </c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 t="s">
        <v>1254</v>
      </c>
      <c r="BI471" s="3"/>
      <c r="BJ471" s="3"/>
      <c r="BK471" s="3"/>
      <c r="BL471" s="3"/>
      <c r="BM471" s="3"/>
    </row>
    <row r="472" customFormat="false" ht="15" hidden="false" customHeight="false" outlineLevel="0" collapsed="false">
      <c r="A472" s="3" t="s">
        <v>67</v>
      </c>
      <c r="B472" s="3" t="s">
        <v>141</v>
      </c>
      <c r="C472" s="3" t="s">
        <v>1255</v>
      </c>
      <c r="D472" s="3" t="s">
        <v>1256</v>
      </c>
      <c r="E472" s="3" t="n">
        <v>0.5</v>
      </c>
      <c r="F472" s="6" t="n">
        <f aca="false">H472*Pesos!$B$2+I472*Pesos!$B$3+J472*Pesos!$B$4+K472*Pesos!$B$5+L472*Pesos!$B$6+M472*Pesos!$B$7+N472*Pesos!$B$8+O472*Pesos!$B$9+P472*Pesos!$B$10+Q472*Pesos!$B$11+R472*Pesos!$B$12+S472*Pesos!$B$13+T472*Pesos!$B$14+U472*Pesos!$B$15+V472*Pesos!$B$16+W472*Pesos!$B$17+X472*Pesos!$B$18+Y472*Pesos!$B$19+Z472*Pesos!$B$20+AA472*Pesos!$B$21+AB472*Pesos!$B$22+AC472*Pesos!$B$23+AD472*Pesos!$B$24+AE472*Pesos!$B$25+AF472*Pesos!$B$26+AG472*Pesos!$B$27+AH472*Pesos!$B$28+AI472*Pesos!$B$29+AJ472*Pesos!$B$30+AK472*Pesos!$B$31+AL472*Pesos!$B$32+AM472*Pesos!$B$33+AN472*Pesos!$B$34+AO472*Pesos!$B$35+AP472*Pesos!$B$36+AQ472*Pesos!$B$37+AR472*Pesos!$B$38+AS472*Pesos!$B$39+AT472*Pesos!$B$40+AU472*Pesos!$B$41+AV472*Pesos!$B$42+AW472*Pesos!$B$43+AX472*Pesos!$B$44+AY472*Pesos!$B$45+AZ472*Pesos!$B$46+BA472*Pesos!$B$47+BB472*Pesos!$B$48+BC472*Pesos!$B$49+BD472*Pesos!$B$50+BE472*Pesos!$B$51+BF472*Pesos!$B$52+BG472*Pesos!$B$53</f>
        <v>120</v>
      </c>
      <c r="G472" s="6" t="n">
        <f aca="false">E472*F472</f>
        <v>60</v>
      </c>
      <c r="H472" s="3" t="n">
        <v>63</v>
      </c>
      <c r="I472" s="3" t="n">
        <v>100</v>
      </c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 t="n">
        <v>1</v>
      </c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customFormat="false" ht="15" hidden="false" customHeight="false" outlineLevel="0" collapsed="false">
      <c r="A473" s="3" t="s">
        <v>67</v>
      </c>
      <c r="B473" s="3" t="s">
        <v>141</v>
      </c>
      <c r="C473" s="3" t="s">
        <v>1257</v>
      </c>
      <c r="D473" s="3" t="s">
        <v>1258</v>
      </c>
      <c r="E473" s="3" t="n">
        <v>0.5</v>
      </c>
      <c r="F473" s="6" t="n">
        <f aca="false">H473*Pesos!$B$2+I473*Pesos!$B$3+J473*Pesos!$B$4+K473*Pesos!$B$5+L473*Pesos!$B$6+M473*Pesos!$B$7+N473*Pesos!$B$8+O473*Pesos!$B$9+P473*Pesos!$B$10+Q473*Pesos!$B$11+R473*Pesos!$B$12+S473*Pesos!$B$13+T473*Pesos!$B$14+U473*Pesos!$B$15+V473*Pesos!$B$16+W473*Pesos!$B$17+X473*Pesos!$B$18+Y473*Pesos!$B$19+Z473*Pesos!$B$20+AA473*Pesos!$B$21+AB473*Pesos!$B$22+AC473*Pesos!$B$23+AD473*Pesos!$B$24+AE473*Pesos!$B$25+AF473*Pesos!$B$26+AG473*Pesos!$B$27+AH473*Pesos!$B$28+AI473*Pesos!$B$29+AJ473*Pesos!$B$30+AK473*Pesos!$B$31+AL473*Pesos!$B$32+AM473*Pesos!$B$33+AN473*Pesos!$B$34+AO473*Pesos!$B$35+AP473*Pesos!$B$36+AQ473*Pesos!$B$37+AR473*Pesos!$B$38+AS473*Pesos!$B$39+AT473*Pesos!$B$40+AU473*Pesos!$B$41+AV473*Pesos!$B$42+AW473*Pesos!$B$43+AX473*Pesos!$B$44+AY473*Pesos!$B$45+AZ473*Pesos!$B$46+BA473*Pesos!$B$47+BB473*Pesos!$B$48+BC473*Pesos!$B$49+BD473*Pesos!$B$50+BE473*Pesos!$B$51+BF473*Pesos!$B$52+BG473*Pesos!$B$53</f>
        <v>120</v>
      </c>
      <c r="G473" s="6" t="n">
        <f aca="false">E473*F473</f>
        <v>60</v>
      </c>
      <c r="H473" s="3" t="n">
        <v>63</v>
      </c>
      <c r="I473" s="3" t="n">
        <v>100</v>
      </c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 t="n">
        <v>1</v>
      </c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customFormat="false" ht="15" hidden="false" customHeight="false" outlineLevel="0" collapsed="false">
      <c r="A474" s="3" t="s">
        <v>67</v>
      </c>
      <c r="B474" s="3" t="s">
        <v>141</v>
      </c>
      <c r="C474" s="3" t="s">
        <v>1259</v>
      </c>
      <c r="D474" s="3" t="s">
        <v>1260</v>
      </c>
      <c r="E474" s="3" t="n">
        <v>0.5</v>
      </c>
      <c r="F474" s="6" t="n">
        <f aca="false">H474*Pesos!$B$2+I474*Pesos!$B$3+J474*Pesos!$B$4+K474*Pesos!$B$5+L474*Pesos!$B$6+M474*Pesos!$B$7+N474*Pesos!$B$8+O474*Pesos!$B$9+P474*Pesos!$B$10+Q474*Pesos!$B$11+R474*Pesos!$B$12+S474*Pesos!$B$13+T474*Pesos!$B$14+U474*Pesos!$B$15+V474*Pesos!$B$16+W474*Pesos!$B$17+X474*Pesos!$B$18+Y474*Pesos!$B$19+Z474*Pesos!$B$20+AA474*Pesos!$B$21+AB474*Pesos!$B$22+AC474*Pesos!$B$23+AD474*Pesos!$B$24+AE474*Pesos!$B$25+AF474*Pesos!$B$26+AG474*Pesos!$B$27+AH474*Pesos!$B$28+AI474*Pesos!$B$29+AJ474*Pesos!$B$30+AK474*Pesos!$B$31+AL474*Pesos!$B$32+AM474*Pesos!$B$33+AN474*Pesos!$B$34+AO474*Pesos!$B$35+AP474*Pesos!$B$36+AQ474*Pesos!$B$37+AR474*Pesos!$B$38+AS474*Pesos!$B$39+AT474*Pesos!$B$40+AU474*Pesos!$B$41+AV474*Pesos!$B$42+AW474*Pesos!$B$43+AX474*Pesos!$B$44+AY474*Pesos!$B$45+AZ474*Pesos!$B$46+BA474*Pesos!$B$47+BB474*Pesos!$B$48+BC474*Pesos!$B$49+BD474*Pesos!$B$50+BE474*Pesos!$B$51+BF474*Pesos!$B$52+BG474*Pesos!$B$53</f>
        <v>50</v>
      </c>
      <c r="G474" s="6" t="n">
        <f aca="false">E474*F474</f>
        <v>25</v>
      </c>
      <c r="H474" s="3" t="n">
        <v>84</v>
      </c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 t="n">
        <v>5</v>
      </c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 t="s">
        <v>1261</v>
      </c>
      <c r="BI474" s="3"/>
      <c r="BJ474" s="3"/>
      <c r="BK474" s="3"/>
      <c r="BL474" s="3"/>
      <c r="BM474" s="3"/>
    </row>
    <row r="475" customFormat="false" ht="15" hidden="false" customHeight="false" outlineLevel="0" collapsed="false">
      <c r="A475" s="3" t="s">
        <v>67</v>
      </c>
      <c r="B475" s="3" t="s">
        <v>141</v>
      </c>
      <c r="C475" s="3" t="s">
        <v>1262</v>
      </c>
      <c r="D475" s="3" t="s">
        <v>1263</v>
      </c>
      <c r="E475" s="3" t="n">
        <v>0.5</v>
      </c>
      <c r="F475" s="6" t="n">
        <f aca="false">H475*Pesos!$B$2+I475*Pesos!$B$3+J475*Pesos!$B$4+K475*Pesos!$B$5+L475*Pesos!$B$6+M475*Pesos!$B$7+N475*Pesos!$B$8+O475*Pesos!$B$9+P475*Pesos!$B$10+Q475*Pesos!$B$11+R475*Pesos!$B$12+S475*Pesos!$B$13+T475*Pesos!$B$14+U475*Pesos!$B$15+V475*Pesos!$B$16+W475*Pesos!$B$17+X475*Pesos!$B$18+Y475*Pesos!$B$19+Z475*Pesos!$B$20+AA475*Pesos!$B$21+AB475*Pesos!$B$22+AC475*Pesos!$B$23+AD475*Pesos!$B$24+AE475*Pesos!$B$25+AF475*Pesos!$B$26+AG475*Pesos!$B$27+AH475*Pesos!$B$28+AI475*Pesos!$B$29+AJ475*Pesos!$B$30+AK475*Pesos!$B$31+AL475*Pesos!$B$32+AM475*Pesos!$B$33+AN475*Pesos!$B$34+AO475*Pesos!$B$35+AP475*Pesos!$B$36+AQ475*Pesos!$B$37+AR475*Pesos!$B$38+AS475*Pesos!$B$39+AT475*Pesos!$B$40+AU475*Pesos!$B$41+AV475*Pesos!$B$42+AW475*Pesos!$B$43+AX475*Pesos!$B$44+AY475*Pesos!$B$45+AZ475*Pesos!$B$46+BA475*Pesos!$B$47+BB475*Pesos!$B$48+BC475*Pesos!$B$49+BD475*Pesos!$B$50+BE475*Pesos!$B$51+BF475*Pesos!$B$52+BG475*Pesos!$B$53</f>
        <v>1009.5</v>
      </c>
      <c r="G475" s="6" t="n">
        <f aca="false">E475*F475</f>
        <v>504.75</v>
      </c>
      <c r="H475" s="3" t="n">
        <v>105</v>
      </c>
      <c r="I475" s="3"/>
      <c r="J475" s="3"/>
      <c r="K475" s="3"/>
      <c r="L475" s="3"/>
      <c r="M475" s="3"/>
      <c r="N475" s="3"/>
      <c r="O475" s="3"/>
      <c r="P475" s="3" t="n">
        <v>1</v>
      </c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 t="n">
        <v>0.15</v>
      </c>
      <c r="AB475" s="3" t="n">
        <v>15</v>
      </c>
      <c r="AC475" s="3"/>
      <c r="AD475" s="3"/>
      <c r="AE475" s="3"/>
      <c r="AF475" s="3"/>
      <c r="AG475" s="3" t="n">
        <v>10</v>
      </c>
      <c r="AH475" s="3"/>
      <c r="AI475" s="3" t="n">
        <v>10</v>
      </c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 t="s">
        <v>1263</v>
      </c>
      <c r="BI475" s="3"/>
      <c r="BJ475" s="3"/>
      <c r="BK475" s="3"/>
      <c r="BL475" s="3"/>
      <c r="BM475" s="3"/>
    </row>
    <row r="476" customFormat="false" ht="15" hidden="false" customHeight="false" outlineLevel="0" collapsed="false">
      <c r="A476" s="3" t="s">
        <v>67</v>
      </c>
      <c r="B476" s="3" t="s">
        <v>141</v>
      </c>
      <c r="C476" s="3" t="s">
        <v>1264</v>
      </c>
      <c r="D476" s="3" t="s">
        <v>1265</v>
      </c>
      <c r="E476" s="3" t="n">
        <v>0.5</v>
      </c>
      <c r="F476" s="6" t="n">
        <f aca="false">H476*Pesos!$B$2+I476*Pesos!$B$3+J476*Pesos!$B$4+K476*Pesos!$B$5+L476*Pesos!$B$6+M476*Pesos!$B$7+N476*Pesos!$B$8+O476*Pesos!$B$9+P476*Pesos!$B$10+Q476*Pesos!$B$11+R476*Pesos!$B$12+S476*Pesos!$B$13+T476*Pesos!$B$14+U476*Pesos!$B$15+V476*Pesos!$B$16+W476*Pesos!$B$17+X476*Pesos!$B$18+Y476*Pesos!$B$19+Z476*Pesos!$B$20+AA476*Pesos!$B$21+AB476*Pesos!$B$22+AC476*Pesos!$B$23+AD476*Pesos!$B$24+AE476*Pesos!$B$25+AF476*Pesos!$B$26+AG476*Pesos!$B$27+AH476*Pesos!$B$28+AI476*Pesos!$B$29+AJ476*Pesos!$B$30+AK476*Pesos!$B$31+AL476*Pesos!$B$32+AM476*Pesos!$B$33+AN476*Pesos!$B$34+AO476*Pesos!$B$35+AP476*Pesos!$B$36+AQ476*Pesos!$B$37+AR476*Pesos!$B$38+AS476*Pesos!$B$39+AT476*Pesos!$B$40+AU476*Pesos!$B$41+AV476*Pesos!$B$42+AW476*Pesos!$B$43+AX476*Pesos!$B$44+AY476*Pesos!$B$45+AZ476*Pesos!$B$46+BA476*Pesos!$B$47+BB476*Pesos!$B$48+BC476*Pesos!$B$49+BD476*Pesos!$B$50+BE476*Pesos!$B$51+BF476*Pesos!$B$52+BG476*Pesos!$B$53</f>
        <v>40</v>
      </c>
      <c r="G476" s="6" t="n">
        <f aca="false">E476*F476</f>
        <v>20</v>
      </c>
      <c r="H476" s="3" t="n">
        <v>105</v>
      </c>
      <c r="I476" s="3"/>
      <c r="J476" s="3"/>
      <c r="K476" s="3" t="n">
        <v>5</v>
      </c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 t="s">
        <v>1266</v>
      </c>
      <c r="BL476" s="3"/>
      <c r="BM476" s="3"/>
    </row>
    <row r="477" customFormat="false" ht="15" hidden="false" customHeight="false" outlineLevel="0" collapsed="false">
      <c r="A477" s="3" t="s">
        <v>67</v>
      </c>
      <c r="B477" s="3" t="s">
        <v>142</v>
      </c>
      <c r="C477" s="3" t="s">
        <v>1250</v>
      </c>
      <c r="D477" s="3" t="s">
        <v>1267</v>
      </c>
      <c r="E477" s="3" t="n">
        <v>0.5</v>
      </c>
      <c r="F477" s="6" t="n">
        <f aca="false">H477*Pesos!$B$2+I477*Pesos!$B$3+J477*Pesos!$B$4+K477*Pesos!$B$5+L477*Pesos!$B$6+M477*Pesos!$B$7+N477*Pesos!$B$8+O477*Pesos!$B$9+P477*Pesos!$B$10+Q477*Pesos!$B$11+R477*Pesos!$B$12+S477*Pesos!$B$13+T477*Pesos!$B$14+U477*Pesos!$B$15+V477*Pesos!$B$16+W477*Pesos!$B$17+X477*Pesos!$B$18+Y477*Pesos!$B$19+Z477*Pesos!$B$20+AA477*Pesos!$B$21+AB477*Pesos!$B$22+AC477*Pesos!$B$23+AD477*Pesos!$B$24+AE477*Pesos!$B$25+AF477*Pesos!$B$26+AG477*Pesos!$B$27+AH477*Pesos!$B$28+AI477*Pesos!$B$29+AJ477*Pesos!$B$30+AK477*Pesos!$B$31+AL477*Pesos!$B$32+AM477*Pesos!$B$33+AN477*Pesos!$B$34+AO477*Pesos!$B$35+AP477*Pesos!$B$36+AQ477*Pesos!$B$37+AR477*Pesos!$B$38+AS477*Pesos!$B$39+AT477*Pesos!$B$40+AU477*Pesos!$B$41+AV477*Pesos!$B$42+AW477*Pesos!$B$43+AX477*Pesos!$B$44+AY477*Pesos!$B$45+AZ477*Pesos!$B$46+BA477*Pesos!$B$47+BB477*Pesos!$B$48+BC477*Pesos!$B$49+BD477*Pesos!$B$50+BE477*Pesos!$B$51+BF477*Pesos!$B$52+BG477*Pesos!$B$53</f>
        <v>207.5</v>
      </c>
      <c r="G477" s="6" t="n">
        <f aca="false">E477*F477</f>
        <v>103.75</v>
      </c>
      <c r="H477" s="3" t="n">
        <v>35</v>
      </c>
      <c r="I477" s="3"/>
      <c r="J477" s="3" t="n">
        <v>-10</v>
      </c>
      <c r="K477" s="3" t="n">
        <v>20</v>
      </c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 t="n">
        <v>5.5</v>
      </c>
      <c r="AR477" s="3"/>
      <c r="AS477" s="3" t="n">
        <v>6.5</v>
      </c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 t="s">
        <v>1268</v>
      </c>
      <c r="BI477" s="3"/>
      <c r="BJ477" s="3" t="s">
        <v>1269</v>
      </c>
      <c r="BK477" s="3" t="s">
        <v>1270</v>
      </c>
      <c r="BL477" s="3"/>
      <c r="BM477" s="3" t="s">
        <v>1247</v>
      </c>
    </row>
    <row r="478" customFormat="false" ht="15" hidden="false" customHeight="false" outlineLevel="0" collapsed="false">
      <c r="A478" s="3" t="s">
        <v>67</v>
      </c>
      <c r="B478" s="3" t="s">
        <v>142</v>
      </c>
      <c r="C478" s="3" t="s">
        <v>1271</v>
      </c>
      <c r="D478" s="3" t="s">
        <v>1272</v>
      </c>
      <c r="E478" s="3" t="n">
        <v>0.5</v>
      </c>
      <c r="F478" s="6" t="n">
        <f aca="false">H478*Pesos!$B$2+I478*Pesos!$B$3+J478*Pesos!$B$4+K478*Pesos!$B$5+L478*Pesos!$B$6+M478*Pesos!$B$7+N478*Pesos!$B$8+O478*Pesos!$B$9+P478*Pesos!$B$10+Q478*Pesos!$B$11+R478*Pesos!$B$12+S478*Pesos!$B$13+T478*Pesos!$B$14+U478*Pesos!$B$15+V478*Pesos!$B$16+W478*Pesos!$B$17+X478*Pesos!$B$18+Y478*Pesos!$B$19+Z478*Pesos!$B$20+AA478*Pesos!$B$21+AB478*Pesos!$B$22+AC478*Pesos!$B$23+AD478*Pesos!$B$24+AE478*Pesos!$B$25+AF478*Pesos!$B$26+AG478*Pesos!$B$27+AH478*Pesos!$B$28+AI478*Pesos!$B$29+AJ478*Pesos!$B$30+AK478*Pesos!$B$31+AL478*Pesos!$B$32+AM478*Pesos!$B$33+AN478*Pesos!$B$34+AO478*Pesos!$B$35+AP478*Pesos!$B$36+AQ478*Pesos!$B$37+AR478*Pesos!$B$38+AS478*Pesos!$B$39+AT478*Pesos!$B$40+AU478*Pesos!$B$41+AV478*Pesos!$B$42+AW478*Pesos!$B$43+AX478*Pesos!$B$44+AY478*Pesos!$B$45+AZ478*Pesos!$B$46+BA478*Pesos!$B$47+BB478*Pesos!$B$48+BC478*Pesos!$B$49+BD478*Pesos!$B$50+BE478*Pesos!$B$51+BF478*Pesos!$B$52+BG478*Pesos!$B$53</f>
        <v>110</v>
      </c>
      <c r="G478" s="6" t="n">
        <f aca="false">E478*F478</f>
        <v>55</v>
      </c>
      <c r="H478" s="3" t="n">
        <v>63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 t="n">
        <v>5</v>
      </c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 t="n">
        <v>6</v>
      </c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 t="s">
        <v>1272</v>
      </c>
      <c r="BI478" s="3"/>
      <c r="BJ478" s="3" t="s">
        <v>1273</v>
      </c>
      <c r="BK478" s="3"/>
      <c r="BL478" s="3"/>
      <c r="BM478" s="3"/>
    </row>
    <row r="479" customFormat="false" ht="15" hidden="false" customHeight="false" outlineLevel="0" collapsed="false">
      <c r="A479" s="3" t="s">
        <v>67</v>
      </c>
      <c r="B479" s="3" t="s">
        <v>142</v>
      </c>
      <c r="C479" s="3" t="s">
        <v>1274</v>
      </c>
      <c r="D479" s="3" t="s">
        <v>1275</v>
      </c>
      <c r="E479" s="3" t="n">
        <v>0.5</v>
      </c>
      <c r="F479" s="6" t="n">
        <f aca="false">H479*Pesos!$B$2+I479*Pesos!$B$3+J479*Pesos!$B$4+K479*Pesos!$B$5+L479*Pesos!$B$6+M479*Pesos!$B$7+N479*Pesos!$B$8+O479*Pesos!$B$9+P479*Pesos!$B$10+Q479*Pesos!$B$11+R479*Pesos!$B$12+S479*Pesos!$B$13+T479*Pesos!$B$14+U479*Pesos!$B$15+V479*Pesos!$B$16+W479*Pesos!$B$17+X479*Pesos!$B$18+Y479*Pesos!$B$19+Z479*Pesos!$B$20+AA479*Pesos!$B$21+AB479*Pesos!$B$22+AC479*Pesos!$B$23+AD479*Pesos!$B$24+AE479*Pesos!$B$25+AF479*Pesos!$B$26+AG479*Pesos!$B$27+AH479*Pesos!$B$28+AI479*Pesos!$B$29+AJ479*Pesos!$B$30+AK479*Pesos!$B$31+AL479*Pesos!$B$32+AM479*Pesos!$B$33+AN479*Pesos!$B$34+AO479*Pesos!$B$35+AP479*Pesos!$B$36+AQ479*Pesos!$B$37+AR479*Pesos!$B$38+AS479*Pesos!$B$39+AT479*Pesos!$B$40+AU479*Pesos!$B$41+AV479*Pesos!$B$42+AW479*Pesos!$B$43+AX479*Pesos!$B$44+AY479*Pesos!$B$45+AZ479*Pesos!$B$46+BA479*Pesos!$B$47+BB479*Pesos!$B$48+BC479*Pesos!$B$49+BD479*Pesos!$B$50+BE479*Pesos!$B$51+BF479*Pesos!$B$52+BG479*Pesos!$B$53</f>
        <v>180</v>
      </c>
      <c r="G479" s="6" t="n">
        <f aca="false">E479*F479</f>
        <v>90</v>
      </c>
      <c r="H479" s="3" t="n">
        <v>63</v>
      </c>
      <c r="I479" s="3" t="n">
        <v>150</v>
      </c>
      <c r="J479" s="3" t="n">
        <v>3</v>
      </c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customFormat="false" ht="15" hidden="false" customHeight="false" outlineLevel="0" collapsed="false">
      <c r="A480" s="3" t="s">
        <v>67</v>
      </c>
      <c r="B480" s="3" t="s">
        <v>142</v>
      </c>
      <c r="C480" s="3" t="s">
        <v>1276</v>
      </c>
      <c r="D480" s="3" t="s">
        <v>1277</v>
      </c>
      <c r="E480" s="3" t="n">
        <v>0.5</v>
      </c>
      <c r="F480" s="6" t="n">
        <f aca="false">H480*Pesos!$B$2+I480*Pesos!$B$3+J480*Pesos!$B$4+K480*Pesos!$B$5+L480*Pesos!$B$6+M480*Pesos!$B$7+N480*Pesos!$B$8+O480*Pesos!$B$9+P480*Pesos!$B$10+Q480*Pesos!$B$11+R480*Pesos!$B$12+S480*Pesos!$B$13+T480*Pesos!$B$14+U480*Pesos!$B$15+V480*Pesos!$B$16+W480*Pesos!$B$17+X480*Pesos!$B$18+Y480*Pesos!$B$19+Z480*Pesos!$B$20+AA480*Pesos!$B$21+AB480*Pesos!$B$22+AC480*Pesos!$B$23+AD480*Pesos!$B$24+AE480*Pesos!$B$25+AF480*Pesos!$B$26+AG480*Pesos!$B$27+AH480*Pesos!$B$28+AI480*Pesos!$B$29+AJ480*Pesos!$B$30+AK480*Pesos!$B$31+AL480*Pesos!$B$32+AM480*Pesos!$B$33+AN480*Pesos!$B$34+AO480*Pesos!$B$35+AP480*Pesos!$B$36+AQ480*Pesos!$B$37+AR480*Pesos!$B$38+AS480*Pesos!$B$39+AT480*Pesos!$B$40+AU480*Pesos!$B$41+AV480*Pesos!$B$42+AW480*Pesos!$B$43+AX480*Pesos!$B$44+AY480*Pesos!$B$45+AZ480*Pesos!$B$46+BA480*Pesos!$B$47+BB480*Pesos!$B$48+BC480*Pesos!$B$49+BD480*Pesos!$B$50+BE480*Pesos!$B$51+BF480*Pesos!$B$52+BG480*Pesos!$B$53</f>
        <v>505</v>
      </c>
      <c r="G480" s="6" t="n">
        <f aca="false">E480*F480</f>
        <v>252.5</v>
      </c>
      <c r="H480" s="3" t="n">
        <v>49</v>
      </c>
      <c r="I480" s="3"/>
      <c r="J480" s="3"/>
      <c r="K480" s="3" t="n">
        <v>5</v>
      </c>
      <c r="L480" s="3" t="n">
        <v>200000</v>
      </c>
      <c r="M480" s="3" t="n">
        <v>50</v>
      </c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 t="n">
        <v>1.5</v>
      </c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 t="s">
        <v>1278</v>
      </c>
      <c r="BK480" s="3"/>
      <c r="BL480" s="3"/>
      <c r="BM480" s="3"/>
    </row>
    <row r="481" customFormat="false" ht="15" hidden="false" customHeight="false" outlineLevel="0" collapsed="false">
      <c r="A481" s="3" t="s">
        <v>67</v>
      </c>
      <c r="B481" s="3" t="s">
        <v>142</v>
      </c>
      <c r="C481" s="3" t="s">
        <v>1279</v>
      </c>
      <c r="D481" s="3" t="s">
        <v>1280</v>
      </c>
      <c r="E481" s="3" t="n">
        <v>0.5</v>
      </c>
      <c r="F481" s="6" t="n">
        <f aca="false">H481*Pesos!$B$2+I481*Pesos!$B$3+J481*Pesos!$B$4+K481*Pesos!$B$5+L481*Pesos!$B$6+M481*Pesos!$B$7+N481*Pesos!$B$8+O481*Pesos!$B$9+P481*Pesos!$B$10+Q481*Pesos!$B$11+R481*Pesos!$B$12+S481*Pesos!$B$13+T481*Pesos!$B$14+U481*Pesos!$B$15+V481*Pesos!$B$16+W481*Pesos!$B$17+X481*Pesos!$B$18+Y481*Pesos!$B$19+Z481*Pesos!$B$20+AA481*Pesos!$B$21+AB481*Pesos!$B$22+AC481*Pesos!$B$23+AD481*Pesos!$B$24+AE481*Pesos!$B$25+AF481*Pesos!$B$26+AG481*Pesos!$B$27+AH481*Pesos!$B$28+AI481*Pesos!$B$29+AJ481*Pesos!$B$30+AK481*Pesos!$B$31+AL481*Pesos!$B$32+AM481*Pesos!$B$33+AN481*Pesos!$B$34+AO481*Pesos!$B$35+AP481*Pesos!$B$36+AQ481*Pesos!$B$37+AR481*Pesos!$B$38+AS481*Pesos!$B$39+AT481*Pesos!$B$40+AU481*Pesos!$B$41+AV481*Pesos!$B$42+AW481*Pesos!$B$43+AX481*Pesos!$B$44+AY481*Pesos!$B$45+AZ481*Pesos!$B$46+BA481*Pesos!$B$47+BB481*Pesos!$B$48+BC481*Pesos!$B$49+BD481*Pesos!$B$50+BE481*Pesos!$B$51+BF481*Pesos!$B$52+BG481*Pesos!$B$53</f>
        <v>255</v>
      </c>
      <c r="G481" s="6" t="n">
        <f aca="false">E481*F481</f>
        <v>127.5</v>
      </c>
      <c r="H481" s="3" t="n">
        <v>84</v>
      </c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 t="n">
        <v>-5</v>
      </c>
      <c r="AC481" s="3" t="n">
        <v>10</v>
      </c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 t="n">
        <v>15</v>
      </c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 t="s">
        <v>1281</v>
      </c>
      <c r="BI481" s="3"/>
      <c r="BJ481" s="3"/>
      <c r="BK481" s="3"/>
      <c r="BL481" s="3"/>
      <c r="BM481" s="3"/>
    </row>
    <row r="482" customFormat="false" ht="15" hidden="false" customHeight="false" outlineLevel="0" collapsed="false">
      <c r="A482" s="3" t="s">
        <v>67</v>
      </c>
      <c r="B482" s="3" t="s">
        <v>142</v>
      </c>
      <c r="C482" s="3" t="s">
        <v>1282</v>
      </c>
      <c r="D482" s="3" t="s">
        <v>1283</v>
      </c>
      <c r="E482" s="3" t="n">
        <v>0.5</v>
      </c>
      <c r="F482" s="6" t="n">
        <f aca="false">H482*Pesos!$B$2+I482*Pesos!$B$3+J482*Pesos!$B$4+K482*Pesos!$B$5+L482*Pesos!$B$6+M482*Pesos!$B$7+N482*Pesos!$B$8+O482*Pesos!$B$9+P482*Pesos!$B$10+Q482*Pesos!$B$11+R482*Pesos!$B$12+S482*Pesos!$B$13+T482*Pesos!$B$14+U482*Pesos!$B$15+V482*Pesos!$B$16+W482*Pesos!$B$17+X482*Pesos!$B$18+Y482*Pesos!$B$19+Z482*Pesos!$B$20+AA482*Pesos!$B$21+AB482*Pesos!$B$22+AC482*Pesos!$B$23+AD482*Pesos!$B$24+AE482*Pesos!$B$25+AF482*Pesos!$B$26+AG482*Pesos!$B$27+AH482*Pesos!$B$28+AI482*Pesos!$B$29+AJ482*Pesos!$B$30+AK482*Pesos!$B$31+AL482*Pesos!$B$32+AM482*Pesos!$B$33+AN482*Pesos!$B$34+AO482*Pesos!$B$35+AP482*Pesos!$B$36+AQ482*Pesos!$B$37+AR482*Pesos!$B$38+AS482*Pesos!$B$39+AT482*Pesos!$B$40+AU482*Pesos!$B$41+AV482*Pesos!$B$42+AW482*Pesos!$B$43+AX482*Pesos!$B$44+AY482*Pesos!$B$45+AZ482*Pesos!$B$46+BA482*Pesos!$B$47+BB482*Pesos!$B$48+BC482*Pesos!$B$49+BD482*Pesos!$B$50+BE482*Pesos!$B$51+BF482*Pesos!$B$52+BG482*Pesos!$B$53</f>
        <v>80</v>
      </c>
      <c r="G482" s="6" t="n">
        <f aca="false">E482*F482</f>
        <v>40</v>
      </c>
      <c r="H482" s="3" t="n">
        <v>84</v>
      </c>
      <c r="I482" s="3"/>
      <c r="J482" s="3"/>
      <c r="K482" s="3"/>
      <c r="L482" s="3"/>
      <c r="M482" s="3" t="n">
        <v>50</v>
      </c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 t="n">
        <v>1</v>
      </c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 t="n">
        <v>1</v>
      </c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 t="s">
        <v>1273</v>
      </c>
      <c r="BK482" s="3"/>
      <c r="BL482" s="3"/>
      <c r="BM482" s="3"/>
    </row>
    <row r="483" customFormat="false" ht="15" hidden="false" customHeight="false" outlineLevel="0" collapsed="false">
      <c r="A483" s="3" t="s">
        <v>67</v>
      </c>
      <c r="B483" s="3" t="s">
        <v>142</v>
      </c>
      <c r="C483" s="3" t="s">
        <v>1284</v>
      </c>
      <c r="D483" s="3" t="s">
        <v>1285</v>
      </c>
      <c r="E483" s="3" t="n">
        <v>0.5</v>
      </c>
      <c r="F483" s="6" t="n">
        <f aca="false">H483*Pesos!$B$2+I483*Pesos!$B$3+J483*Pesos!$B$4+K483*Pesos!$B$5+L483*Pesos!$B$6+M483*Pesos!$B$7+N483*Pesos!$B$8+O483*Pesos!$B$9+P483*Pesos!$B$10+Q483*Pesos!$B$11+R483*Pesos!$B$12+S483*Pesos!$B$13+T483*Pesos!$B$14+U483*Pesos!$B$15+V483*Pesos!$B$16+W483*Pesos!$B$17+X483*Pesos!$B$18+Y483*Pesos!$B$19+Z483*Pesos!$B$20+AA483*Pesos!$B$21+AB483*Pesos!$B$22+AC483*Pesos!$B$23+AD483*Pesos!$B$24+AE483*Pesos!$B$25+AF483*Pesos!$B$26+AG483*Pesos!$B$27+AH483*Pesos!$B$28+AI483*Pesos!$B$29+AJ483*Pesos!$B$30+AK483*Pesos!$B$31+AL483*Pesos!$B$32+AM483*Pesos!$B$33+AN483*Pesos!$B$34+AO483*Pesos!$B$35+AP483*Pesos!$B$36+AQ483*Pesos!$B$37+AR483*Pesos!$B$38+AS483*Pesos!$B$39+AT483*Pesos!$B$40+AU483*Pesos!$B$41+AV483*Pesos!$B$42+AW483*Pesos!$B$43+AX483*Pesos!$B$44+AY483*Pesos!$B$45+AZ483*Pesos!$B$46+BA483*Pesos!$B$47+BB483*Pesos!$B$48+BC483*Pesos!$B$49+BD483*Pesos!$B$50+BE483*Pesos!$B$51+BF483*Pesos!$B$52+BG483*Pesos!$B$53</f>
        <v>665</v>
      </c>
      <c r="G483" s="6" t="n">
        <f aca="false">E483*F483</f>
        <v>332.5</v>
      </c>
      <c r="H483" s="3" t="n">
        <v>105</v>
      </c>
      <c r="I483" s="3"/>
      <c r="J483" s="3"/>
      <c r="K483" s="3"/>
      <c r="L483" s="3"/>
      <c r="M483" s="3"/>
      <c r="N483" s="3"/>
      <c r="O483" s="3"/>
      <c r="P483" s="3" t="n">
        <v>1</v>
      </c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 t="n">
        <v>5</v>
      </c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 t="n">
        <v>5</v>
      </c>
      <c r="AR483" s="3" t="n">
        <v>10</v>
      </c>
      <c r="AS483" s="3" t="n">
        <v>12</v>
      </c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 t="s">
        <v>1286</v>
      </c>
      <c r="BI483" s="3"/>
      <c r="BJ483" s="3" t="s">
        <v>1287</v>
      </c>
      <c r="BK483" s="3"/>
      <c r="BL483" s="3"/>
      <c r="BM483" s="3"/>
    </row>
    <row r="484" customFormat="false" ht="15" hidden="false" customHeight="false" outlineLevel="0" collapsed="false">
      <c r="A484" s="3" t="s">
        <v>67</v>
      </c>
      <c r="B484" s="3" t="s">
        <v>80</v>
      </c>
      <c r="C484" s="3" t="s">
        <v>1288</v>
      </c>
      <c r="D484" s="3" t="s">
        <v>1289</v>
      </c>
      <c r="E484" s="3" t="n">
        <v>1</v>
      </c>
      <c r="F484" s="6" t="n">
        <f aca="false">H484*Pesos!$B$2+I484*Pesos!$B$3+J484*Pesos!$B$4+K484*Pesos!$B$5+L484*Pesos!$B$6+M484*Pesos!$B$7+N484*Pesos!$B$8+O484*Pesos!$B$9+P484*Pesos!$B$10+Q484*Pesos!$B$11+R484*Pesos!$B$12+S484*Pesos!$B$13+T484*Pesos!$B$14+U484*Pesos!$B$15+V484*Pesos!$B$16+W484*Pesos!$B$17+X484*Pesos!$B$18+Y484*Pesos!$B$19+Z484*Pesos!$B$20+AA484*Pesos!$B$21+AB484*Pesos!$B$22+AC484*Pesos!$B$23+AD484*Pesos!$B$24+AE484*Pesos!$B$25+AF484*Pesos!$B$26+AG484*Pesos!$B$27+AH484*Pesos!$B$28+AI484*Pesos!$B$29+AJ484*Pesos!$B$30+AK484*Pesos!$B$31+AL484*Pesos!$B$32+AM484*Pesos!$B$33+AN484*Pesos!$B$34+AO484*Pesos!$B$35+AP484*Pesos!$B$36+AQ484*Pesos!$B$37+AR484*Pesos!$B$38+AS484*Pesos!$B$39+AT484*Pesos!$B$40+AU484*Pesos!$B$41+AV484*Pesos!$B$42+AW484*Pesos!$B$43+AX484*Pesos!$B$44+AY484*Pesos!$B$45+AZ484*Pesos!$B$46+BA484*Pesos!$B$47+BB484*Pesos!$B$48+BC484*Pesos!$B$49+BD484*Pesos!$B$50+BE484*Pesos!$B$51+BF484*Pesos!$B$52+BG484*Pesos!$B$53</f>
        <v>170</v>
      </c>
      <c r="G484" s="6" t="n">
        <f aca="false">E484*F484</f>
        <v>170</v>
      </c>
      <c r="H484" s="3" t="n">
        <v>70</v>
      </c>
      <c r="I484" s="3" t="n">
        <v>120</v>
      </c>
      <c r="J484" s="3" t="n">
        <v>5</v>
      </c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customFormat="false" ht="15" hidden="false" customHeight="false" outlineLevel="0" collapsed="false">
      <c r="A485" s="3" t="s">
        <v>67</v>
      </c>
      <c r="B485" s="3" t="s">
        <v>80</v>
      </c>
      <c r="C485" s="3" t="s">
        <v>1290</v>
      </c>
      <c r="D485" s="3" t="s">
        <v>1291</v>
      </c>
      <c r="E485" s="3" t="n">
        <v>1</v>
      </c>
      <c r="F485" s="6" t="n">
        <f aca="false">H485*Pesos!$B$2+I485*Pesos!$B$3+J485*Pesos!$B$4+K485*Pesos!$B$5+L485*Pesos!$B$6+M485*Pesos!$B$7+N485*Pesos!$B$8+O485*Pesos!$B$9+P485*Pesos!$B$10+Q485*Pesos!$B$11+R485*Pesos!$B$12+S485*Pesos!$B$13+T485*Pesos!$B$14+U485*Pesos!$B$15+V485*Pesos!$B$16+W485*Pesos!$B$17+X485*Pesos!$B$18+Y485*Pesos!$B$19+Z485*Pesos!$B$20+AA485*Pesos!$B$21+AB485*Pesos!$B$22+AC485*Pesos!$B$23+AD485*Pesos!$B$24+AE485*Pesos!$B$25+AF485*Pesos!$B$26+AG485*Pesos!$B$27+AH485*Pesos!$B$28+AI485*Pesos!$B$29+AJ485*Pesos!$B$30+AK485*Pesos!$B$31+AL485*Pesos!$B$32+AM485*Pesos!$B$33+AN485*Pesos!$B$34+AO485*Pesos!$B$35+AP485*Pesos!$B$36+AQ485*Pesos!$B$37+AR485*Pesos!$B$38+AS485*Pesos!$B$39+AT485*Pesos!$B$40+AU485*Pesos!$B$41+AV485*Pesos!$B$42+AW485*Pesos!$B$43+AX485*Pesos!$B$44+AY485*Pesos!$B$45+AZ485*Pesos!$B$46+BA485*Pesos!$B$47+BB485*Pesos!$B$48+BC485*Pesos!$B$49+BD485*Pesos!$B$50+BE485*Pesos!$B$51+BF485*Pesos!$B$52+BG485*Pesos!$B$53</f>
        <v>199.5</v>
      </c>
      <c r="G485" s="6" t="n">
        <f aca="false">E485*F485</f>
        <v>199.5</v>
      </c>
      <c r="H485" s="3" t="n">
        <v>70</v>
      </c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 t="n">
        <v>0.15</v>
      </c>
      <c r="AB485" s="3" t="n">
        <v>5</v>
      </c>
      <c r="AC485" s="3" t="n">
        <v>5</v>
      </c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 t="s">
        <v>1291</v>
      </c>
      <c r="BI485" s="3"/>
      <c r="BJ485" s="3"/>
      <c r="BK485" s="3"/>
      <c r="BL485" s="3"/>
      <c r="BM485" s="3"/>
    </row>
    <row r="486" customFormat="false" ht="15" hidden="false" customHeight="false" outlineLevel="0" collapsed="false">
      <c r="A486" s="3" t="s">
        <v>67</v>
      </c>
      <c r="B486" s="3" t="s">
        <v>80</v>
      </c>
      <c r="C486" s="3" t="s">
        <v>1292</v>
      </c>
      <c r="D486" s="3" t="s">
        <v>1293</v>
      </c>
      <c r="E486" s="3" t="n">
        <v>1</v>
      </c>
      <c r="F486" s="6" t="n">
        <f aca="false">H486*Pesos!$B$2+I486*Pesos!$B$3+J486*Pesos!$B$4+K486*Pesos!$B$5+L486*Pesos!$B$6+M486*Pesos!$B$7+N486*Pesos!$B$8+O486*Pesos!$B$9+P486*Pesos!$B$10+Q486*Pesos!$B$11+R486*Pesos!$B$12+S486*Pesos!$B$13+T486*Pesos!$B$14+U486*Pesos!$B$15+V486*Pesos!$B$16+W486*Pesos!$B$17+X486*Pesos!$B$18+Y486*Pesos!$B$19+Z486*Pesos!$B$20+AA486*Pesos!$B$21+AB486*Pesos!$B$22+AC486*Pesos!$B$23+AD486*Pesos!$B$24+AE486*Pesos!$B$25+AF486*Pesos!$B$26+AG486*Pesos!$B$27+AH486*Pesos!$B$28+AI486*Pesos!$B$29+AJ486*Pesos!$B$30+AK486*Pesos!$B$31+AL486*Pesos!$B$32+AM486*Pesos!$B$33+AN486*Pesos!$B$34+AO486*Pesos!$B$35+AP486*Pesos!$B$36+AQ486*Pesos!$B$37+AR486*Pesos!$B$38+AS486*Pesos!$B$39+AT486*Pesos!$B$40+AU486*Pesos!$B$41+AV486*Pesos!$B$42+AW486*Pesos!$B$43+AX486*Pesos!$B$44+AY486*Pesos!$B$45+AZ486*Pesos!$B$46+BA486*Pesos!$B$47+BB486*Pesos!$B$48+BC486*Pesos!$B$49+BD486*Pesos!$B$50+BE486*Pesos!$B$51+BF486*Pesos!$B$52+BG486*Pesos!$B$53</f>
        <v>65</v>
      </c>
      <c r="G486" s="6" t="n">
        <f aca="false">E486*F486</f>
        <v>65</v>
      </c>
      <c r="H486" s="3" t="n">
        <v>70</v>
      </c>
      <c r="I486" s="3"/>
      <c r="J486" s="3"/>
      <c r="K486" s="3" t="n">
        <v>5</v>
      </c>
      <c r="L486" s="3"/>
      <c r="M486" s="3" t="n">
        <v>25</v>
      </c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customFormat="false" ht="15" hidden="false" customHeight="false" outlineLevel="0" collapsed="false">
      <c r="A487" s="3" t="s">
        <v>67</v>
      </c>
      <c r="B487" s="3" t="s">
        <v>80</v>
      </c>
      <c r="C487" s="3" t="s">
        <v>1294</v>
      </c>
      <c r="D487" s="3" t="s">
        <v>1295</v>
      </c>
      <c r="E487" s="3" t="n">
        <v>1</v>
      </c>
      <c r="F487" s="6" t="n">
        <f aca="false">H487*Pesos!$B$2+I487*Pesos!$B$3+J487*Pesos!$B$4+K487*Pesos!$B$5+L487*Pesos!$B$6+M487*Pesos!$B$7+N487*Pesos!$B$8+O487*Pesos!$B$9+P487*Pesos!$B$10+Q487*Pesos!$B$11+R487*Pesos!$B$12+S487*Pesos!$B$13+T487*Pesos!$B$14+U487*Pesos!$B$15+V487*Pesos!$B$16+W487*Pesos!$B$17+X487*Pesos!$B$18+Y487*Pesos!$B$19+Z487*Pesos!$B$20+AA487*Pesos!$B$21+AB487*Pesos!$B$22+AC487*Pesos!$B$23+AD487*Pesos!$B$24+AE487*Pesos!$B$25+AF487*Pesos!$B$26+AG487*Pesos!$B$27+AH487*Pesos!$B$28+AI487*Pesos!$B$29+AJ487*Pesos!$B$30+AK487*Pesos!$B$31+AL487*Pesos!$B$32+AM487*Pesos!$B$33+AN487*Pesos!$B$34+AO487*Pesos!$B$35+AP487*Pesos!$B$36+AQ487*Pesos!$B$37+AR487*Pesos!$B$38+AS487*Pesos!$B$39+AT487*Pesos!$B$40+AU487*Pesos!$B$41+AV487*Pesos!$B$42+AW487*Pesos!$B$43+AX487*Pesos!$B$44+AY487*Pesos!$B$45+AZ487*Pesos!$B$46+BA487*Pesos!$B$47+BB487*Pesos!$B$48+BC487*Pesos!$B$49+BD487*Pesos!$B$50+BE487*Pesos!$B$51+BF487*Pesos!$B$52+BG487*Pesos!$B$53</f>
        <v>230</v>
      </c>
      <c r="G487" s="6" t="n">
        <f aca="false">E487*F487</f>
        <v>230</v>
      </c>
      <c r="H487" s="3" t="n">
        <v>105</v>
      </c>
      <c r="I487" s="3" t="n">
        <v>50</v>
      </c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 t="n">
        <v>9</v>
      </c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customFormat="false" ht="15" hidden="false" customHeight="false" outlineLevel="0" collapsed="false">
      <c r="A488" s="3" t="s">
        <v>67</v>
      </c>
      <c r="B488" s="3" t="s">
        <v>143</v>
      </c>
      <c r="C488" s="3" t="s">
        <v>1296</v>
      </c>
      <c r="D488" s="3" t="s">
        <v>1297</v>
      </c>
      <c r="E488" s="3" t="n">
        <v>1</v>
      </c>
      <c r="F488" s="6" t="n">
        <f aca="false">H488*Pesos!$B$2+I488*Pesos!$B$3+J488*Pesos!$B$4+K488*Pesos!$B$5+L488*Pesos!$B$6+M488*Pesos!$B$7+N488*Pesos!$B$8+O488*Pesos!$B$9+P488*Pesos!$B$10+Q488*Pesos!$B$11+R488*Pesos!$B$12+S488*Pesos!$B$13+T488*Pesos!$B$14+U488*Pesos!$B$15+V488*Pesos!$B$16+W488*Pesos!$B$17+X488*Pesos!$B$18+Y488*Pesos!$B$19+Z488*Pesos!$B$20+AA488*Pesos!$B$21+AB488*Pesos!$B$22+AC488*Pesos!$B$23+AD488*Pesos!$B$24+AE488*Pesos!$B$25+AF488*Pesos!$B$26+AG488*Pesos!$B$27+AH488*Pesos!$B$28+AI488*Pesos!$B$29+AJ488*Pesos!$B$30+AK488*Pesos!$B$31+AL488*Pesos!$B$32+AM488*Pesos!$B$33+AN488*Pesos!$B$34+AO488*Pesos!$B$35+AP488*Pesos!$B$36+AQ488*Pesos!$B$37+AR488*Pesos!$B$38+AS488*Pesos!$B$39+AT488*Pesos!$B$40+AU488*Pesos!$B$41+AV488*Pesos!$B$42+AW488*Pesos!$B$43+AX488*Pesos!$B$44+AY488*Pesos!$B$45+AZ488*Pesos!$B$46+BA488*Pesos!$B$47+BB488*Pesos!$B$48+BC488*Pesos!$B$49+BD488*Pesos!$B$50+BE488*Pesos!$B$51+BF488*Pesos!$B$52+BG488*Pesos!$B$53</f>
        <v>200</v>
      </c>
      <c r="G488" s="6" t="n">
        <f aca="false">E488*F488</f>
        <v>200</v>
      </c>
      <c r="H488" s="3" t="n">
        <v>49</v>
      </c>
      <c r="I488" s="3"/>
      <c r="J488" s="3"/>
      <c r="K488" s="3"/>
      <c r="L488" s="3"/>
      <c r="M488" s="3"/>
      <c r="N488" s="3"/>
      <c r="O488" s="3"/>
      <c r="P488" s="3"/>
      <c r="Q488" s="3"/>
      <c r="R488" s="3" t="n">
        <v>2</v>
      </c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customFormat="false" ht="15" hidden="false" customHeight="false" outlineLevel="0" collapsed="false">
      <c r="A489" s="3" t="s">
        <v>67</v>
      </c>
      <c r="B489" s="3" t="s">
        <v>143</v>
      </c>
      <c r="C489" s="3" t="s">
        <v>1298</v>
      </c>
      <c r="D489" s="3" t="s">
        <v>1299</v>
      </c>
      <c r="E489" s="3" t="n">
        <v>0.5</v>
      </c>
      <c r="F489" s="6" t="n">
        <f aca="false">H489*Pesos!$B$2+I489*Pesos!$B$3+J489*Pesos!$B$4+K489*Pesos!$B$5+L489*Pesos!$B$6+M489*Pesos!$B$7+N489*Pesos!$B$8+O489*Pesos!$B$9+P489*Pesos!$B$10+Q489*Pesos!$B$11+R489*Pesos!$B$12+S489*Pesos!$B$13+T489*Pesos!$B$14+U489*Pesos!$B$15+V489*Pesos!$B$16+W489*Pesos!$B$17+X489*Pesos!$B$18+Y489*Pesos!$B$19+Z489*Pesos!$B$20+AA489*Pesos!$B$21+AB489*Pesos!$B$22+AC489*Pesos!$B$23+AD489*Pesos!$B$24+AE489*Pesos!$B$25+AF489*Pesos!$B$26+AG489*Pesos!$B$27+AH489*Pesos!$B$28+AI489*Pesos!$B$29+AJ489*Pesos!$B$30+AK489*Pesos!$B$31+AL489*Pesos!$B$32+AM489*Pesos!$B$33+AN489*Pesos!$B$34+AO489*Pesos!$B$35+AP489*Pesos!$B$36+AQ489*Pesos!$B$37+AR489*Pesos!$B$38+AS489*Pesos!$B$39+AT489*Pesos!$B$40+AU489*Pesos!$B$41+AV489*Pesos!$B$42+AW489*Pesos!$B$43+AX489*Pesos!$B$44+AY489*Pesos!$B$45+AZ489*Pesos!$B$46+BA489*Pesos!$B$47+BB489*Pesos!$B$48+BC489*Pesos!$B$49+BD489*Pesos!$B$50+BE489*Pesos!$B$51+BF489*Pesos!$B$52+BG489*Pesos!$B$53</f>
        <v>400</v>
      </c>
      <c r="G489" s="6" t="n">
        <f aca="false">E489*F489</f>
        <v>200</v>
      </c>
      <c r="H489" s="3" t="n">
        <v>63</v>
      </c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 t="n">
        <v>10</v>
      </c>
      <c r="AC489" s="3"/>
      <c r="AD489" s="3"/>
      <c r="AE489" s="3"/>
      <c r="AF489" s="3"/>
      <c r="AG489" s="3"/>
      <c r="AH489" s="3"/>
      <c r="AI489" s="3"/>
      <c r="AJ489" s="3"/>
      <c r="AK489" s="3"/>
      <c r="AL489" s="3" t="n">
        <v>-10</v>
      </c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 t="s">
        <v>1300</v>
      </c>
      <c r="BI489" s="3"/>
      <c r="BJ489" s="3"/>
      <c r="BK489" s="3"/>
      <c r="BL489" s="3"/>
      <c r="BM489" s="3" t="s">
        <v>1301</v>
      </c>
    </row>
    <row r="490" customFormat="false" ht="15" hidden="false" customHeight="false" outlineLevel="0" collapsed="false">
      <c r="A490" s="3" t="s">
        <v>67</v>
      </c>
      <c r="B490" s="3" t="s">
        <v>143</v>
      </c>
      <c r="C490" s="3" t="s">
        <v>1302</v>
      </c>
      <c r="D490" s="3" t="s">
        <v>1303</v>
      </c>
      <c r="E490" s="3" t="n">
        <v>0.5</v>
      </c>
      <c r="F490" s="6" t="n">
        <f aca="false">H490*Pesos!$B$2+I490*Pesos!$B$3+J490*Pesos!$B$4+K490*Pesos!$B$5+L490*Pesos!$B$6+M490*Pesos!$B$7+N490*Pesos!$B$8+O490*Pesos!$B$9+P490*Pesos!$B$10+Q490*Pesos!$B$11+R490*Pesos!$B$12+S490*Pesos!$B$13+T490*Pesos!$B$14+U490*Pesos!$B$15+V490*Pesos!$B$16+W490*Pesos!$B$17+X490*Pesos!$B$18+Y490*Pesos!$B$19+Z490*Pesos!$B$20+AA490*Pesos!$B$21+AB490*Pesos!$B$22+AC490*Pesos!$B$23+AD490*Pesos!$B$24+AE490*Pesos!$B$25+AF490*Pesos!$B$26+AG490*Pesos!$B$27+AH490*Pesos!$B$28+AI490*Pesos!$B$29+AJ490*Pesos!$B$30+AK490*Pesos!$B$31+AL490*Pesos!$B$32+AM490*Pesos!$B$33+AN490*Pesos!$B$34+AO490*Pesos!$B$35+AP490*Pesos!$B$36+AQ490*Pesos!$B$37+AR490*Pesos!$B$38+AS490*Pesos!$B$39+AT490*Pesos!$B$40+AU490*Pesos!$B$41+AV490*Pesos!$B$42+AW490*Pesos!$B$43+AX490*Pesos!$B$44+AY490*Pesos!$B$45+AZ490*Pesos!$B$46+BA490*Pesos!$B$47+BB490*Pesos!$B$48+BC490*Pesos!$B$49+BD490*Pesos!$B$50+BE490*Pesos!$B$51+BF490*Pesos!$B$52+BG490*Pesos!$B$53</f>
        <v>130</v>
      </c>
      <c r="G490" s="6" t="n">
        <f aca="false">E490*F490</f>
        <v>65</v>
      </c>
      <c r="H490" s="3" t="n">
        <v>49</v>
      </c>
      <c r="I490" s="3" t="n">
        <v>100</v>
      </c>
      <c r="J490" s="3" t="n">
        <v>3</v>
      </c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customFormat="false" ht="15" hidden="false" customHeight="false" outlineLevel="0" collapsed="false">
      <c r="A491" s="3" t="s">
        <v>67</v>
      </c>
      <c r="B491" s="3" t="s">
        <v>143</v>
      </c>
      <c r="C491" s="3" t="s">
        <v>1304</v>
      </c>
      <c r="D491" s="3" t="s">
        <v>1305</v>
      </c>
      <c r="E491" s="3" t="n">
        <v>0.5</v>
      </c>
      <c r="F491" s="6" t="n">
        <f aca="false">H491*Pesos!$B$2+I491*Pesos!$B$3+J491*Pesos!$B$4+K491*Pesos!$B$5+L491*Pesos!$B$6+M491*Pesos!$B$7+N491*Pesos!$B$8+O491*Pesos!$B$9+P491*Pesos!$B$10+Q491*Pesos!$B$11+R491*Pesos!$B$12+S491*Pesos!$B$13+T491*Pesos!$B$14+U491*Pesos!$B$15+V491*Pesos!$B$16+W491*Pesos!$B$17+X491*Pesos!$B$18+Y491*Pesos!$B$19+Z491*Pesos!$B$20+AA491*Pesos!$B$21+AB491*Pesos!$B$22+AC491*Pesos!$B$23+AD491*Pesos!$B$24+AE491*Pesos!$B$25+AF491*Pesos!$B$26+AG491*Pesos!$B$27+AH491*Pesos!$B$28+AI491*Pesos!$B$29+AJ491*Pesos!$B$30+AK491*Pesos!$B$31+AL491*Pesos!$B$32+AM491*Pesos!$B$33+AN491*Pesos!$B$34+AO491*Pesos!$B$35+AP491*Pesos!$B$36+AQ491*Pesos!$B$37+AR491*Pesos!$B$38+AS491*Pesos!$B$39+AT491*Pesos!$B$40+AU491*Pesos!$B$41+AV491*Pesos!$B$42+AW491*Pesos!$B$43+AX491*Pesos!$B$44+AY491*Pesos!$B$45+AZ491*Pesos!$B$46+BA491*Pesos!$B$47+BB491*Pesos!$B$48+BC491*Pesos!$B$49+BD491*Pesos!$B$50+BE491*Pesos!$B$51+BF491*Pesos!$B$52+BG491*Pesos!$B$53</f>
        <v>200.3</v>
      </c>
      <c r="G491" s="6" t="n">
        <f aca="false">E491*F491</f>
        <v>100.15</v>
      </c>
      <c r="H491" s="3" t="n">
        <v>84</v>
      </c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 t="n">
        <v>5</v>
      </c>
      <c r="AC491" s="3"/>
      <c r="AD491" s="3"/>
      <c r="AE491" s="3"/>
      <c r="AF491" s="3"/>
      <c r="AG491" s="3"/>
      <c r="AH491" s="3"/>
      <c r="AI491" s="3"/>
      <c r="AJ491" s="3"/>
      <c r="AK491" s="3"/>
      <c r="AL491" s="3" t="n">
        <v>-5</v>
      </c>
      <c r="AM491" s="3"/>
      <c r="AN491" s="3"/>
      <c r="AO491" s="3" t="n">
        <v>0.1</v>
      </c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 t="s">
        <v>1306</v>
      </c>
      <c r="BI491" s="3"/>
      <c r="BJ491" s="3"/>
      <c r="BK491" s="3"/>
      <c r="BL491" s="3"/>
      <c r="BM491" s="3"/>
    </row>
    <row r="492" customFormat="false" ht="15" hidden="false" customHeight="false" outlineLevel="0" collapsed="false">
      <c r="A492" s="3" t="s">
        <v>67</v>
      </c>
      <c r="B492" s="3" t="s">
        <v>143</v>
      </c>
      <c r="C492" s="3" t="s">
        <v>1301</v>
      </c>
      <c r="D492" s="3" t="s">
        <v>1307</v>
      </c>
      <c r="E492" s="3" t="n">
        <v>0.5</v>
      </c>
      <c r="F492" s="6" t="n">
        <f aca="false">H492*Pesos!$B$2+I492*Pesos!$B$3+J492*Pesos!$B$4+K492*Pesos!$B$5+L492*Pesos!$B$6+M492*Pesos!$B$7+N492*Pesos!$B$8+O492*Pesos!$B$9+P492*Pesos!$B$10+Q492*Pesos!$B$11+R492*Pesos!$B$12+S492*Pesos!$B$13+T492*Pesos!$B$14+U492*Pesos!$B$15+V492*Pesos!$B$16+W492*Pesos!$B$17+X492*Pesos!$B$18+Y492*Pesos!$B$19+Z492*Pesos!$B$20+AA492*Pesos!$B$21+AB492*Pesos!$B$22+AC492*Pesos!$B$23+AD492*Pesos!$B$24+AE492*Pesos!$B$25+AF492*Pesos!$B$26+AG492*Pesos!$B$27+AH492*Pesos!$B$28+AI492*Pesos!$B$29+AJ492*Pesos!$B$30+AK492*Pesos!$B$31+AL492*Pesos!$B$32+AM492*Pesos!$B$33+AN492*Pesos!$B$34+AO492*Pesos!$B$35+AP492*Pesos!$B$36+AQ492*Pesos!$B$37+AR492*Pesos!$B$38+AS492*Pesos!$B$39+AT492*Pesos!$B$40+AU492*Pesos!$B$41+AV492*Pesos!$B$42+AW492*Pesos!$B$43+AX492*Pesos!$B$44+AY492*Pesos!$B$45+AZ492*Pesos!$B$46+BA492*Pesos!$B$47+BB492*Pesos!$B$48+BC492*Pesos!$B$49+BD492*Pesos!$B$50+BE492*Pesos!$B$51+BF492*Pesos!$B$52+BG492*Pesos!$B$53</f>
        <v>173</v>
      </c>
      <c r="G492" s="6" t="n">
        <f aca="false">E492*F492</f>
        <v>86.5</v>
      </c>
      <c r="H492" s="3" t="n">
        <v>63</v>
      </c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 t="n">
        <v>0.1</v>
      </c>
      <c r="AB492" s="3" t="n">
        <v>-5</v>
      </c>
      <c r="AC492" s="3"/>
      <c r="AD492" s="3"/>
      <c r="AE492" s="3"/>
      <c r="AF492" s="3"/>
      <c r="AG492" s="3" t="n">
        <v>5</v>
      </c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 t="s">
        <v>1307</v>
      </c>
      <c r="BI492" s="3"/>
      <c r="BJ492" s="3"/>
      <c r="BK492" s="3"/>
      <c r="BL492" s="3"/>
      <c r="BM492" s="3" t="s">
        <v>1298</v>
      </c>
    </row>
    <row r="493" customFormat="false" ht="15" hidden="false" customHeight="false" outlineLevel="0" collapsed="false">
      <c r="A493" s="3" t="s">
        <v>67</v>
      </c>
      <c r="B493" s="3" t="s">
        <v>143</v>
      </c>
      <c r="C493" s="3" t="s">
        <v>1308</v>
      </c>
      <c r="D493" s="3" t="s">
        <v>1309</v>
      </c>
      <c r="E493" s="3" t="n">
        <v>0.5</v>
      </c>
      <c r="F493" s="6" t="n">
        <f aca="false">H493*Pesos!$B$2+I493*Pesos!$B$3+J493*Pesos!$B$4+K493*Pesos!$B$5+L493*Pesos!$B$6+M493*Pesos!$B$7+N493*Pesos!$B$8+O493*Pesos!$B$9+P493*Pesos!$B$10+Q493*Pesos!$B$11+R493*Pesos!$B$12+S493*Pesos!$B$13+T493*Pesos!$B$14+U493*Pesos!$B$15+V493*Pesos!$B$16+W493*Pesos!$B$17+X493*Pesos!$B$18+Y493*Pesos!$B$19+Z493*Pesos!$B$20+AA493*Pesos!$B$21+AB493*Pesos!$B$22+AC493*Pesos!$B$23+AD493*Pesos!$B$24+AE493*Pesos!$B$25+AF493*Pesos!$B$26+AG493*Pesos!$B$27+AH493*Pesos!$B$28+AI493*Pesos!$B$29+AJ493*Pesos!$B$30+AK493*Pesos!$B$31+AL493*Pesos!$B$32+AM493*Pesos!$B$33+AN493*Pesos!$B$34+AO493*Pesos!$B$35+AP493*Pesos!$B$36+AQ493*Pesos!$B$37+AR493*Pesos!$B$38+AS493*Pesos!$B$39+AT493*Pesos!$B$40+AU493*Pesos!$B$41+AV493*Pesos!$B$42+AW493*Pesos!$B$43+AX493*Pesos!$B$44+AY493*Pesos!$B$45+AZ493*Pesos!$B$46+BA493*Pesos!$B$47+BB493*Pesos!$B$48+BC493*Pesos!$B$49+BD493*Pesos!$B$50+BE493*Pesos!$B$51+BF493*Pesos!$B$52+BG493*Pesos!$B$53</f>
        <v>200</v>
      </c>
      <c r="G493" s="6" t="n">
        <f aca="false">E493*F493</f>
        <v>100</v>
      </c>
      <c r="H493" s="3" t="n">
        <v>49</v>
      </c>
      <c r="I493" s="3"/>
      <c r="J493" s="3"/>
      <c r="K493" s="3"/>
      <c r="L493" s="3"/>
      <c r="M493" s="3"/>
      <c r="N493" s="3"/>
      <c r="O493" s="3"/>
      <c r="P493" s="3"/>
      <c r="Q493" s="3"/>
      <c r="R493" s="3" t="n">
        <v>2</v>
      </c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customFormat="false" ht="15" hidden="false" customHeight="false" outlineLevel="0" collapsed="false">
      <c r="A494" s="3" t="s">
        <v>67</v>
      </c>
      <c r="B494" s="3" t="s">
        <v>143</v>
      </c>
      <c r="C494" s="3" t="s">
        <v>1310</v>
      </c>
      <c r="D494" s="3" t="s">
        <v>1311</v>
      </c>
      <c r="E494" s="3" t="n">
        <v>0.5</v>
      </c>
      <c r="F494" s="6" t="n">
        <f aca="false">H494*Pesos!$B$2+I494*Pesos!$B$3+J494*Pesos!$B$4+K494*Pesos!$B$5+L494*Pesos!$B$6+M494*Pesos!$B$7+N494*Pesos!$B$8+O494*Pesos!$B$9+P494*Pesos!$B$10+Q494*Pesos!$B$11+R494*Pesos!$B$12+S494*Pesos!$B$13+T494*Pesos!$B$14+U494*Pesos!$B$15+V494*Pesos!$B$16+W494*Pesos!$B$17+X494*Pesos!$B$18+Y494*Pesos!$B$19+Z494*Pesos!$B$20+AA494*Pesos!$B$21+AB494*Pesos!$B$22+AC494*Pesos!$B$23+AD494*Pesos!$B$24+AE494*Pesos!$B$25+AF494*Pesos!$B$26+AG494*Pesos!$B$27+AH494*Pesos!$B$28+AI494*Pesos!$B$29+AJ494*Pesos!$B$30+AK494*Pesos!$B$31+AL494*Pesos!$B$32+AM494*Pesos!$B$33+AN494*Pesos!$B$34+AO494*Pesos!$B$35+AP494*Pesos!$B$36+AQ494*Pesos!$B$37+AR494*Pesos!$B$38+AS494*Pesos!$B$39+AT494*Pesos!$B$40+AU494*Pesos!$B$41+AV494*Pesos!$B$42+AW494*Pesos!$B$43+AX494*Pesos!$B$44+AY494*Pesos!$B$45+AZ494*Pesos!$B$46+BA494*Pesos!$B$47+BB494*Pesos!$B$48+BC494*Pesos!$B$49+BD494*Pesos!$B$50+BE494*Pesos!$B$51+BF494*Pesos!$B$52+BG494*Pesos!$B$53</f>
        <v>236.5</v>
      </c>
      <c r="G494" s="6" t="n">
        <f aca="false">E494*F494</f>
        <v>118.25</v>
      </c>
      <c r="H494" s="3" t="n">
        <v>84</v>
      </c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 t="n">
        <v>0.05</v>
      </c>
      <c r="AB494" s="3" t="n">
        <v>5</v>
      </c>
      <c r="AC494" s="3"/>
      <c r="AD494" s="3"/>
      <c r="AE494" s="3"/>
      <c r="AF494" s="3"/>
      <c r="AG494" s="3" t="n">
        <v>5</v>
      </c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 t="s">
        <v>1312</v>
      </c>
      <c r="BI494" s="3"/>
      <c r="BJ494" s="3"/>
      <c r="BK494" s="3"/>
      <c r="BL494" s="3"/>
      <c r="BM494" s="3"/>
    </row>
    <row r="495" customFormat="false" ht="15" hidden="false" customHeight="false" outlineLevel="0" collapsed="false">
      <c r="A495" s="3" t="s">
        <v>67</v>
      </c>
      <c r="B495" s="3" t="s">
        <v>143</v>
      </c>
      <c r="C495" s="3" t="s">
        <v>1313</v>
      </c>
      <c r="D495" s="3" t="s">
        <v>1314</v>
      </c>
      <c r="E495" s="3" t="n">
        <v>1</v>
      </c>
      <c r="F495" s="6" t="n">
        <f aca="false">H495*Pesos!$B$2+I495*Pesos!$B$3+J495*Pesos!$B$4+K495*Pesos!$B$5+L495*Pesos!$B$6+M495*Pesos!$B$7+N495*Pesos!$B$8+O495*Pesos!$B$9+P495*Pesos!$B$10+Q495*Pesos!$B$11+R495*Pesos!$B$12+S495*Pesos!$B$13+T495*Pesos!$B$14+U495*Pesos!$B$15+V495*Pesos!$B$16+W495*Pesos!$B$17+X495*Pesos!$B$18+Y495*Pesos!$B$19+Z495*Pesos!$B$20+AA495*Pesos!$B$21+AB495*Pesos!$B$22+AC495*Pesos!$B$23+AD495*Pesos!$B$24+AE495*Pesos!$B$25+AF495*Pesos!$B$26+AG495*Pesos!$B$27+AH495*Pesos!$B$28+AI495*Pesos!$B$29+AJ495*Pesos!$B$30+AK495*Pesos!$B$31+AL495*Pesos!$B$32+AM495*Pesos!$B$33+AN495*Pesos!$B$34+AO495*Pesos!$B$35+AP495*Pesos!$B$36+AQ495*Pesos!$B$37+AR495*Pesos!$B$38+AS495*Pesos!$B$39+AT495*Pesos!$B$40+AU495*Pesos!$B$41+AV495*Pesos!$B$42+AW495*Pesos!$B$43+AX495*Pesos!$B$44+AY495*Pesos!$B$45+AZ495*Pesos!$B$46+BA495*Pesos!$B$47+BB495*Pesos!$B$48+BC495*Pesos!$B$49+BD495*Pesos!$B$50+BE495*Pesos!$B$51+BF495*Pesos!$B$52+BG495*Pesos!$B$53</f>
        <v>470</v>
      </c>
      <c r="G495" s="6" t="n">
        <f aca="false">E495*F495</f>
        <v>470</v>
      </c>
      <c r="H495" s="3" t="n">
        <v>105</v>
      </c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 t="n">
        <v>20</v>
      </c>
      <c r="AF495" s="3"/>
      <c r="AG495" s="3" t="n">
        <v>10</v>
      </c>
      <c r="AH495" s="3"/>
      <c r="AI495" s="3" t="n">
        <v>10</v>
      </c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 t="s">
        <v>1314</v>
      </c>
      <c r="BI495" s="3"/>
      <c r="BJ495" s="3"/>
      <c r="BK495" s="3"/>
      <c r="BL495" s="3"/>
      <c r="BM495" s="3"/>
    </row>
    <row r="496" customFormat="false" ht="15" hidden="false" customHeight="false" outlineLevel="0" collapsed="false">
      <c r="A496" s="3" t="s">
        <v>67</v>
      </c>
      <c r="B496" s="3" t="s">
        <v>143</v>
      </c>
      <c r="C496" s="3" t="s">
        <v>1315</v>
      </c>
      <c r="D496" s="3" t="s">
        <v>1316</v>
      </c>
      <c r="E496" s="3" t="n">
        <v>0.5</v>
      </c>
      <c r="F496" s="6" t="n">
        <f aca="false">H496*Pesos!$B$2+I496*Pesos!$B$3+J496*Pesos!$B$4+K496*Pesos!$B$5+L496*Pesos!$B$6+M496*Pesos!$B$7+N496*Pesos!$B$8+O496*Pesos!$B$9+P496*Pesos!$B$10+Q496*Pesos!$B$11+R496*Pesos!$B$12+S496*Pesos!$B$13+T496*Pesos!$B$14+U496*Pesos!$B$15+V496*Pesos!$B$16+W496*Pesos!$B$17+X496*Pesos!$B$18+Y496*Pesos!$B$19+Z496*Pesos!$B$20+AA496*Pesos!$B$21+AB496*Pesos!$B$22+AC496*Pesos!$B$23+AD496*Pesos!$B$24+AE496*Pesos!$B$25+AF496*Pesos!$B$26+AG496*Pesos!$B$27+AH496*Pesos!$B$28+AI496*Pesos!$B$29+AJ496*Pesos!$B$30+AK496*Pesos!$B$31+AL496*Pesos!$B$32+AM496*Pesos!$B$33+AN496*Pesos!$B$34+AO496*Pesos!$B$35+AP496*Pesos!$B$36+AQ496*Pesos!$B$37+AR496*Pesos!$B$38+AS496*Pesos!$B$39+AT496*Pesos!$B$40+AU496*Pesos!$B$41+AV496*Pesos!$B$42+AW496*Pesos!$B$43+AX496*Pesos!$B$44+AY496*Pesos!$B$45+AZ496*Pesos!$B$46+BA496*Pesos!$B$47+BB496*Pesos!$B$48+BC496*Pesos!$B$49+BD496*Pesos!$B$50+BE496*Pesos!$B$51+BF496*Pesos!$B$52+BG496*Pesos!$B$53</f>
        <v>150</v>
      </c>
      <c r="G496" s="6" t="n">
        <f aca="false">E496*F496</f>
        <v>75</v>
      </c>
      <c r="H496" s="3" t="n">
        <v>77</v>
      </c>
      <c r="I496" s="3"/>
      <c r="J496" s="3" t="n">
        <v>5</v>
      </c>
      <c r="K496" s="3"/>
      <c r="L496" s="3"/>
      <c r="M496" s="3"/>
      <c r="N496" s="3"/>
      <c r="O496" s="3"/>
      <c r="P496" s="3"/>
      <c r="Q496" s="3"/>
      <c r="R496" s="3" t="n">
        <v>1</v>
      </c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customFormat="false" ht="15" hidden="false" customHeight="false" outlineLevel="0" collapsed="false">
      <c r="A497" s="3" t="s">
        <v>67</v>
      </c>
      <c r="B497" s="3" t="s">
        <v>143</v>
      </c>
      <c r="C497" s="3" t="s">
        <v>1317</v>
      </c>
      <c r="D497" s="3" t="s">
        <v>1318</v>
      </c>
      <c r="E497" s="3" t="n">
        <v>0.5</v>
      </c>
      <c r="F497" s="6" t="n">
        <f aca="false">H497*Pesos!$B$2+I497*Pesos!$B$3+J497*Pesos!$B$4+K497*Pesos!$B$5+L497*Pesos!$B$6+M497*Pesos!$B$7+N497*Pesos!$B$8+O497*Pesos!$B$9+P497*Pesos!$B$10+Q497*Pesos!$B$11+R497*Pesos!$B$12+S497*Pesos!$B$13+T497*Pesos!$B$14+U497*Pesos!$B$15+V497*Pesos!$B$16+W497*Pesos!$B$17+X497*Pesos!$B$18+Y497*Pesos!$B$19+Z497*Pesos!$B$20+AA497*Pesos!$B$21+AB497*Pesos!$B$22+AC497*Pesos!$B$23+AD497*Pesos!$B$24+AE497*Pesos!$B$25+AF497*Pesos!$B$26+AG497*Pesos!$B$27+AH497*Pesos!$B$28+AI497*Pesos!$B$29+AJ497*Pesos!$B$30+AK497*Pesos!$B$31+AL497*Pesos!$B$32+AM497*Pesos!$B$33+AN497*Pesos!$B$34+AO497*Pesos!$B$35+AP497*Pesos!$B$36+AQ497*Pesos!$B$37+AR497*Pesos!$B$38+AS497*Pesos!$B$39+AT497*Pesos!$B$40+AU497*Pesos!$B$41+AV497*Pesos!$B$42+AW497*Pesos!$B$43+AX497*Pesos!$B$44+AY497*Pesos!$B$45+AZ497*Pesos!$B$46+BA497*Pesos!$B$47+BB497*Pesos!$B$48+BC497*Pesos!$B$49+BD497*Pesos!$B$50+BE497*Pesos!$B$51+BF497*Pesos!$B$52+BG497*Pesos!$B$53</f>
        <v>-103.35</v>
      </c>
      <c r="G497" s="6" t="n">
        <f aca="false">E497*F497</f>
        <v>-51.675</v>
      </c>
      <c r="H497" s="3" t="n">
        <v>98</v>
      </c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 t="n">
        <v>0.05</v>
      </c>
      <c r="AB497" s="3" t="n">
        <v>5</v>
      </c>
      <c r="AC497" s="3" t="n">
        <v>-5</v>
      </c>
      <c r="AD497" s="3"/>
      <c r="AE497" s="3"/>
      <c r="AF497" s="3"/>
      <c r="AG497" s="3" t="n">
        <v>-5</v>
      </c>
      <c r="AH497" s="3"/>
      <c r="AI497" s="3"/>
      <c r="AJ497" s="3"/>
      <c r="AK497" s="3"/>
      <c r="AL497" s="3"/>
      <c r="AM497" s="3"/>
      <c r="AN497" s="3"/>
      <c r="AO497" s="3" t="n">
        <v>0.05</v>
      </c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 t="s">
        <v>1319</v>
      </c>
      <c r="BI497" s="3"/>
      <c r="BJ497" s="3"/>
      <c r="BK497" s="3"/>
      <c r="BL497" s="3"/>
      <c r="BM497" s="3"/>
    </row>
    <row r="498" customFormat="false" ht="15" hidden="false" customHeight="false" outlineLevel="0" collapsed="false">
      <c r="A498" s="3" t="s">
        <v>67</v>
      </c>
      <c r="B498" s="3" t="s">
        <v>143</v>
      </c>
      <c r="C498" s="3" t="s">
        <v>1320</v>
      </c>
      <c r="D498" s="3" t="s">
        <v>1321</v>
      </c>
      <c r="E498" s="3" t="n">
        <v>0.5</v>
      </c>
      <c r="F498" s="6" t="n">
        <f aca="false">H498*Pesos!$B$2+I498*Pesos!$B$3+J498*Pesos!$B$4+K498*Pesos!$B$5+L498*Pesos!$B$6+M498*Pesos!$B$7+N498*Pesos!$B$8+O498*Pesos!$B$9+P498*Pesos!$B$10+Q498*Pesos!$B$11+R498*Pesos!$B$12+S498*Pesos!$B$13+T498*Pesos!$B$14+U498*Pesos!$B$15+V498*Pesos!$B$16+W498*Pesos!$B$17+X498*Pesos!$B$18+Y498*Pesos!$B$19+Z498*Pesos!$B$20+AA498*Pesos!$B$21+AB498*Pesos!$B$22+AC498*Pesos!$B$23+AD498*Pesos!$B$24+AE498*Pesos!$B$25+AF498*Pesos!$B$26+AG498*Pesos!$B$27+AH498*Pesos!$B$28+AI498*Pesos!$B$29+AJ498*Pesos!$B$30+AK498*Pesos!$B$31+AL498*Pesos!$B$32+AM498*Pesos!$B$33+AN498*Pesos!$B$34+AO498*Pesos!$B$35+AP498*Pesos!$B$36+AQ498*Pesos!$B$37+AR498*Pesos!$B$38+AS498*Pesos!$B$39+AT498*Pesos!$B$40+AU498*Pesos!$B$41+AV498*Pesos!$B$42+AW498*Pesos!$B$43+AX498*Pesos!$B$44+AY498*Pesos!$B$45+AZ498*Pesos!$B$46+BA498*Pesos!$B$47+BB498*Pesos!$B$48+BC498*Pesos!$B$49+BD498*Pesos!$B$50+BE498*Pesos!$B$51+BF498*Pesos!$B$52+BG498*Pesos!$B$53</f>
        <v>200</v>
      </c>
      <c r="G498" s="6" t="n">
        <f aca="false">E498*F498</f>
        <v>100</v>
      </c>
      <c r="H498" s="3" t="n">
        <v>77</v>
      </c>
      <c r="I498" s="3" t="n">
        <v>100</v>
      </c>
      <c r="J498" s="3"/>
      <c r="K498" s="3"/>
      <c r="L498" s="3"/>
      <c r="M498" s="3"/>
      <c r="N498" s="3"/>
      <c r="O498" s="3"/>
      <c r="P498" s="3"/>
      <c r="Q498" s="3"/>
      <c r="R498" s="3" t="n">
        <v>1</v>
      </c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customFormat="false" ht="15" hidden="false" customHeight="false" outlineLevel="0" collapsed="false">
      <c r="A499" s="3" t="s">
        <v>67</v>
      </c>
      <c r="B499" s="3" t="s">
        <v>143</v>
      </c>
      <c r="C499" s="3" t="s">
        <v>1322</v>
      </c>
      <c r="D499" s="3" t="s">
        <v>1323</v>
      </c>
      <c r="E499" s="3" t="n">
        <v>0.5</v>
      </c>
      <c r="F499" s="6" t="n">
        <f aca="false">H499*Pesos!$B$2+I499*Pesos!$B$3+J499*Pesos!$B$4+K499*Pesos!$B$5+L499*Pesos!$B$6+M499*Pesos!$B$7+N499*Pesos!$B$8+O499*Pesos!$B$9+P499*Pesos!$B$10+Q499*Pesos!$B$11+R499*Pesos!$B$12+S499*Pesos!$B$13+T499*Pesos!$B$14+U499*Pesos!$B$15+V499*Pesos!$B$16+W499*Pesos!$B$17+X499*Pesos!$B$18+Y499*Pesos!$B$19+Z499*Pesos!$B$20+AA499*Pesos!$B$21+AB499*Pesos!$B$22+AC499*Pesos!$B$23+AD499*Pesos!$B$24+AE499*Pesos!$B$25+AF499*Pesos!$B$26+AG499*Pesos!$B$27+AH499*Pesos!$B$28+AI499*Pesos!$B$29+AJ499*Pesos!$B$30+AK499*Pesos!$B$31+AL499*Pesos!$B$32+AM499*Pesos!$B$33+AN499*Pesos!$B$34+AO499*Pesos!$B$35+AP499*Pesos!$B$36+AQ499*Pesos!$B$37+AR499*Pesos!$B$38+AS499*Pesos!$B$39+AT499*Pesos!$B$40+AU499*Pesos!$B$41+AV499*Pesos!$B$42+AW499*Pesos!$B$43+AX499*Pesos!$B$44+AY499*Pesos!$B$45+AZ499*Pesos!$B$46+BA499*Pesos!$B$47+BB499*Pesos!$B$48+BC499*Pesos!$B$49+BD499*Pesos!$B$50+BE499*Pesos!$B$51+BF499*Pesos!$B$52+BG499*Pesos!$B$53</f>
        <v>173</v>
      </c>
      <c r="G499" s="6" t="n">
        <f aca="false">E499*F499</f>
        <v>86.5</v>
      </c>
      <c r="H499" s="3" t="n">
        <v>98</v>
      </c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 t="n">
        <v>0.1</v>
      </c>
      <c r="AB499" s="3" t="n">
        <v>-5</v>
      </c>
      <c r="AC499" s="3"/>
      <c r="AD499" s="3"/>
      <c r="AE499" s="3"/>
      <c r="AF499" s="3"/>
      <c r="AG499" s="3" t="n">
        <v>5</v>
      </c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 t="s">
        <v>1324</v>
      </c>
      <c r="BI499" s="3"/>
      <c r="BJ499" s="3"/>
      <c r="BK499" s="3"/>
      <c r="BL499" s="3"/>
      <c r="BM499" s="3"/>
    </row>
    <row r="500" customFormat="false" ht="15" hidden="false" customHeight="false" outlineLevel="0" collapsed="false">
      <c r="A500" s="3" t="s">
        <v>67</v>
      </c>
      <c r="B500" s="3" t="s">
        <v>144</v>
      </c>
      <c r="C500" s="3" t="s">
        <v>1325</v>
      </c>
      <c r="D500" s="3" t="s">
        <v>1326</v>
      </c>
      <c r="E500" s="3" t="n">
        <v>1</v>
      </c>
      <c r="F500" s="6" t="n">
        <f aca="false">H500*Pesos!$B$2+I500*Pesos!$B$3+J500*Pesos!$B$4+K500*Pesos!$B$5+L500*Pesos!$B$6+M500*Pesos!$B$7+N500*Pesos!$B$8+O500*Pesos!$B$9+P500*Pesos!$B$10+Q500*Pesos!$B$11+R500*Pesos!$B$12+S500*Pesos!$B$13+T500*Pesos!$B$14+U500*Pesos!$B$15+V500*Pesos!$B$16+W500*Pesos!$B$17+X500*Pesos!$B$18+Y500*Pesos!$B$19+Z500*Pesos!$B$20+AA500*Pesos!$B$21+AB500*Pesos!$B$22+AC500*Pesos!$B$23+AD500*Pesos!$B$24+AE500*Pesos!$B$25+AF500*Pesos!$B$26+AG500*Pesos!$B$27+AH500*Pesos!$B$28+AI500*Pesos!$B$29+AJ500*Pesos!$B$30+AK500*Pesos!$B$31+AL500*Pesos!$B$32+AM500*Pesos!$B$33+AN500*Pesos!$B$34+AO500*Pesos!$B$35+AP500*Pesos!$B$36+AQ500*Pesos!$B$37+AR500*Pesos!$B$38+AS500*Pesos!$B$39+AT500*Pesos!$B$40+AU500*Pesos!$B$41+AV500*Pesos!$B$42+AW500*Pesos!$B$43+AX500*Pesos!$B$44+AY500*Pesos!$B$45+AZ500*Pesos!$B$46+BA500*Pesos!$B$47+BB500*Pesos!$B$48+BC500*Pesos!$B$49+BD500*Pesos!$B$50+BE500*Pesos!$B$51+BF500*Pesos!$B$52+BG500*Pesos!$B$53</f>
        <v>160</v>
      </c>
      <c r="G500" s="6" t="n">
        <f aca="false">E500*F500</f>
        <v>160</v>
      </c>
      <c r="H500" s="3" t="n">
        <v>49</v>
      </c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 t="n">
        <v>2</v>
      </c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customFormat="false" ht="15" hidden="false" customHeight="false" outlineLevel="0" collapsed="false">
      <c r="A501" s="3" t="s">
        <v>67</v>
      </c>
      <c r="B501" s="3" t="s">
        <v>144</v>
      </c>
      <c r="C501" s="3" t="s">
        <v>1327</v>
      </c>
      <c r="D501" s="3" t="s">
        <v>1328</v>
      </c>
      <c r="E501" s="3" t="n">
        <v>1</v>
      </c>
      <c r="F501" s="6" t="n">
        <f aca="false">H501*Pesos!$B$2+I501*Pesos!$B$3+J501*Pesos!$B$4+K501*Pesos!$B$5+L501*Pesos!$B$6+M501*Pesos!$B$7+N501*Pesos!$B$8+O501*Pesos!$B$9+P501*Pesos!$B$10+Q501*Pesos!$B$11+R501*Pesos!$B$12+S501*Pesos!$B$13+T501*Pesos!$B$14+U501*Pesos!$B$15+V501*Pesos!$B$16+W501*Pesos!$B$17+X501*Pesos!$B$18+Y501*Pesos!$B$19+Z501*Pesos!$B$20+AA501*Pesos!$B$21+AB501*Pesos!$B$22+AC501*Pesos!$B$23+AD501*Pesos!$B$24+AE501*Pesos!$B$25+AF501*Pesos!$B$26+AG501*Pesos!$B$27+AH501*Pesos!$B$28+AI501*Pesos!$B$29+AJ501*Pesos!$B$30+AK501*Pesos!$B$31+AL501*Pesos!$B$32+AM501*Pesos!$B$33+AN501*Pesos!$B$34+AO501*Pesos!$B$35+AP501*Pesos!$B$36+AQ501*Pesos!$B$37+AR501*Pesos!$B$38+AS501*Pesos!$B$39+AT501*Pesos!$B$40+AU501*Pesos!$B$41+AV501*Pesos!$B$42+AW501*Pesos!$B$43+AX501*Pesos!$B$44+AY501*Pesos!$B$45+AZ501*Pesos!$B$46+BA501*Pesos!$B$47+BB501*Pesos!$B$48+BC501*Pesos!$B$49+BD501*Pesos!$B$50+BE501*Pesos!$B$51+BF501*Pesos!$B$52+BG501*Pesos!$B$53</f>
        <v>200</v>
      </c>
      <c r="G501" s="6" t="n">
        <f aca="false">E501*F501</f>
        <v>200</v>
      </c>
      <c r="H501" s="3" t="n">
        <v>49</v>
      </c>
      <c r="I501" s="3"/>
      <c r="J501" s="3"/>
      <c r="K501" s="3"/>
      <c r="L501" s="3"/>
      <c r="M501" s="3"/>
      <c r="N501" s="3"/>
      <c r="O501" s="3"/>
      <c r="P501" s="3"/>
      <c r="Q501" s="3"/>
      <c r="R501" s="3" t="n">
        <v>2</v>
      </c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customFormat="false" ht="15" hidden="false" customHeight="false" outlineLevel="0" collapsed="false">
      <c r="A502" s="3" t="s">
        <v>67</v>
      </c>
      <c r="B502" s="3" t="s">
        <v>144</v>
      </c>
      <c r="C502" s="3" t="s">
        <v>1329</v>
      </c>
      <c r="D502" s="3" t="s">
        <v>1330</v>
      </c>
      <c r="E502" s="3" t="n">
        <v>1</v>
      </c>
      <c r="F502" s="6" t="n">
        <f aca="false">H502*Pesos!$B$2+I502*Pesos!$B$3+J502*Pesos!$B$4+K502*Pesos!$B$5+L502*Pesos!$B$6+M502*Pesos!$B$7+N502*Pesos!$B$8+O502*Pesos!$B$9+P502*Pesos!$B$10+Q502*Pesos!$B$11+R502*Pesos!$B$12+S502*Pesos!$B$13+T502*Pesos!$B$14+U502*Pesos!$B$15+V502*Pesos!$B$16+W502*Pesos!$B$17+X502*Pesos!$B$18+Y502*Pesos!$B$19+Z502*Pesos!$B$20+AA502*Pesos!$B$21+AB502*Pesos!$B$22+AC502*Pesos!$B$23+AD502*Pesos!$B$24+AE502*Pesos!$B$25+AF502*Pesos!$B$26+AG502*Pesos!$B$27+AH502*Pesos!$B$28+AI502*Pesos!$B$29+AJ502*Pesos!$B$30+AK502*Pesos!$B$31+AL502*Pesos!$B$32+AM502*Pesos!$B$33+AN502*Pesos!$B$34+AO502*Pesos!$B$35+AP502*Pesos!$B$36+AQ502*Pesos!$B$37+AR502*Pesos!$B$38+AS502*Pesos!$B$39+AT502*Pesos!$B$40+AU502*Pesos!$B$41+AV502*Pesos!$B$42+AW502*Pesos!$B$43+AX502*Pesos!$B$44+AY502*Pesos!$B$45+AZ502*Pesos!$B$46+BA502*Pesos!$B$47+BB502*Pesos!$B$48+BC502*Pesos!$B$49+BD502*Pesos!$B$50+BE502*Pesos!$B$51+BF502*Pesos!$B$52+BG502*Pesos!$B$53</f>
        <v>25</v>
      </c>
      <c r="G502" s="6" t="n">
        <f aca="false">E502*F502</f>
        <v>25</v>
      </c>
      <c r="H502" s="3" t="n">
        <v>49</v>
      </c>
      <c r="I502" s="3"/>
      <c r="J502" s="3"/>
      <c r="K502" s="3"/>
      <c r="L502" s="3"/>
      <c r="M502" s="3"/>
      <c r="N502" s="3"/>
      <c r="O502" s="3"/>
      <c r="P502" s="3"/>
      <c r="Q502" s="3" t="n">
        <v>1</v>
      </c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customFormat="false" ht="15" hidden="false" customHeight="false" outlineLevel="0" collapsed="false">
      <c r="A503" s="3" t="s">
        <v>67</v>
      </c>
      <c r="B503" s="3" t="s">
        <v>144</v>
      </c>
      <c r="C503" s="3" t="s">
        <v>1331</v>
      </c>
      <c r="D503" s="3" t="s">
        <v>1332</v>
      </c>
      <c r="E503" s="3" t="n">
        <v>1</v>
      </c>
      <c r="F503" s="6" t="n">
        <f aca="false">H503*Pesos!$B$2+I503*Pesos!$B$3+J503*Pesos!$B$4+K503*Pesos!$B$5+L503*Pesos!$B$6+M503*Pesos!$B$7+N503*Pesos!$B$8+O503*Pesos!$B$9+P503*Pesos!$B$10+Q503*Pesos!$B$11+R503*Pesos!$B$12+S503*Pesos!$B$13+T503*Pesos!$B$14+U503*Pesos!$B$15+V503*Pesos!$B$16+W503*Pesos!$B$17+X503*Pesos!$B$18+Y503*Pesos!$B$19+Z503*Pesos!$B$20+AA503*Pesos!$B$21+AB503*Pesos!$B$22+AC503*Pesos!$B$23+AD503*Pesos!$B$24+AE503*Pesos!$B$25+AF503*Pesos!$B$26+AG503*Pesos!$B$27+AH503*Pesos!$B$28+AI503*Pesos!$B$29+AJ503*Pesos!$B$30+AK503*Pesos!$B$31+AL503*Pesos!$B$32+AM503*Pesos!$B$33+AN503*Pesos!$B$34+AO503*Pesos!$B$35+AP503*Pesos!$B$36+AQ503*Pesos!$B$37+AR503*Pesos!$B$38+AS503*Pesos!$B$39+AT503*Pesos!$B$40+AU503*Pesos!$B$41+AV503*Pesos!$B$42+AW503*Pesos!$B$43+AX503*Pesos!$B$44+AY503*Pesos!$B$45+AZ503*Pesos!$B$46+BA503*Pesos!$B$47+BB503*Pesos!$B$48+BC503*Pesos!$B$49+BD503*Pesos!$B$50+BE503*Pesos!$B$51+BF503*Pesos!$B$52+BG503*Pesos!$B$53</f>
        <v>80</v>
      </c>
      <c r="G503" s="6" t="n">
        <f aca="false">E503*F503</f>
        <v>80</v>
      </c>
      <c r="H503" s="3" t="n">
        <v>49</v>
      </c>
      <c r="I503" s="3" t="n">
        <v>50</v>
      </c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 t="n">
        <v>2</v>
      </c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customFormat="false" ht="15" hidden="false" customHeight="false" outlineLevel="0" collapsed="false">
      <c r="A504" s="3" t="s">
        <v>67</v>
      </c>
      <c r="B504" s="3" t="s">
        <v>144</v>
      </c>
      <c r="C504" s="3" t="s">
        <v>1333</v>
      </c>
      <c r="D504" s="3" t="s">
        <v>1334</v>
      </c>
      <c r="E504" s="3" t="n">
        <v>1</v>
      </c>
      <c r="F504" s="6" t="n">
        <f aca="false">H504*Pesos!$B$2+I504*Pesos!$B$3+J504*Pesos!$B$4+K504*Pesos!$B$5+L504*Pesos!$B$6+M504*Pesos!$B$7+N504*Pesos!$B$8+O504*Pesos!$B$9+P504*Pesos!$B$10+Q504*Pesos!$B$11+R504*Pesos!$B$12+S504*Pesos!$B$13+T504*Pesos!$B$14+U504*Pesos!$B$15+V504*Pesos!$B$16+W504*Pesos!$B$17+X504*Pesos!$B$18+Y504*Pesos!$B$19+Z504*Pesos!$B$20+AA504*Pesos!$B$21+AB504*Pesos!$B$22+AC504*Pesos!$B$23+AD504*Pesos!$B$24+AE504*Pesos!$B$25+AF504*Pesos!$B$26+AG504*Pesos!$B$27+AH504*Pesos!$B$28+AI504*Pesos!$B$29+AJ504*Pesos!$B$30+AK504*Pesos!$B$31+AL504*Pesos!$B$32+AM504*Pesos!$B$33+AN504*Pesos!$B$34+AO504*Pesos!$B$35+AP504*Pesos!$B$36+AQ504*Pesos!$B$37+AR504*Pesos!$B$38+AS504*Pesos!$B$39+AT504*Pesos!$B$40+AU504*Pesos!$B$41+AV504*Pesos!$B$42+AW504*Pesos!$B$43+AX504*Pesos!$B$44+AY504*Pesos!$B$45+AZ504*Pesos!$B$46+BA504*Pesos!$B$47+BB504*Pesos!$B$48+BC504*Pesos!$B$49+BD504*Pesos!$B$50+BE504*Pesos!$B$51+BF504*Pesos!$B$52+BG504*Pesos!$B$53</f>
        <v>145</v>
      </c>
      <c r="G504" s="6" t="n">
        <f aca="false">E504*F504</f>
        <v>145</v>
      </c>
      <c r="H504" s="3" t="n">
        <v>63</v>
      </c>
      <c r="I504" s="3"/>
      <c r="J504" s="3"/>
      <c r="K504" s="3"/>
      <c r="L504" s="3"/>
      <c r="M504" s="3"/>
      <c r="N504" s="3"/>
      <c r="O504" s="3"/>
      <c r="P504" s="3"/>
      <c r="Q504" s="3" t="n">
        <v>1</v>
      </c>
      <c r="R504" s="3"/>
      <c r="S504" s="3"/>
      <c r="T504" s="3" t="n">
        <v>2</v>
      </c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customFormat="false" ht="15" hidden="false" customHeight="false" outlineLevel="0" collapsed="false">
      <c r="A505" s="3" t="s">
        <v>67</v>
      </c>
      <c r="B505" s="3" t="s">
        <v>144</v>
      </c>
      <c r="C505" s="3" t="s">
        <v>1335</v>
      </c>
      <c r="D505" s="3" t="s">
        <v>1336</v>
      </c>
      <c r="E505" s="3" t="n">
        <v>1</v>
      </c>
      <c r="F505" s="6" t="n">
        <f aca="false">H505*Pesos!$B$2+I505*Pesos!$B$3+J505*Pesos!$B$4+K505*Pesos!$B$5+L505*Pesos!$B$6+M505*Pesos!$B$7+N505*Pesos!$B$8+O505*Pesos!$B$9+P505*Pesos!$B$10+Q505*Pesos!$B$11+R505*Pesos!$B$12+S505*Pesos!$B$13+T505*Pesos!$B$14+U505*Pesos!$B$15+V505*Pesos!$B$16+W505*Pesos!$B$17+X505*Pesos!$B$18+Y505*Pesos!$B$19+Z505*Pesos!$B$20+AA505*Pesos!$B$21+AB505*Pesos!$B$22+AC505*Pesos!$B$23+AD505*Pesos!$B$24+AE505*Pesos!$B$25+AF505*Pesos!$B$26+AG505*Pesos!$B$27+AH505*Pesos!$B$28+AI505*Pesos!$B$29+AJ505*Pesos!$B$30+AK505*Pesos!$B$31+AL505*Pesos!$B$32+AM505*Pesos!$B$33+AN505*Pesos!$B$34+AO505*Pesos!$B$35+AP505*Pesos!$B$36+AQ505*Pesos!$B$37+AR505*Pesos!$B$38+AS505*Pesos!$B$39+AT505*Pesos!$B$40+AU505*Pesos!$B$41+AV505*Pesos!$B$42+AW505*Pesos!$B$43+AX505*Pesos!$B$44+AY505*Pesos!$B$45+AZ505*Pesos!$B$46+BA505*Pesos!$B$47+BB505*Pesos!$B$48+BC505*Pesos!$B$49+BD505*Pesos!$B$50+BE505*Pesos!$B$51+BF505*Pesos!$B$52+BG505*Pesos!$B$53</f>
        <v>300</v>
      </c>
      <c r="G505" s="6" t="n">
        <f aca="false">E505*F505</f>
        <v>300</v>
      </c>
      <c r="H505" s="3" t="n">
        <v>84</v>
      </c>
      <c r="I505" s="3"/>
      <c r="J505" s="3"/>
      <c r="K505" s="3"/>
      <c r="L505" s="3"/>
      <c r="M505" s="3"/>
      <c r="N505" s="3"/>
      <c r="O505" s="3"/>
      <c r="P505" s="3"/>
      <c r="Q505" s="3"/>
      <c r="R505" s="3" t="n">
        <v>3</v>
      </c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customFormat="false" ht="15" hidden="false" customHeight="false" outlineLevel="0" collapsed="false">
      <c r="A506" s="3" t="s">
        <v>67</v>
      </c>
      <c r="B506" s="3" t="s">
        <v>144</v>
      </c>
      <c r="C506" s="3" t="s">
        <v>1337</v>
      </c>
      <c r="D506" s="3" t="s">
        <v>1338</v>
      </c>
      <c r="E506" s="3" t="n">
        <v>1</v>
      </c>
      <c r="F506" s="6" t="n">
        <f aca="false">H506*Pesos!$B$2+I506*Pesos!$B$3+J506*Pesos!$B$4+K506*Pesos!$B$5+L506*Pesos!$B$6+M506*Pesos!$B$7+N506*Pesos!$B$8+O506*Pesos!$B$9+P506*Pesos!$B$10+Q506*Pesos!$B$11+R506*Pesos!$B$12+S506*Pesos!$B$13+T506*Pesos!$B$14+U506*Pesos!$B$15+V506*Pesos!$B$16+W506*Pesos!$B$17+X506*Pesos!$B$18+Y506*Pesos!$B$19+Z506*Pesos!$B$20+AA506*Pesos!$B$21+AB506*Pesos!$B$22+AC506*Pesos!$B$23+AD506*Pesos!$B$24+AE506*Pesos!$B$25+AF506*Pesos!$B$26+AG506*Pesos!$B$27+AH506*Pesos!$B$28+AI506*Pesos!$B$29+AJ506*Pesos!$B$30+AK506*Pesos!$B$31+AL506*Pesos!$B$32+AM506*Pesos!$B$33+AN506*Pesos!$B$34+AO506*Pesos!$B$35+AP506*Pesos!$B$36+AQ506*Pesos!$B$37+AR506*Pesos!$B$38+AS506*Pesos!$B$39+AT506*Pesos!$B$40+AU506*Pesos!$B$41+AV506*Pesos!$B$42+AW506*Pesos!$B$43+AX506*Pesos!$B$44+AY506*Pesos!$B$45+AZ506*Pesos!$B$46+BA506*Pesos!$B$47+BB506*Pesos!$B$48+BC506*Pesos!$B$49+BD506*Pesos!$B$50+BE506*Pesos!$B$51+BF506*Pesos!$B$52+BG506*Pesos!$B$53</f>
        <v>240</v>
      </c>
      <c r="G506" s="6" t="n">
        <f aca="false">E506*F506</f>
        <v>240</v>
      </c>
      <c r="H506" s="3" t="n">
        <v>84</v>
      </c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 t="n">
        <v>3</v>
      </c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customFormat="false" ht="15" hidden="false" customHeight="false" outlineLevel="0" collapsed="false">
      <c r="A507" s="3" t="s">
        <v>67</v>
      </c>
      <c r="B507" s="3" t="s">
        <v>144</v>
      </c>
      <c r="C507" s="3" t="s">
        <v>1339</v>
      </c>
      <c r="D507" s="3" t="s">
        <v>1340</v>
      </c>
      <c r="E507" s="3" t="n">
        <v>1</v>
      </c>
      <c r="F507" s="6" t="n">
        <f aca="false">H507*Pesos!$B$2+I507*Pesos!$B$3+J507*Pesos!$B$4+K507*Pesos!$B$5+L507*Pesos!$B$6+M507*Pesos!$B$7+N507*Pesos!$B$8+O507*Pesos!$B$9+P507*Pesos!$B$10+Q507*Pesos!$B$11+R507*Pesos!$B$12+S507*Pesos!$B$13+T507*Pesos!$B$14+U507*Pesos!$B$15+V507*Pesos!$B$16+W507*Pesos!$B$17+X507*Pesos!$B$18+Y507*Pesos!$B$19+Z507*Pesos!$B$20+AA507*Pesos!$B$21+AB507*Pesos!$B$22+AC507*Pesos!$B$23+AD507*Pesos!$B$24+AE507*Pesos!$B$25+AF507*Pesos!$B$26+AG507*Pesos!$B$27+AH507*Pesos!$B$28+AI507*Pesos!$B$29+AJ507*Pesos!$B$30+AK507*Pesos!$B$31+AL507*Pesos!$B$32+AM507*Pesos!$B$33+AN507*Pesos!$B$34+AO507*Pesos!$B$35+AP507*Pesos!$B$36+AQ507*Pesos!$B$37+AR507*Pesos!$B$38+AS507*Pesos!$B$39+AT507*Pesos!$B$40+AU507*Pesos!$B$41+AV507*Pesos!$B$42+AW507*Pesos!$B$43+AX507*Pesos!$B$44+AY507*Pesos!$B$45+AZ507*Pesos!$B$46+BA507*Pesos!$B$47+BB507*Pesos!$B$48+BC507*Pesos!$B$49+BD507*Pesos!$B$50+BE507*Pesos!$B$51+BF507*Pesos!$B$52+BG507*Pesos!$B$53</f>
        <v>650</v>
      </c>
      <c r="G507" s="6" t="n">
        <f aca="false">E507*F507</f>
        <v>650</v>
      </c>
      <c r="H507" s="3" t="n">
        <v>105</v>
      </c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 t="n">
        <v>20</v>
      </c>
      <c r="AH507" s="3"/>
      <c r="AI507" s="3"/>
      <c r="AJ507" s="3" t="n">
        <v>10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 t="s">
        <v>1340</v>
      </c>
      <c r="BI507" s="3"/>
      <c r="BJ507" s="3"/>
      <c r="BK507" s="3"/>
      <c r="BL507" s="3"/>
      <c r="BM507" s="3"/>
    </row>
    <row r="508" customFormat="false" ht="15" hidden="false" customHeight="false" outlineLevel="0" collapsed="false">
      <c r="A508" s="3" t="s">
        <v>67</v>
      </c>
      <c r="B508" s="3" t="s">
        <v>145</v>
      </c>
      <c r="C508" s="3" t="s">
        <v>1341</v>
      </c>
      <c r="D508" s="3" t="s">
        <v>1342</v>
      </c>
      <c r="E508" s="3" t="n">
        <v>1</v>
      </c>
      <c r="F508" s="6" t="n">
        <f aca="false">H508*Pesos!$B$2+I508*Pesos!$B$3+J508*Pesos!$B$4+K508*Pesos!$B$5+L508*Pesos!$B$6+M508*Pesos!$B$7+N508*Pesos!$B$8+O508*Pesos!$B$9+P508*Pesos!$B$10+Q508*Pesos!$B$11+R508*Pesos!$B$12+S508*Pesos!$B$13+T508*Pesos!$B$14+U508*Pesos!$B$15+V508*Pesos!$B$16+W508*Pesos!$B$17+X508*Pesos!$B$18+Y508*Pesos!$B$19+Z508*Pesos!$B$20+AA508*Pesos!$B$21+AB508*Pesos!$B$22+AC508*Pesos!$B$23+AD508*Pesos!$B$24+AE508*Pesos!$B$25+AF508*Pesos!$B$26+AG508*Pesos!$B$27+AH508*Pesos!$B$28+AI508*Pesos!$B$29+AJ508*Pesos!$B$30+AK508*Pesos!$B$31+AL508*Pesos!$B$32+AM508*Pesos!$B$33+AN508*Pesos!$B$34+AO508*Pesos!$B$35+AP508*Pesos!$B$36+AQ508*Pesos!$B$37+AR508*Pesos!$B$38+AS508*Pesos!$B$39+AT508*Pesos!$B$40+AU508*Pesos!$B$41+AV508*Pesos!$B$42+AW508*Pesos!$B$43+AX508*Pesos!$B$44+AY508*Pesos!$B$45+AZ508*Pesos!$B$46+BA508*Pesos!$B$47+BB508*Pesos!$B$48+BC508*Pesos!$B$49+BD508*Pesos!$B$50+BE508*Pesos!$B$51+BF508*Pesos!$B$52+BG508*Pesos!$B$53</f>
        <v>30</v>
      </c>
      <c r="G508" s="6" t="n">
        <f aca="false">E508*F508</f>
        <v>30</v>
      </c>
      <c r="H508" s="3" t="n">
        <v>49</v>
      </c>
      <c r="I508" s="3"/>
      <c r="J508" s="3"/>
      <c r="K508" s="3"/>
      <c r="L508" s="3"/>
      <c r="M508" s="3"/>
      <c r="N508" s="3"/>
      <c r="O508" s="3"/>
      <c r="P508" s="3"/>
      <c r="Q508" s="3" t="n">
        <v>1</v>
      </c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 t="n">
        <v>0.5</v>
      </c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 t="s">
        <v>1244</v>
      </c>
      <c r="BK508" s="3"/>
      <c r="BL508" s="3"/>
      <c r="BM508" s="3"/>
    </row>
    <row r="509" customFormat="false" ht="15" hidden="false" customHeight="false" outlineLevel="0" collapsed="false">
      <c r="A509" s="3" t="s">
        <v>67</v>
      </c>
      <c r="B509" s="3" t="s">
        <v>145</v>
      </c>
      <c r="C509" s="3" t="s">
        <v>1343</v>
      </c>
      <c r="D509" s="3" t="s">
        <v>1344</v>
      </c>
      <c r="E509" s="3" t="n">
        <v>1</v>
      </c>
      <c r="F509" s="6" t="n">
        <f aca="false">H509*Pesos!$B$2+I509*Pesos!$B$3+J509*Pesos!$B$4+K509*Pesos!$B$5+L509*Pesos!$B$6+M509*Pesos!$B$7+N509*Pesos!$B$8+O509*Pesos!$B$9+P509*Pesos!$B$10+Q509*Pesos!$B$11+R509*Pesos!$B$12+S509*Pesos!$B$13+T509*Pesos!$B$14+U509*Pesos!$B$15+V509*Pesos!$B$16+W509*Pesos!$B$17+X509*Pesos!$B$18+Y509*Pesos!$B$19+Z509*Pesos!$B$20+AA509*Pesos!$B$21+AB509*Pesos!$B$22+AC509*Pesos!$B$23+AD509*Pesos!$B$24+AE509*Pesos!$B$25+AF509*Pesos!$B$26+AG509*Pesos!$B$27+AH509*Pesos!$B$28+AI509*Pesos!$B$29+AJ509*Pesos!$B$30+AK509*Pesos!$B$31+AL509*Pesos!$B$32+AM509*Pesos!$B$33+AN509*Pesos!$B$34+AO509*Pesos!$B$35+AP509*Pesos!$B$36+AQ509*Pesos!$B$37+AR509*Pesos!$B$38+AS509*Pesos!$B$39+AT509*Pesos!$B$40+AU509*Pesos!$B$41+AV509*Pesos!$B$42+AW509*Pesos!$B$43+AX509*Pesos!$B$44+AY509*Pesos!$B$45+AZ509*Pesos!$B$46+BA509*Pesos!$B$47+BB509*Pesos!$B$48+BC509*Pesos!$B$49+BD509*Pesos!$B$50+BE509*Pesos!$B$51+BF509*Pesos!$B$52+BG509*Pesos!$B$53</f>
        <v>-36.75</v>
      </c>
      <c r="G509" s="6" t="n">
        <f aca="false">E509*F509</f>
        <v>-36.75</v>
      </c>
      <c r="H509" s="3" t="n">
        <v>63</v>
      </c>
      <c r="I509" s="3"/>
      <c r="J509" s="3"/>
      <c r="K509" s="3"/>
      <c r="L509" s="3"/>
      <c r="M509" s="3"/>
      <c r="N509" s="3"/>
      <c r="O509" s="3"/>
      <c r="P509" s="3"/>
      <c r="Q509" s="3" t="n">
        <v>1</v>
      </c>
      <c r="R509" s="3"/>
      <c r="S509" s="3"/>
      <c r="T509" s="3"/>
      <c r="U509" s="3"/>
      <c r="V509" s="3"/>
      <c r="W509" s="3"/>
      <c r="X509" s="3"/>
      <c r="Y509" s="3"/>
      <c r="Z509" s="3"/>
      <c r="AA509" s="3" t="n">
        <v>-0.1</v>
      </c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 t="n">
        <v>0.75</v>
      </c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 t="s">
        <v>1345</v>
      </c>
      <c r="BK509" s="3"/>
      <c r="BL509" s="3"/>
      <c r="BM509" s="3"/>
    </row>
    <row r="510" customFormat="false" ht="15" hidden="false" customHeight="false" outlineLevel="0" collapsed="false">
      <c r="A510" s="3" t="s">
        <v>67</v>
      </c>
      <c r="B510" s="3" t="s">
        <v>145</v>
      </c>
      <c r="C510" s="3" t="s">
        <v>1346</v>
      </c>
      <c r="D510" s="3" t="s">
        <v>1347</v>
      </c>
      <c r="E510" s="3" t="n">
        <v>1</v>
      </c>
      <c r="F510" s="6" t="n">
        <f aca="false">H510*Pesos!$B$2+I510*Pesos!$B$3+J510*Pesos!$B$4+K510*Pesos!$B$5+L510*Pesos!$B$6+M510*Pesos!$B$7+N510*Pesos!$B$8+O510*Pesos!$B$9+P510*Pesos!$B$10+Q510*Pesos!$B$11+R510*Pesos!$B$12+S510*Pesos!$B$13+T510*Pesos!$B$14+U510*Pesos!$B$15+V510*Pesos!$B$16+W510*Pesos!$B$17+X510*Pesos!$B$18+Y510*Pesos!$B$19+Z510*Pesos!$B$20+AA510*Pesos!$B$21+AB510*Pesos!$B$22+AC510*Pesos!$B$23+AD510*Pesos!$B$24+AE510*Pesos!$B$25+AF510*Pesos!$B$26+AG510*Pesos!$B$27+AH510*Pesos!$B$28+AI510*Pesos!$B$29+AJ510*Pesos!$B$30+AK510*Pesos!$B$31+AL510*Pesos!$B$32+AM510*Pesos!$B$33+AN510*Pesos!$B$34+AO510*Pesos!$B$35+AP510*Pesos!$B$36+AQ510*Pesos!$B$37+AR510*Pesos!$B$38+AS510*Pesos!$B$39+AT510*Pesos!$B$40+AU510*Pesos!$B$41+AV510*Pesos!$B$42+AW510*Pesos!$B$43+AX510*Pesos!$B$44+AY510*Pesos!$B$45+AZ510*Pesos!$B$46+BA510*Pesos!$B$47+BB510*Pesos!$B$48+BC510*Pesos!$B$49+BD510*Pesos!$B$50+BE510*Pesos!$B$51+BF510*Pesos!$B$52+BG510*Pesos!$B$53</f>
        <v>36.25</v>
      </c>
      <c r="G510" s="6" t="n">
        <f aca="false">E510*F510</f>
        <v>36.25</v>
      </c>
      <c r="H510" s="3" t="n">
        <v>49</v>
      </c>
      <c r="I510" s="3"/>
      <c r="J510" s="3"/>
      <c r="K510" s="3"/>
      <c r="L510" s="3"/>
      <c r="M510" s="3"/>
      <c r="N510" s="3"/>
      <c r="O510" s="3"/>
      <c r="P510" s="3"/>
      <c r="Q510" s="3" t="n">
        <v>1</v>
      </c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 t="n">
        <v>0.75</v>
      </c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 t="s">
        <v>1348</v>
      </c>
      <c r="BK510" s="3"/>
      <c r="BL510" s="3"/>
      <c r="BM510" s="3"/>
    </row>
    <row r="511" customFormat="false" ht="15" hidden="false" customHeight="false" outlineLevel="0" collapsed="false">
      <c r="A511" s="3" t="s">
        <v>67</v>
      </c>
      <c r="B511" s="3" t="s">
        <v>145</v>
      </c>
      <c r="C511" s="3" t="s">
        <v>1349</v>
      </c>
      <c r="D511" s="3" t="s">
        <v>1350</v>
      </c>
      <c r="E511" s="3" t="n">
        <v>1</v>
      </c>
      <c r="F511" s="6" t="n">
        <f aca="false">H511*Pesos!$B$2+I511*Pesos!$B$3+J511*Pesos!$B$4+K511*Pesos!$B$5+L511*Pesos!$B$6+M511*Pesos!$B$7+N511*Pesos!$B$8+O511*Pesos!$B$9+P511*Pesos!$B$10+Q511*Pesos!$B$11+R511*Pesos!$B$12+S511*Pesos!$B$13+T511*Pesos!$B$14+U511*Pesos!$B$15+V511*Pesos!$B$16+W511*Pesos!$B$17+X511*Pesos!$B$18+Y511*Pesos!$B$19+Z511*Pesos!$B$20+AA511*Pesos!$B$21+AB511*Pesos!$B$22+AC511*Pesos!$B$23+AD511*Pesos!$B$24+AE511*Pesos!$B$25+AF511*Pesos!$B$26+AG511*Pesos!$B$27+AH511*Pesos!$B$28+AI511*Pesos!$B$29+AJ511*Pesos!$B$30+AK511*Pesos!$B$31+AL511*Pesos!$B$32+AM511*Pesos!$B$33+AN511*Pesos!$B$34+AO511*Pesos!$B$35+AP511*Pesos!$B$36+AQ511*Pesos!$B$37+AR511*Pesos!$B$38+AS511*Pesos!$B$39+AT511*Pesos!$B$40+AU511*Pesos!$B$41+AV511*Pesos!$B$42+AW511*Pesos!$B$43+AX511*Pesos!$B$44+AY511*Pesos!$B$45+AZ511*Pesos!$B$46+BA511*Pesos!$B$47+BB511*Pesos!$B$48+BC511*Pesos!$B$49+BD511*Pesos!$B$50+BE511*Pesos!$B$51+BF511*Pesos!$B$52+BG511*Pesos!$B$53</f>
        <v>36.25</v>
      </c>
      <c r="G511" s="6" t="n">
        <f aca="false">E511*F511</f>
        <v>36.25</v>
      </c>
      <c r="H511" s="3" t="n">
        <v>49</v>
      </c>
      <c r="I511" s="3"/>
      <c r="J511" s="3"/>
      <c r="K511" s="3"/>
      <c r="L511" s="3"/>
      <c r="M511" s="3"/>
      <c r="N511" s="3"/>
      <c r="O511" s="3"/>
      <c r="P511" s="3"/>
      <c r="Q511" s="3" t="n">
        <v>1</v>
      </c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 t="n">
        <v>0.75</v>
      </c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 t="s">
        <v>1351</v>
      </c>
      <c r="BK511" s="3"/>
      <c r="BL511" s="3"/>
      <c r="BM511" s="3"/>
    </row>
    <row r="512" customFormat="false" ht="15" hidden="false" customHeight="false" outlineLevel="0" collapsed="false">
      <c r="A512" s="3" t="s">
        <v>67</v>
      </c>
      <c r="B512" s="3" t="s">
        <v>145</v>
      </c>
      <c r="C512" s="3" t="s">
        <v>1352</v>
      </c>
      <c r="D512" s="3" t="s">
        <v>1353</v>
      </c>
      <c r="E512" s="3" t="n">
        <v>1</v>
      </c>
      <c r="F512" s="6" t="n">
        <f aca="false">H512*Pesos!$B$2+I512*Pesos!$B$3+J512*Pesos!$B$4+K512*Pesos!$B$5+L512*Pesos!$B$6+M512*Pesos!$B$7+N512*Pesos!$B$8+O512*Pesos!$B$9+P512*Pesos!$B$10+Q512*Pesos!$B$11+R512*Pesos!$B$12+S512*Pesos!$B$13+T512*Pesos!$B$14+U512*Pesos!$B$15+V512*Pesos!$B$16+W512*Pesos!$B$17+X512*Pesos!$B$18+Y512*Pesos!$B$19+Z512*Pesos!$B$20+AA512*Pesos!$B$21+AB512*Pesos!$B$22+AC512*Pesos!$B$23+AD512*Pesos!$B$24+AE512*Pesos!$B$25+AF512*Pesos!$B$26+AG512*Pesos!$B$27+AH512*Pesos!$B$28+AI512*Pesos!$B$29+AJ512*Pesos!$B$30+AK512*Pesos!$B$31+AL512*Pesos!$B$32+AM512*Pesos!$B$33+AN512*Pesos!$B$34+AO512*Pesos!$B$35+AP512*Pesos!$B$36+AQ512*Pesos!$B$37+AR512*Pesos!$B$38+AS512*Pesos!$B$39+AT512*Pesos!$B$40+AU512*Pesos!$B$41+AV512*Pesos!$B$42+AW512*Pesos!$B$43+AX512*Pesos!$B$44+AY512*Pesos!$B$45+AZ512*Pesos!$B$46+BA512*Pesos!$B$47+BB512*Pesos!$B$48+BC512*Pesos!$B$49+BD512*Pesos!$B$50+BE512*Pesos!$B$51+BF512*Pesos!$B$52+BG512*Pesos!$B$53</f>
        <v>194</v>
      </c>
      <c r="G512" s="6" t="n">
        <f aca="false">E512*F512</f>
        <v>194</v>
      </c>
      <c r="H512" s="3" t="n">
        <v>49</v>
      </c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 t="n">
        <v>3</v>
      </c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 t="n">
        <v>10</v>
      </c>
      <c r="AS512" s="3" t="n">
        <v>5</v>
      </c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 t="s">
        <v>1354</v>
      </c>
      <c r="BI512" s="3"/>
      <c r="BJ512" s="3"/>
      <c r="BK512" s="3"/>
      <c r="BL512" s="3"/>
      <c r="BM512" s="3"/>
    </row>
    <row r="513" customFormat="false" ht="15" hidden="false" customHeight="false" outlineLevel="0" collapsed="false">
      <c r="A513" s="3" t="s">
        <v>67</v>
      </c>
      <c r="B513" s="3" t="s">
        <v>145</v>
      </c>
      <c r="C513" s="3" t="s">
        <v>1355</v>
      </c>
      <c r="D513" s="3" t="s">
        <v>1356</v>
      </c>
      <c r="E513" s="3" t="n">
        <v>1</v>
      </c>
      <c r="F513" s="6" t="n">
        <f aca="false">H513*Pesos!$B$2+I513*Pesos!$B$3+J513*Pesos!$B$4+K513*Pesos!$B$5+L513*Pesos!$B$6+M513*Pesos!$B$7+N513*Pesos!$B$8+O513*Pesos!$B$9+P513*Pesos!$B$10+Q513*Pesos!$B$11+R513*Pesos!$B$12+S513*Pesos!$B$13+T513*Pesos!$B$14+U513*Pesos!$B$15+V513*Pesos!$B$16+W513*Pesos!$B$17+X513*Pesos!$B$18+Y513*Pesos!$B$19+Z513*Pesos!$B$20+AA513*Pesos!$B$21+AB513*Pesos!$B$22+AC513*Pesos!$B$23+AD513*Pesos!$B$24+AE513*Pesos!$B$25+AF513*Pesos!$B$26+AG513*Pesos!$B$27+AH513*Pesos!$B$28+AI513*Pesos!$B$29+AJ513*Pesos!$B$30+AK513*Pesos!$B$31+AL513*Pesos!$B$32+AM513*Pesos!$B$33+AN513*Pesos!$B$34+AO513*Pesos!$B$35+AP513*Pesos!$B$36+AQ513*Pesos!$B$37+AR513*Pesos!$B$38+AS513*Pesos!$B$39+AT513*Pesos!$B$40+AU513*Pesos!$B$41+AV513*Pesos!$B$42+AW513*Pesos!$B$43+AX513*Pesos!$B$44+AY513*Pesos!$B$45+AZ513*Pesos!$B$46+BA513*Pesos!$B$47+BB513*Pesos!$B$48+BC513*Pesos!$B$49+BD513*Pesos!$B$50+BE513*Pesos!$B$51+BF513*Pesos!$B$52+BG513*Pesos!$B$53</f>
        <v>250</v>
      </c>
      <c r="G513" s="6" t="n">
        <f aca="false">E513*F513</f>
        <v>250</v>
      </c>
      <c r="H513" s="3" t="n">
        <v>84</v>
      </c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 t="n">
        <v>10</v>
      </c>
      <c r="AR513" s="3"/>
      <c r="AS513" s="3" t="n">
        <v>10</v>
      </c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 t="s">
        <v>1356</v>
      </c>
      <c r="BI513" s="3"/>
      <c r="BJ513" s="3"/>
      <c r="BK513" s="3"/>
      <c r="BL513" s="3"/>
      <c r="BM513" s="3"/>
    </row>
    <row r="514" customFormat="false" ht="15" hidden="false" customHeight="false" outlineLevel="0" collapsed="false">
      <c r="A514" s="3" t="s">
        <v>67</v>
      </c>
      <c r="B514" s="3" t="s">
        <v>145</v>
      </c>
      <c r="C514" s="3" t="s">
        <v>1357</v>
      </c>
      <c r="D514" s="3" t="s">
        <v>1358</v>
      </c>
      <c r="E514" s="3" t="n">
        <v>1</v>
      </c>
      <c r="F514" s="6" t="n">
        <f aca="false">H514*Pesos!$B$2+I514*Pesos!$B$3+J514*Pesos!$B$4+K514*Pesos!$B$5+L514*Pesos!$B$6+M514*Pesos!$B$7+N514*Pesos!$B$8+O514*Pesos!$B$9+P514*Pesos!$B$10+Q514*Pesos!$B$11+R514*Pesos!$B$12+S514*Pesos!$B$13+T514*Pesos!$B$14+U514*Pesos!$B$15+V514*Pesos!$B$16+W514*Pesos!$B$17+X514*Pesos!$B$18+Y514*Pesos!$B$19+Z514*Pesos!$B$20+AA514*Pesos!$B$21+AB514*Pesos!$B$22+AC514*Pesos!$B$23+AD514*Pesos!$B$24+AE514*Pesos!$B$25+AF514*Pesos!$B$26+AG514*Pesos!$B$27+AH514*Pesos!$B$28+AI514*Pesos!$B$29+AJ514*Pesos!$B$30+AK514*Pesos!$B$31+AL514*Pesos!$B$32+AM514*Pesos!$B$33+AN514*Pesos!$B$34+AO514*Pesos!$B$35+AP514*Pesos!$B$36+AQ514*Pesos!$B$37+AR514*Pesos!$B$38+AS514*Pesos!$B$39+AT514*Pesos!$B$40+AU514*Pesos!$B$41+AV514*Pesos!$B$42+AW514*Pesos!$B$43+AX514*Pesos!$B$44+AY514*Pesos!$B$45+AZ514*Pesos!$B$46+BA514*Pesos!$B$47+BB514*Pesos!$B$48+BC514*Pesos!$B$49+BD514*Pesos!$B$50+BE514*Pesos!$B$51+BF514*Pesos!$B$52+BG514*Pesos!$B$53</f>
        <v>130</v>
      </c>
      <c r="G514" s="6" t="n">
        <f aca="false">E514*F514</f>
        <v>130</v>
      </c>
      <c r="H514" s="3" t="n">
        <v>63</v>
      </c>
      <c r="I514" s="3"/>
      <c r="J514" s="3"/>
      <c r="K514" s="3"/>
      <c r="L514" s="3"/>
      <c r="M514" s="3"/>
      <c r="N514" s="3"/>
      <c r="O514" s="3"/>
      <c r="P514" s="3"/>
      <c r="Q514" s="3" t="n">
        <v>2</v>
      </c>
      <c r="R514" s="3"/>
      <c r="S514" s="3" t="n">
        <v>1</v>
      </c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customFormat="false" ht="15" hidden="false" customHeight="false" outlineLevel="0" collapsed="false">
      <c r="A515" s="3" t="s">
        <v>67</v>
      </c>
      <c r="B515" s="3" t="s">
        <v>145</v>
      </c>
      <c r="C515" s="3" t="s">
        <v>1359</v>
      </c>
      <c r="D515" s="3" t="s">
        <v>1360</v>
      </c>
      <c r="E515" s="3" t="n">
        <v>1</v>
      </c>
      <c r="F515" s="6" t="n">
        <f aca="false">H515*Pesos!$B$2+I515*Pesos!$B$3+J515*Pesos!$B$4+K515*Pesos!$B$5+L515*Pesos!$B$6+M515*Pesos!$B$7+N515*Pesos!$B$8+O515*Pesos!$B$9+P515*Pesos!$B$10+Q515*Pesos!$B$11+R515*Pesos!$B$12+S515*Pesos!$B$13+T515*Pesos!$B$14+U515*Pesos!$B$15+V515*Pesos!$B$16+W515*Pesos!$B$17+X515*Pesos!$B$18+Y515*Pesos!$B$19+Z515*Pesos!$B$20+AA515*Pesos!$B$21+AB515*Pesos!$B$22+AC515*Pesos!$B$23+AD515*Pesos!$B$24+AE515*Pesos!$B$25+AF515*Pesos!$B$26+AG515*Pesos!$B$27+AH515*Pesos!$B$28+AI515*Pesos!$B$29+AJ515*Pesos!$B$30+AK515*Pesos!$B$31+AL515*Pesos!$B$32+AM515*Pesos!$B$33+AN515*Pesos!$B$34+AO515*Pesos!$B$35+AP515*Pesos!$B$36+AQ515*Pesos!$B$37+AR515*Pesos!$B$38+AS515*Pesos!$B$39+AT515*Pesos!$B$40+AU515*Pesos!$B$41+AV515*Pesos!$B$42+AW515*Pesos!$B$43+AX515*Pesos!$B$44+AY515*Pesos!$B$45+AZ515*Pesos!$B$46+BA515*Pesos!$B$47+BB515*Pesos!$B$48+BC515*Pesos!$B$49+BD515*Pesos!$B$50+BE515*Pesos!$B$51+BF515*Pesos!$B$52+BG515*Pesos!$B$53</f>
        <v>472.5</v>
      </c>
      <c r="G515" s="6" t="n">
        <f aca="false">E515*F515</f>
        <v>472.5</v>
      </c>
      <c r="H515" s="3" t="n">
        <v>105</v>
      </c>
      <c r="I515" s="3"/>
      <c r="J515" s="3"/>
      <c r="K515" s="3"/>
      <c r="L515" s="3" t="n">
        <v>200000</v>
      </c>
      <c r="M515" s="3" t="n">
        <v>50</v>
      </c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 t="n">
        <v>1.5</v>
      </c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 t="s">
        <v>1361</v>
      </c>
      <c r="BK515" s="3"/>
      <c r="BL515" s="3"/>
      <c r="BM515" s="3"/>
    </row>
    <row r="516" customFormat="false" ht="15" hidden="false" customHeight="false" outlineLevel="0" collapsed="false">
      <c r="A516" s="3" t="s">
        <v>67</v>
      </c>
      <c r="B516" s="3" t="s">
        <v>146</v>
      </c>
      <c r="C516" s="3" t="s">
        <v>1362</v>
      </c>
      <c r="D516" s="3" t="s">
        <v>1363</v>
      </c>
      <c r="E516" s="3" t="n">
        <v>1</v>
      </c>
      <c r="F516" s="6" t="n">
        <f aca="false">H516*Pesos!$B$2+I516*Pesos!$B$3+J516*Pesos!$B$4+K516*Pesos!$B$5+L516*Pesos!$B$6+M516*Pesos!$B$7+N516*Pesos!$B$8+O516*Pesos!$B$9+P516*Pesos!$B$10+Q516*Pesos!$B$11+R516*Pesos!$B$12+S516*Pesos!$B$13+T516*Pesos!$B$14+U516*Pesos!$B$15+V516*Pesos!$B$16+W516*Pesos!$B$17+X516*Pesos!$B$18+Y516*Pesos!$B$19+Z516*Pesos!$B$20+AA516*Pesos!$B$21+AB516*Pesos!$B$22+AC516*Pesos!$B$23+AD516*Pesos!$B$24+AE516*Pesos!$B$25+AF516*Pesos!$B$26+AG516*Pesos!$B$27+AH516*Pesos!$B$28+AI516*Pesos!$B$29+AJ516*Pesos!$B$30+AK516*Pesos!$B$31+AL516*Pesos!$B$32+AM516*Pesos!$B$33+AN516*Pesos!$B$34+AO516*Pesos!$B$35+AP516*Pesos!$B$36+AQ516*Pesos!$B$37+AR516*Pesos!$B$38+AS516*Pesos!$B$39+AT516*Pesos!$B$40+AU516*Pesos!$B$41+AV516*Pesos!$B$42+AW516*Pesos!$B$43+AX516*Pesos!$B$44+AY516*Pesos!$B$45+AZ516*Pesos!$B$46+BA516*Pesos!$B$47+BB516*Pesos!$B$48+BC516*Pesos!$B$49+BD516*Pesos!$B$50+BE516*Pesos!$B$51+BF516*Pesos!$B$52+BG516*Pesos!$B$53</f>
        <v>185</v>
      </c>
      <c r="G516" s="6" t="n">
        <f aca="false">E516*F516</f>
        <v>185</v>
      </c>
      <c r="H516" s="3" t="n">
        <v>63</v>
      </c>
      <c r="I516" s="3"/>
      <c r="J516" s="3"/>
      <c r="K516" s="3"/>
      <c r="L516" s="3"/>
      <c r="M516" s="3"/>
      <c r="N516" s="3" t="n">
        <v>25</v>
      </c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 t="n">
        <v>10</v>
      </c>
      <c r="AF516" s="3"/>
      <c r="AG516" s="3"/>
      <c r="AH516" s="3" t="n">
        <v>10</v>
      </c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 t="s">
        <v>1364</v>
      </c>
      <c r="BI516" s="3"/>
      <c r="BJ516" s="3"/>
      <c r="BK516" s="3"/>
      <c r="BL516" s="3"/>
      <c r="BM516" s="3"/>
    </row>
    <row r="517" customFormat="false" ht="15" hidden="false" customHeight="false" outlineLevel="0" collapsed="false">
      <c r="A517" s="3" t="s">
        <v>67</v>
      </c>
      <c r="B517" s="3" t="s">
        <v>146</v>
      </c>
      <c r="C517" s="3" t="s">
        <v>1365</v>
      </c>
      <c r="D517" s="3" t="s">
        <v>1366</v>
      </c>
      <c r="E517" s="3" t="n">
        <v>1</v>
      </c>
      <c r="F517" s="6" t="n">
        <f aca="false">H517*Pesos!$B$2+I517*Pesos!$B$3+J517*Pesos!$B$4+K517*Pesos!$B$5+L517*Pesos!$B$6+M517*Pesos!$B$7+N517*Pesos!$B$8+O517*Pesos!$B$9+P517*Pesos!$B$10+Q517*Pesos!$B$11+R517*Pesos!$B$12+S517*Pesos!$B$13+T517*Pesos!$B$14+U517*Pesos!$B$15+V517*Pesos!$B$16+W517*Pesos!$B$17+X517*Pesos!$B$18+Y517*Pesos!$B$19+Z517*Pesos!$B$20+AA517*Pesos!$B$21+AB517*Pesos!$B$22+AC517*Pesos!$B$23+AD517*Pesos!$B$24+AE517*Pesos!$B$25+AF517*Pesos!$B$26+AG517*Pesos!$B$27+AH517*Pesos!$B$28+AI517*Pesos!$B$29+AJ517*Pesos!$B$30+AK517*Pesos!$B$31+AL517*Pesos!$B$32+AM517*Pesos!$B$33+AN517*Pesos!$B$34+AO517*Pesos!$B$35+AP517*Pesos!$B$36+AQ517*Pesos!$B$37+AR517*Pesos!$B$38+AS517*Pesos!$B$39+AT517*Pesos!$B$40+AU517*Pesos!$B$41+AV517*Pesos!$B$42+AW517*Pesos!$B$43+AX517*Pesos!$B$44+AY517*Pesos!$B$45+AZ517*Pesos!$B$46+BA517*Pesos!$B$47+BB517*Pesos!$B$48+BC517*Pesos!$B$49+BD517*Pesos!$B$50+BE517*Pesos!$B$51+BF517*Pesos!$B$52+BG517*Pesos!$B$53</f>
        <v>120</v>
      </c>
      <c r="G517" s="6" t="n">
        <f aca="false">E517*F517</f>
        <v>120</v>
      </c>
      <c r="H517" s="3" t="n">
        <v>49</v>
      </c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 t="n">
        <v>2</v>
      </c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customFormat="false" ht="15" hidden="false" customHeight="false" outlineLevel="0" collapsed="false">
      <c r="A518" s="3" t="s">
        <v>67</v>
      </c>
      <c r="B518" s="3" t="s">
        <v>146</v>
      </c>
      <c r="C518" s="3" t="s">
        <v>1367</v>
      </c>
      <c r="D518" s="3" t="s">
        <v>1368</v>
      </c>
      <c r="E518" s="3" t="n">
        <v>1</v>
      </c>
      <c r="F518" s="6" t="n">
        <f aca="false">H518*Pesos!$B$2+I518*Pesos!$B$3+J518*Pesos!$B$4+K518*Pesos!$B$5+L518*Pesos!$B$6+M518*Pesos!$B$7+N518*Pesos!$B$8+O518*Pesos!$B$9+P518*Pesos!$B$10+Q518*Pesos!$B$11+R518*Pesos!$B$12+S518*Pesos!$B$13+T518*Pesos!$B$14+U518*Pesos!$B$15+V518*Pesos!$B$16+W518*Pesos!$B$17+X518*Pesos!$B$18+Y518*Pesos!$B$19+Z518*Pesos!$B$20+AA518*Pesos!$B$21+AB518*Pesos!$B$22+AC518*Pesos!$B$23+AD518*Pesos!$B$24+AE518*Pesos!$B$25+AF518*Pesos!$B$26+AG518*Pesos!$B$27+AH518*Pesos!$B$28+AI518*Pesos!$B$29+AJ518*Pesos!$B$30+AK518*Pesos!$B$31+AL518*Pesos!$B$32+AM518*Pesos!$B$33+AN518*Pesos!$B$34+AO518*Pesos!$B$35+AP518*Pesos!$B$36+AQ518*Pesos!$B$37+AR518*Pesos!$B$38+AS518*Pesos!$B$39+AT518*Pesos!$B$40+AU518*Pesos!$B$41+AV518*Pesos!$B$42+AW518*Pesos!$B$43+AX518*Pesos!$B$44+AY518*Pesos!$B$45+AZ518*Pesos!$B$46+BA518*Pesos!$B$47+BB518*Pesos!$B$48+BC518*Pesos!$B$49+BD518*Pesos!$B$50+BE518*Pesos!$B$51+BF518*Pesos!$B$52+BG518*Pesos!$B$53</f>
        <v>100</v>
      </c>
      <c r="G518" s="6" t="n">
        <f aca="false">E518*F518</f>
        <v>100</v>
      </c>
      <c r="H518" s="3" t="n">
        <v>49</v>
      </c>
      <c r="I518" s="3"/>
      <c r="J518" s="3"/>
      <c r="K518" s="3"/>
      <c r="L518" s="3"/>
      <c r="M518" s="3"/>
      <c r="N518" s="3"/>
      <c r="O518" s="3" t="n">
        <v>25</v>
      </c>
      <c r="P518" s="3"/>
      <c r="Q518" s="3" t="n">
        <v>1</v>
      </c>
      <c r="R518" s="3"/>
      <c r="S518" s="3"/>
      <c r="T518" s="3"/>
      <c r="U518" s="3"/>
      <c r="V518" s="3"/>
      <c r="W518" s="3"/>
      <c r="X518" s="3"/>
      <c r="Y518" s="3" t="n">
        <v>100</v>
      </c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customFormat="false" ht="15" hidden="false" customHeight="false" outlineLevel="0" collapsed="false">
      <c r="A519" s="3" t="s">
        <v>67</v>
      </c>
      <c r="B519" s="3" t="s">
        <v>146</v>
      </c>
      <c r="C519" s="3" t="s">
        <v>1369</v>
      </c>
      <c r="D519" s="3" t="s">
        <v>1370</v>
      </c>
      <c r="E519" s="3" t="n">
        <v>1</v>
      </c>
      <c r="F519" s="6" t="n">
        <f aca="false">H519*Pesos!$B$2+I519*Pesos!$B$3+J519*Pesos!$B$4+K519*Pesos!$B$5+L519*Pesos!$B$6+M519*Pesos!$B$7+N519*Pesos!$B$8+O519*Pesos!$B$9+P519*Pesos!$B$10+Q519*Pesos!$B$11+R519*Pesos!$B$12+S519*Pesos!$B$13+T519*Pesos!$B$14+U519*Pesos!$B$15+V519*Pesos!$B$16+W519*Pesos!$B$17+X519*Pesos!$B$18+Y519*Pesos!$B$19+Z519*Pesos!$B$20+AA519*Pesos!$B$21+AB519*Pesos!$B$22+AC519*Pesos!$B$23+AD519*Pesos!$B$24+AE519*Pesos!$B$25+AF519*Pesos!$B$26+AG519*Pesos!$B$27+AH519*Pesos!$B$28+AI519*Pesos!$B$29+AJ519*Pesos!$B$30+AK519*Pesos!$B$31+AL519*Pesos!$B$32+AM519*Pesos!$B$33+AN519*Pesos!$B$34+AO519*Pesos!$B$35+AP519*Pesos!$B$36+AQ519*Pesos!$B$37+AR519*Pesos!$B$38+AS519*Pesos!$B$39+AT519*Pesos!$B$40+AU519*Pesos!$B$41+AV519*Pesos!$B$42+AW519*Pesos!$B$43+AX519*Pesos!$B$44+AY519*Pesos!$B$45+AZ519*Pesos!$B$46+BA519*Pesos!$B$47+BB519*Pesos!$B$48+BC519*Pesos!$B$49+BD519*Pesos!$B$50+BE519*Pesos!$B$51+BF519*Pesos!$B$52+BG519*Pesos!$B$53</f>
        <v>45</v>
      </c>
      <c r="G519" s="6" t="n">
        <f aca="false">E519*F519</f>
        <v>45</v>
      </c>
      <c r="H519" s="3" t="n">
        <v>63</v>
      </c>
      <c r="I519" s="3"/>
      <c r="J519" s="3"/>
      <c r="K519" s="3"/>
      <c r="L519" s="3"/>
      <c r="M519" s="3"/>
      <c r="N519" s="3"/>
      <c r="O519" s="3"/>
      <c r="P519" s="3"/>
      <c r="Q519" s="3" t="n">
        <v>1</v>
      </c>
      <c r="R519" s="3"/>
      <c r="S519" s="3"/>
      <c r="T519" s="3"/>
      <c r="U519" s="3"/>
      <c r="V519" s="3" t="n">
        <v>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customFormat="false" ht="15" hidden="false" customHeight="false" outlineLevel="0" collapsed="false">
      <c r="A520" s="3" t="s">
        <v>67</v>
      </c>
      <c r="B520" s="3" t="s">
        <v>146</v>
      </c>
      <c r="C520" s="3" t="s">
        <v>1371</v>
      </c>
      <c r="D520" s="3" t="s">
        <v>1372</v>
      </c>
      <c r="E520" s="3" t="n">
        <v>1</v>
      </c>
      <c r="F520" s="6" t="n">
        <f aca="false">H520*Pesos!$B$2+I520*Pesos!$B$3+J520*Pesos!$B$4+K520*Pesos!$B$5+L520*Pesos!$B$6+M520*Pesos!$B$7+N520*Pesos!$B$8+O520*Pesos!$B$9+P520*Pesos!$B$10+Q520*Pesos!$B$11+R520*Pesos!$B$12+S520*Pesos!$B$13+T520*Pesos!$B$14+U520*Pesos!$B$15+V520*Pesos!$B$16+W520*Pesos!$B$17+X520*Pesos!$B$18+Y520*Pesos!$B$19+Z520*Pesos!$B$20+AA520*Pesos!$B$21+AB520*Pesos!$B$22+AC520*Pesos!$B$23+AD520*Pesos!$B$24+AE520*Pesos!$B$25+AF520*Pesos!$B$26+AG520*Pesos!$B$27+AH520*Pesos!$B$28+AI520*Pesos!$B$29+AJ520*Pesos!$B$30+AK520*Pesos!$B$31+AL520*Pesos!$B$32+AM520*Pesos!$B$33+AN520*Pesos!$B$34+AO520*Pesos!$B$35+AP520*Pesos!$B$36+AQ520*Pesos!$B$37+AR520*Pesos!$B$38+AS520*Pesos!$B$39+AT520*Pesos!$B$40+AU520*Pesos!$B$41+AV520*Pesos!$B$42+AW520*Pesos!$B$43+AX520*Pesos!$B$44+AY520*Pesos!$B$45+AZ520*Pesos!$B$46+BA520*Pesos!$B$47+BB520*Pesos!$B$48+BC520*Pesos!$B$49+BD520*Pesos!$B$50+BE520*Pesos!$B$51+BF520*Pesos!$B$52+BG520*Pesos!$B$53</f>
        <v>125</v>
      </c>
      <c r="G520" s="6" t="n">
        <f aca="false">E520*F520</f>
        <v>125</v>
      </c>
      <c r="H520" s="3" t="n">
        <v>84</v>
      </c>
      <c r="I520" s="3"/>
      <c r="J520" s="3"/>
      <c r="K520" s="3"/>
      <c r="L520" s="3"/>
      <c r="M520" s="3"/>
      <c r="N520" s="3"/>
      <c r="O520" s="3" t="n">
        <v>50</v>
      </c>
      <c r="P520" s="3"/>
      <c r="Q520" s="3" t="n">
        <v>3</v>
      </c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customFormat="false" ht="15" hidden="false" customHeight="false" outlineLevel="0" collapsed="false">
      <c r="A521" s="3" t="s">
        <v>67</v>
      </c>
      <c r="B521" s="3" t="s">
        <v>146</v>
      </c>
      <c r="C521" s="3" t="s">
        <v>1373</v>
      </c>
      <c r="D521" s="3" t="s">
        <v>1374</v>
      </c>
      <c r="E521" s="3" t="n">
        <v>1</v>
      </c>
      <c r="F521" s="6" t="n">
        <f aca="false">H521*Pesos!$B$2+I521*Pesos!$B$3+J521*Pesos!$B$4+K521*Pesos!$B$5+L521*Pesos!$B$6+M521*Pesos!$B$7+N521*Pesos!$B$8+O521*Pesos!$B$9+P521*Pesos!$B$10+Q521*Pesos!$B$11+R521*Pesos!$B$12+S521*Pesos!$B$13+T521*Pesos!$B$14+U521*Pesos!$B$15+V521*Pesos!$B$16+W521*Pesos!$B$17+X521*Pesos!$B$18+Y521*Pesos!$B$19+Z521*Pesos!$B$20+AA521*Pesos!$B$21+AB521*Pesos!$B$22+AC521*Pesos!$B$23+AD521*Pesos!$B$24+AE521*Pesos!$B$25+AF521*Pesos!$B$26+AG521*Pesos!$B$27+AH521*Pesos!$B$28+AI521*Pesos!$B$29+AJ521*Pesos!$B$30+AK521*Pesos!$B$31+AL521*Pesos!$B$32+AM521*Pesos!$B$33+AN521*Pesos!$B$34+AO521*Pesos!$B$35+AP521*Pesos!$B$36+AQ521*Pesos!$B$37+AR521*Pesos!$B$38+AS521*Pesos!$B$39+AT521*Pesos!$B$40+AU521*Pesos!$B$41+AV521*Pesos!$B$42+AW521*Pesos!$B$43+AX521*Pesos!$B$44+AY521*Pesos!$B$45+AZ521*Pesos!$B$46+BA521*Pesos!$B$47+BB521*Pesos!$B$48+BC521*Pesos!$B$49+BD521*Pesos!$B$50+BE521*Pesos!$B$51+BF521*Pesos!$B$52+BG521*Pesos!$B$53</f>
        <v>210</v>
      </c>
      <c r="G521" s="6" t="n">
        <f aca="false">E521*F521</f>
        <v>210</v>
      </c>
      <c r="H521" s="3" t="n">
        <v>105</v>
      </c>
      <c r="I521" s="3"/>
      <c r="J521" s="3"/>
      <c r="K521" s="3"/>
      <c r="L521" s="3"/>
      <c r="M521" s="3"/>
      <c r="N521" s="3"/>
      <c r="O521" s="3"/>
      <c r="P521" s="3"/>
      <c r="Q521" s="3" t="n">
        <v>2</v>
      </c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 t="n">
        <v>10</v>
      </c>
      <c r="AF521" s="3"/>
      <c r="AG521" s="3"/>
      <c r="AH521" s="3" t="n">
        <v>10</v>
      </c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 t="s">
        <v>1375</v>
      </c>
      <c r="BI521" s="3"/>
      <c r="BJ521" s="3"/>
      <c r="BK521" s="3"/>
      <c r="BL521" s="3"/>
      <c r="BM521" s="3"/>
    </row>
    <row r="522" customFormat="false" ht="15" hidden="false" customHeight="false" outlineLevel="0" collapsed="false">
      <c r="A522" s="3" t="s">
        <v>67</v>
      </c>
      <c r="B522" s="3" t="s">
        <v>147</v>
      </c>
      <c r="C522" s="3" t="s">
        <v>1376</v>
      </c>
      <c r="D522" s="3" t="s">
        <v>1377</v>
      </c>
      <c r="E522" s="3" t="n">
        <v>1</v>
      </c>
      <c r="F522" s="6" t="n">
        <f aca="false">H522*Pesos!$B$2+I522*Pesos!$B$3+J522*Pesos!$B$4+K522*Pesos!$B$5+L522*Pesos!$B$6+M522*Pesos!$B$7+N522*Pesos!$B$8+O522*Pesos!$B$9+P522*Pesos!$B$10+Q522*Pesos!$B$11+R522*Pesos!$B$12+S522*Pesos!$B$13+T522*Pesos!$B$14+U522*Pesos!$B$15+V522*Pesos!$B$16+W522*Pesos!$B$17+X522*Pesos!$B$18+Y522*Pesos!$B$19+Z522*Pesos!$B$20+AA522*Pesos!$B$21+AB522*Pesos!$B$22+AC522*Pesos!$B$23+AD522*Pesos!$B$24+AE522*Pesos!$B$25+AF522*Pesos!$B$26+AG522*Pesos!$B$27+AH522*Pesos!$B$28+AI522*Pesos!$B$29+AJ522*Pesos!$B$30+AK522*Pesos!$B$31+AL522*Pesos!$B$32+AM522*Pesos!$B$33+AN522*Pesos!$B$34+AO522*Pesos!$B$35+AP522*Pesos!$B$36+AQ522*Pesos!$B$37+AR522*Pesos!$B$38+AS522*Pesos!$B$39+AT522*Pesos!$B$40+AU522*Pesos!$B$41+AV522*Pesos!$B$42+AW522*Pesos!$B$43+AX522*Pesos!$B$44+AY522*Pesos!$B$45+AZ522*Pesos!$B$46+BA522*Pesos!$B$47+BB522*Pesos!$B$48+BC522*Pesos!$B$49+BD522*Pesos!$B$50+BE522*Pesos!$B$51+BF522*Pesos!$B$52+BG522*Pesos!$B$53</f>
        <v>0</v>
      </c>
      <c r="G522" s="6" t="n">
        <f aca="false">E522*F522</f>
        <v>0</v>
      </c>
      <c r="H522" s="3" t="n">
        <v>35</v>
      </c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 t="s">
        <v>1273</v>
      </c>
      <c r="BK522" s="3"/>
      <c r="BL522" s="3"/>
      <c r="BM522" s="3"/>
    </row>
    <row r="523" customFormat="false" ht="15" hidden="false" customHeight="false" outlineLevel="0" collapsed="false">
      <c r="A523" s="3" t="s">
        <v>67</v>
      </c>
      <c r="B523" s="3" t="s">
        <v>147</v>
      </c>
      <c r="C523" s="3" t="s">
        <v>1378</v>
      </c>
      <c r="D523" s="3" t="s">
        <v>1379</v>
      </c>
      <c r="E523" s="3" t="n">
        <v>1</v>
      </c>
      <c r="F523" s="6" t="n">
        <f aca="false">H523*Pesos!$B$2+I523*Pesos!$B$3+J523*Pesos!$B$4+K523*Pesos!$B$5+L523*Pesos!$B$6+M523*Pesos!$B$7+N523*Pesos!$B$8+O523*Pesos!$B$9+P523*Pesos!$B$10+Q523*Pesos!$B$11+R523*Pesos!$B$12+S523*Pesos!$B$13+T523*Pesos!$B$14+U523*Pesos!$B$15+V523*Pesos!$B$16+W523*Pesos!$B$17+X523*Pesos!$B$18+Y523*Pesos!$B$19+Z523*Pesos!$B$20+AA523*Pesos!$B$21+AB523*Pesos!$B$22+AC523*Pesos!$B$23+AD523*Pesos!$B$24+AE523*Pesos!$B$25+AF523*Pesos!$B$26+AG523*Pesos!$B$27+AH523*Pesos!$B$28+AI523*Pesos!$B$29+AJ523*Pesos!$B$30+AK523*Pesos!$B$31+AL523*Pesos!$B$32+AM523*Pesos!$B$33+AN523*Pesos!$B$34+AO523*Pesos!$B$35+AP523*Pesos!$B$36+AQ523*Pesos!$B$37+AR523*Pesos!$B$38+AS523*Pesos!$B$39+AT523*Pesos!$B$40+AU523*Pesos!$B$41+AV523*Pesos!$B$42+AW523*Pesos!$B$43+AX523*Pesos!$B$44+AY523*Pesos!$B$45+AZ523*Pesos!$B$46+BA523*Pesos!$B$47+BB523*Pesos!$B$48+BC523*Pesos!$B$49+BD523*Pesos!$B$50+BE523*Pesos!$B$51+BF523*Pesos!$B$52+BG523*Pesos!$B$53</f>
        <v>80</v>
      </c>
      <c r="G523" s="6" t="n">
        <f aca="false">E523*F523</f>
        <v>80</v>
      </c>
      <c r="H523" s="3" t="n">
        <v>49</v>
      </c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 t="n">
        <v>5</v>
      </c>
      <c r="AT523" s="3"/>
      <c r="AU523" s="3"/>
      <c r="AV523" s="3" t="n">
        <v>10</v>
      </c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 t="s">
        <v>1379</v>
      </c>
      <c r="BI523" s="3"/>
      <c r="BJ523" s="3"/>
      <c r="BK523" s="3"/>
      <c r="BL523" s="3"/>
      <c r="BM523" s="3"/>
    </row>
    <row r="524" customFormat="false" ht="15" hidden="false" customHeight="false" outlineLevel="0" collapsed="false">
      <c r="A524" s="3" t="s">
        <v>67</v>
      </c>
      <c r="B524" s="3" t="s">
        <v>147</v>
      </c>
      <c r="C524" s="3" t="s">
        <v>1380</v>
      </c>
      <c r="D524" s="3" t="s">
        <v>1381</v>
      </c>
      <c r="E524" s="3" t="n">
        <v>1</v>
      </c>
      <c r="F524" s="6" t="n">
        <f aca="false">H524*Pesos!$B$2+I524*Pesos!$B$3+J524*Pesos!$B$4+K524*Pesos!$B$5+L524*Pesos!$B$6+M524*Pesos!$B$7+N524*Pesos!$B$8+O524*Pesos!$B$9+P524*Pesos!$B$10+Q524*Pesos!$B$11+R524*Pesos!$B$12+S524*Pesos!$B$13+T524*Pesos!$B$14+U524*Pesos!$B$15+V524*Pesos!$B$16+W524*Pesos!$B$17+X524*Pesos!$B$18+Y524*Pesos!$B$19+Z524*Pesos!$B$20+AA524*Pesos!$B$21+AB524*Pesos!$B$22+AC524*Pesos!$B$23+AD524*Pesos!$B$24+AE524*Pesos!$B$25+AF524*Pesos!$B$26+AG524*Pesos!$B$27+AH524*Pesos!$B$28+AI524*Pesos!$B$29+AJ524*Pesos!$B$30+AK524*Pesos!$B$31+AL524*Pesos!$B$32+AM524*Pesos!$B$33+AN524*Pesos!$B$34+AO524*Pesos!$B$35+AP524*Pesos!$B$36+AQ524*Pesos!$B$37+AR524*Pesos!$B$38+AS524*Pesos!$B$39+AT524*Pesos!$B$40+AU524*Pesos!$B$41+AV524*Pesos!$B$42+AW524*Pesos!$B$43+AX524*Pesos!$B$44+AY524*Pesos!$B$45+AZ524*Pesos!$B$46+BA524*Pesos!$B$47+BB524*Pesos!$B$48+BC524*Pesos!$B$49+BD524*Pesos!$B$50+BE524*Pesos!$B$51+BF524*Pesos!$B$52+BG524*Pesos!$B$53</f>
        <v>50</v>
      </c>
      <c r="G524" s="6" t="n">
        <f aca="false">E524*F524</f>
        <v>50</v>
      </c>
      <c r="H524" s="3" t="n">
        <v>49</v>
      </c>
      <c r="I524" s="3"/>
      <c r="J524" s="3"/>
      <c r="K524" s="3"/>
      <c r="L524" s="3"/>
      <c r="M524" s="3" t="n">
        <v>50</v>
      </c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 t="s">
        <v>1273</v>
      </c>
      <c r="BK524" s="3"/>
      <c r="BL524" s="3"/>
      <c r="BM524" s="3"/>
    </row>
    <row r="525" customFormat="false" ht="15" hidden="false" customHeight="false" outlineLevel="0" collapsed="false">
      <c r="A525" s="3" t="s">
        <v>67</v>
      </c>
      <c r="B525" s="3" t="s">
        <v>147</v>
      </c>
      <c r="C525" s="3" t="s">
        <v>1382</v>
      </c>
      <c r="D525" s="3" t="s">
        <v>1383</v>
      </c>
      <c r="E525" s="3" t="n">
        <v>1</v>
      </c>
      <c r="F525" s="6" t="n">
        <f aca="false">H525*Pesos!$B$2+I525*Pesos!$B$3+J525*Pesos!$B$4+K525*Pesos!$B$5+L525*Pesos!$B$6+M525*Pesos!$B$7+N525*Pesos!$B$8+O525*Pesos!$B$9+P525*Pesos!$B$10+Q525*Pesos!$B$11+R525*Pesos!$B$12+S525*Pesos!$B$13+T525*Pesos!$B$14+U525*Pesos!$B$15+V525*Pesos!$B$16+W525*Pesos!$B$17+X525*Pesos!$B$18+Y525*Pesos!$B$19+Z525*Pesos!$B$20+AA525*Pesos!$B$21+AB525*Pesos!$B$22+AC525*Pesos!$B$23+AD525*Pesos!$B$24+AE525*Pesos!$B$25+AF525*Pesos!$B$26+AG525*Pesos!$B$27+AH525*Pesos!$B$28+AI525*Pesos!$B$29+AJ525*Pesos!$B$30+AK525*Pesos!$B$31+AL525*Pesos!$B$32+AM525*Pesos!$B$33+AN525*Pesos!$B$34+AO525*Pesos!$B$35+AP525*Pesos!$B$36+AQ525*Pesos!$B$37+AR525*Pesos!$B$38+AS525*Pesos!$B$39+AT525*Pesos!$B$40+AU525*Pesos!$B$41+AV525*Pesos!$B$42+AW525*Pesos!$B$43+AX525*Pesos!$B$44+AY525*Pesos!$B$45+AZ525*Pesos!$B$46+BA525*Pesos!$B$47+BB525*Pesos!$B$48+BC525*Pesos!$B$49+BD525*Pesos!$B$50+BE525*Pesos!$B$51+BF525*Pesos!$B$52+BG525*Pesos!$B$53</f>
        <v>-50.5</v>
      </c>
      <c r="G525" s="6" t="n">
        <f aca="false">E525*F525</f>
        <v>-50.5</v>
      </c>
      <c r="H525" s="3" t="n">
        <v>63</v>
      </c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 t="n">
        <v>-0.1</v>
      </c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 t="n">
        <v>1.5</v>
      </c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 t="s">
        <v>1384</v>
      </c>
      <c r="BK525" s="3"/>
      <c r="BL525" s="3"/>
      <c r="BM525" s="3"/>
    </row>
    <row r="526" customFormat="false" ht="15" hidden="false" customHeight="false" outlineLevel="0" collapsed="false">
      <c r="A526" s="3" t="s">
        <v>67</v>
      </c>
      <c r="B526" s="3" t="s">
        <v>147</v>
      </c>
      <c r="C526" s="3" t="s">
        <v>1385</v>
      </c>
      <c r="D526" s="3" t="s">
        <v>1386</v>
      </c>
      <c r="E526" s="3" t="n">
        <v>1</v>
      </c>
      <c r="F526" s="6" t="n">
        <f aca="false">H526*Pesos!$B$2+I526*Pesos!$B$3+J526*Pesos!$B$4+K526*Pesos!$B$5+L526*Pesos!$B$6+M526*Pesos!$B$7+N526*Pesos!$B$8+O526*Pesos!$B$9+P526*Pesos!$B$10+Q526*Pesos!$B$11+R526*Pesos!$B$12+S526*Pesos!$B$13+T526*Pesos!$B$14+U526*Pesos!$B$15+V526*Pesos!$B$16+W526*Pesos!$B$17+X526*Pesos!$B$18+Y526*Pesos!$B$19+Z526*Pesos!$B$20+AA526*Pesos!$B$21+AB526*Pesos!$B$22+AC526*Pesos!$B$23+AD526*Pesos!$B$24+AE526*Pesos!$B$25+AF526*Pesos!$B$26+AG526*Pesos!$B$27+AH526*Pesos!$B$28+AI526*Pesos!$B$29+AJ526*Pesos!$B$30+AK526*Pesos!$B$31+AL526*Pesos!$B$32+AM526*Pesos!$B$33+AN526*Pesos!$B$34+AO526*Pesos!$B$35+AP526*Pesos!$B$36+AQ526*Pesos!$B$37+AR526*Pesos!$B$38+AS526*Pesos!$B$39+AT526*Pesos!$B$40+AU526*Pesos!$B$41+AV526*Pesos!$B$42+AW526*Pesos!$B$43+AX526*Pesos!$B$44+AY526*Pesos!$B$45+AZ526*Pesos!$B$46+BA526*Pesos!$B$47+BB526*Pesos!$B$48+BC526*Pesos!$B$49+BD526*Pesos!$B$50+BE526*Pesos!$B$51+BF526*Pesos!$B$52+BG526*Pesos!$B$53</f>
        <v>90</v>
      </c>
      <c r="G526" s="6" t="n">
        <f aca="false">E526*F526</f>
        <v>90</v>
      </c>
      <c r="H526" s="3" t="n">
        <v>63</v>
      </c>
      <c r="I526" s="3" t="n">
        <v>50</v>
      </c>
      <c r="J526" s="3"/>
      <c r="K526" s="3" t="n">
        <v>5</v>
      </c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 t="s">
        <v>1287</v>
      </c>
      <c r="BK526" s="3"/>
      <c r="BL526" s="3"/>
      <c r="BM526" s="3"/>
    </row>
    <row r="527" customFormat="false" ht="15" hidden="false" customHeight="false" outlineLevel="0" collapsed="false">
      <c r="A527" s="3" t="s">
        <v>67</v>
      </c>
      <c r="B527" s="3" t="s">
        <v>147</v>
      </c>
      <c r="C527" s="3" t="s">
        <v>1387</v>
      </c>
      <c r="D527" s="3" t="s">
        <v>1388</v>
      </c>
      <c r="E527" s="3" t="n">
        <v>1</v>
      </c>
      <c r="F527" s="6" t="n">
        <f aca="false">H527*Pesos!$B$2+I527*Pesos!$B$3+J527*Pesos!$B$4+K527*Pesos!$B$5+L527*Pesos!$B$6+M527*Pesos!$B$7+N527*Pesos!$B$8+O527*Pesos!$B$9+P527*Pesos!$B$10+Q527*Pesos!$B$11+R527*Pesos!$B$12+S527*Pesos!$B$13+T527*Pesos!$B$14+U527*Pesos!$B$15+V527*Pesos!$B$16+W527*Pesos!$B$17+X527*Pesos!$B$18+Y527*Pesos!$B$19+Z527*Pesos!$B$20+AA527*Pesos!$B$21+AB527*Pesos!$B$22+AC527*Pesos!$B$23+AD527*Pesos!$B$24+AE527*Pesos!$B$25+AF527*Pesos!$B$26+AG527*Pesos!$B$27+AH527*Pesos!$B$28+AI527*Pesos!$B$29+AJ527*Pesos!$B$30+AK527*Pesos!$B$31+AL527*Pesos!$B$32+AM527*Pesos!$B$33+AN527*Pesos!$B$34+AO527*Pesos!$B$35+AP527*Pesos!$B$36+AQ527*Pesos!$B$37+AR527*Pesos!$B$38+AS527*Pesos!$B$39+AT527*Pesos!$B$40+AU527*Pesos!$B$41+AV527*Pesos!$B$42+AW527*Pesos!$B$43+AX527*Pesos!$B$44+AY527*Pesos!$B$45+AZ527*Pesos!$B$46+BA527*Pesos!$B$47+BB527*Pesos!$B$48+BC527*Pesos!$B$49+BD527*Pesos!$B$50+BE527*Pesos!$B$51+BF527*Pesos!$B$52+BG527*Pesos!$B$53</f>
        <v>230</v>
      </c>
      <c r="G527" s="6" t="n">
        <f aca="false">E527*F527</f>
        <v>230</v>
      </c>
      <c r="H527" s="3" t="n">
        <v>105</v>
      </c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 t="n">
        <v>10</v>
      </c>
      <c r="AC527" s="3" t="n">
        <v>10</v>
      </c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 t="n">
        <v>5</v>
      </c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 t="s">
        <v>1389</v>
      </c>
      <c r="BI527" s="3"/>
      <c r="BJ527" s="3" t="s">
        <v>1390</v>
      </c>
      <c r="BK527" s="3"/>
      <c r="BL527" s="3"/>
      <c r="BM527" s="3"/>
    </row>
    <row r="528" customFormat="false" ht="15" hidden="false" customHeight="false" outlineLevel="0" collapsed="false">
      <c r="A528" s="3" t="s">
        <v>67</v>
      </c>
      <c r="B528" s="3" t="s">
        <v>148</v>
      </c>
      <c r="C528" s="3" t="s">
        <v>1391</v>
      </c>
      <c r="D528" s="3" t="s">
        <v>1392</v>
      </c>
      <c r="E528" s="3" t="n">
        <v>1</v>
      </c>
      <c r="F528" s="6" t="n">
        <f aca="false">H528*Pesos!$B$2+I528*Pesos!$B$3+J528*Pesos!$B$4+K528*Pesos!$B$5+L528*Pesos!$B$6+M528*Pesos!$B$7+N528*Pesos!$B$8+O528*Pesos!$B$9+P528*Pesos!$B$10+Q528*Pesos!$B$11+R528*Pesos!$B$12+S528*Pesos!$B$13+T528*Pesos!$B$14+U528*Pesos!$B$15+V528*Pesos!$B$16+W528*Pesos!$B$17+X528*Pesos!$B$18+Y528*Pesos!$B$19+Z528*Pesos!$B$20+AA528*Pesos!$B$21+AB528*Pesos!$B$22+AC528*Pesos!$B$23+AD528*Pesos!$B$24+AE528*Pesos!$B$25+AF528*Pesos!$B$26+AG528*Pesos!$B$27+AH528*Pesos!$B$28+AI528*Pesos!$B$29+AJ528*Pesos!$B$30+AK528*Pesos!$B$31+AL528*Pesos!$B$32+AM528*Pesos!$B$33+AN528*Pesos!$B$34+AO528*Pesos!$B$35+AP528*Pesos!$B$36+AQ528*Pesos!$B$37+AR528*Pesos!$B$38+AS528*Pesos!$B$39+AT528*Pesos!$B$40+AU528*Pesos!$B$41+AV528*Pesos!$B$42+AW528*Pesos!$B$43+AX528*Pesos!$B$44+AY528*Pesos!$B$45+AZ528*Pesos!$B$46+BA528*Pesos!$B$47+BB528*Pesos!$B$48+BC528*Pesos!$B$49+BD528*Pesos!$B$50+BE528*Pesos!$B$51+BF528*Pesos!$B$52+BG528*Pesos!$B$53</f>
        <v>50</v>
      </c>
      <c r="G528" s="6" t="n">
        <f aca="false">E528*F528</f>
        <v>50</v>
      </c>
      <c r="H528" s="3" t="n">
        <v>49</v>
      </c>
      <c r="I528" s="3" t="n">
        <v>50</v>
      </c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 t="s">
        <v>1273</v>
      </c>
      <c r="BK528" s="3"/>
      <c r="BL528" s="3"/>
      <c r="BM528" s="3"/>
    </row>
    <row r="529" customFormat="false" ht="15" hidden="false" customHeight="false" outlineLevel="0" collapsed="false">
      <c r="A529" s="3" t="s">
        <v>67</v>
      </c>
      <c r="B529" s="3" t="s">
        <v>148</v>
      </c>
      <c r="C529" s="3" t="s">
        <v>1393</v>
      </c>
      <c r="D529" s="3" t="s">
        <v>1394</v>
      </c>
      <c r="E529" s="3" t="n">
        <v>1</v>
      </c>
      <c r="F529" s="6" t="n">
        <f aca="false">H529*Pesos!$B$2+I529*Pesos!$B$3+J529*Pesos!$B$4+K529*Pesos!$B$5+L529*Pesos!$B$6+M529*Pesos!$B$7+N529*Pesos!$B$8+O529*Pesos!$B$9+P529*Pesos!$B$10+Q529*Pesos!$B$11+R529*Pesos!$B$12+S529*Pesos!$B$13+T529*Pesos!$B$14+U529*Pesos!$B$15+V529*Pesos!$B$16+W529*Pesos!$B$17+X529*Pesos!$B$18+Y529*Pesos!$B$19+Z529*Pesos!$B$20+AA529*Pesos!$B$21+AB529*Pesos!$B$22+AC529*Pesos!$B$23+AD529*Pesos!$B$24+AE529*Pesos!$B$25+AF529*Pesos!$B$26+AG529*Pesos!$B$27+AH529*Pesos!$B$28+AI529*Pesos!$B$29+AJ529*Pesos!$B$30+AK529*Pesos!$B$31+AL529*Pesos!$B$32+AM529*Pesos!$B$33+AN529*Pesos!$B$34+AO529*Pesos!$B$35+AP529*Pesos!$B$36+AQ529*Pesos!$B$37+AR529*Pesos!$B$38+AS529*Pesos!$B$39+AT529*Pesos!$B$40+AU529*Pesos!$B$41+AV529*Pesos!$B$42+AW529*Pesos!$B$43+AX529*Pesos!$B$44+AY529*Pesos!$B$45+AZ529*Pesos!$B$46+BA529*Pesos!$B$47+BB529*Pesos!$B$48+BC529*Pesos!$B$49+BD529*Pesos!$B$50+BE529*Pesos!$B$51+BF529*Pesos!$B$52+BG529*Pesos!$B$53</f>
        <v>50.15</v>
      </c>
      <c r="G529" s="6" t="n">
        <f aca="false">E529*F529</f>
        <v>50.15</v>
      </c>
      <c r="H529" s="3" t="n">
        <v>49</v>
      </c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 t="n">
        <v>5</v>
      </c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 t="n">
        <v>0.05</v>
      </c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 t="s">
        <v>1394</v>
      </c>
      <c r="BI529" s="3"/>
      <c r="BJ529" s="3"/>
      <c r="BK529" s="3"/>
      <c r="BL529" s="3"/>
      <c r="BM529" s="3"/>
    </row>
    <row r="530" customFormat="false" ht="15" hidden="false" customHeight="false" outlineLevel="0" collapsed="false">
      <c r="A530" s="3" t="s">
        <v>67</v>
      </c>
      <c r="B530" s="3" t="s">
        <v>148</v>
      </c>
      <c r="C530" s="3" t="s">
        <v>1395</v>
      </c>
      <c r="D530" s="3" t="s">
        <v>1396</v>
      </c>
      <c r="E530" s="3" t="n">
        <v>1</v>
      </c>
      <c r="F530" s="6" t="n">
        <f aca="false">H530*Pesos!$B$2+I530*Pesos!$B$3+J530*Pesos!$B$4+K530*Pesos!$B$5+L530*Pesos!$B$6+M530*Pesos!$B$7+N530*Pesos!$B$8+O530*Pesos!$B$9+P530*Pesos!$B$10+Q530*Pesos!$B$11+R530*Pesos!$B$12+S530*Pesos!$B$13+T530*Pesos!$B$14+U530*Pesos!$B$15+V530*Pesos!$B$16+W530*Pesos!$B$17+X530*Pesos!$B$18+Y530*Pesos!$B$19+Z530*Pesos!$B$20+AA530*Pesos!$B$21+AB530*Pesos!$B$22+AC530*Pesos!$B$23+AD530*Pesos!$B$24+AE530*Pesos!$B$25+AF530*Pesos!$B$26+AG530*Pesos!$B$27+AH530*Pesos!$B$28+AI530*Pesos!$B$29+AJ530*Pesos!$B$30+AK530*Pesos!$B$31+AL530*Pesos!$B$32+AM530*Pesos!$B$33+AN530*Pesos!$B$34+AO530*Pesos!$B$35+AP530*Pesos!$B$36+AQ530*Pesos!$B$37+AR530*Pesos!$B$38+AS530*Pesos!$B$39+AT530*Pesos!$B$40+AU530*Pesos!$B$41+AV530*Pesos!$B$42+AW530*Pesos!$B$43+AX530*Pesos!$B$44+AY530*Pesos!$B$45+AZ530*Pesos!$B$46+BA530*Pesos!$B$47+BB530*Pesos!$B$48+BC530*Pesos!$B$49+BD530*Pesos!$B$50+BE530*Pesos!$B$51+BF530*Pesos!$B$52+BG530*Pesos!$B$53</f>
        <v>160</v>
      </c>
      <c r="G530" s="6" t="n">
        <f aca="false">E530*F530</f>
        <v>160</v>
      </c>
      <c r="H530" s="3" t="n">
        <v>63</v>
      </c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 t="n">
        <v>2</v>
      </c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customFormat="false" ht="15" hidden="false" customHeight="false" outlineLevel="0" collapsed="false">
      <c r="A531" s="3" t="s">
        <v>67</v>
      </c>
      <c r="B531" s="3" t="s">
        <v>148</v>
      </c>
      <c r="C531" s="3" t="s">
        <v>1397</v>
      </c>
      <c r="D531" s="3" t="s">
        <v>1398</v>
      </c>
      <c r="E531" s="3" t="n">
        <v>1</v>
      </c>
      <c r="F531" s="6" t="n">
        <f aca="false">H531*Pesos!$B$2+I531*Pesos!$B$3+J531*Pesos!$B$4+K531*Pesos!$B$5+L531*Pesos!$B$6+M531*Pesos!$B$7+N531*Pesos!$B$8+O531*Pesos!$B$9+P531*Pesos!$B$10+Q531*Pesos!$B$11+R531*Pesos!$B$12+S531*Pesos!$B$13+T531*Pesos!$B$14+U531*Pesos!$B$15+V531*Pesos!$B$16+W531*Pesos!$B$17+X531*Pesos!$B$18+Y531*Pesos!$B$19+Z531*Pesos!$B$20+AA531*Pesos!$B$21+AB531*Pesos!$B$22+AC531*Pesos!$B$23+AD531*Pesos!$B$24+AE531*Pesos!$B$25+AF531*Pesos!$B$26+AG531*Pesos!$B$27+AH531*Pesos!$B$28+AI531*Pesos!$B$29+AJ531*Pesos!$B$30+AK531*Pesos!$B$31+AL531*Pesos!$B$32+AM531*Pesos!$B$33+AN531*Pesos!$B$34+AO531*Pesos!$B$35+AP531*Pesos!$B$36+AQ531*Pesos!$B$37+AR531*Pesos!$B$38+AS531*Pesos!$B$39+AT531*Pesos!$B$40+AU531*Pesos!$B$41+AV531*Pesos!$B$42+AW531*Pesos!$B$43+AX531*Pesos!$B$44+AY531*Pesos!$B$45+AZ531*Pesos!$B$46+BA531*Pesos!$B$47+BB531*Pesos!$B$48+BC531*Pesos!$B$49+BD531*Pesos!$B$50+BE531*Pesos!$B$51+BF531*Pesos!$B$52+BG531*Pesos!$B$53</f>
        <v>220</v>
      </c>
      <c r="G531" s="6" t="n">
        <f aca="false">E531*F531</f>
        <v>220</v>
      </c>
      <c r="H531" s="3" t="n">
        <v>84</v>
      </c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 t="n">
        <v>5</v>
      </c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 t="n">
        <v>10</v>
      </c>
      <c r="AS531" s="3" t="n">
        <v>5</v>
      </c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 t="s">
        <v>1398</v>
      </c>
      <c r="BI531" s="3"/>
      <c r="BJ531" s="3"/>
      <c r="BK531" s="3"/>
      <c r="BL531" s="3"/>
      <c r="BM531" s="3"/>
    </row>
    <row r="532" customFormat="false" ht="15" hidden="false" customHeight="false" outlineLevel="0" collapsed="false">
      <c r="A532" s="3" t="s">
        <v>67</v>
      </c>
      <c r="B532" s="3" t="s">
        <v>148</v>
      </c>
      <c r="C532" s="3" t="s">
        <v>1399</v>
      </c>
      <c r="D532" s="3" t="s">
        <v>1400</v>
      </c>
      <c r="E532" s="3" t="n">
        <v>1</v>
      </c>
      <c r="F532" s="6" t="n">
        <f aca="false">H532*Pesos!$B$2+I532*Pesos!$B$3+J532*Pesos!$B$4+K532*Pesos!$B$5+L532*Pesos!$B$6+M532*Pesos!$B$7+N532*Pesos!$B$8+O532*Pesos!$B$9+P532*Pesos!$B$10+Q532*Pesos!$B$11+R532*Pesos!$B$12+S532*Pesos!$B$13+T532*Pesos!$B$14+U532*Pesos!$B$15+V532*Pesos!$B$16+W532*Pesos!$B$17+X532*Pesos!$B$18+Y532*Pesos!$B$19+Z532*Pesos!$B$20+AA532*Pesos!$B$21+AB532*Pesos!$B$22+AC532*Pesos!$B$23+AD532*Pesos!$B$24+AE532*Pesos!$B$25+AF532*Pesos!$B$26+AG532*Pesos!$B$27+AH532*Pesos!$B$28+AI532*Pesos!$B$29+AJ532*Pesos!$B$30+AK532*Pesos!$B$31+AL532*Pesos!$B$32+AM532*Pesos!$B$33+AN532*Pesos!$B$34+AO532*Pesos!$B$35+AP532*Pesos!$B$36+AQ532*Pesos!$B$37+AR532*Pesos!$B$38+AS532*Pesos!$B$39+AT532*Pesos!$B$40+AU532*Pesos!$B$41+AV532*Pesos!$B$42+AW532*Pesos!$B$43+AX532*Pesos!$B$44+AY532*Pesos!$B$45+AZ532*Pesos!$B$46+BA532*Pesos!$B$47+BB532*Pesos!$B$48+BC532*Pesos!$B$49+BD532*Pesos!$B$50+BE532*Pesos!$B$51+BF532*Pesos!$B$52+BG532*Pesos!$B$53</f>
        <v>34.5</v>
      </c>
      <c r="G532" s="6" t="n">
        <f aca="false">E532*F532</f>
        <v>34.5</v>
      </c>
      <c r="H532" s="3" t="n">
        <v>63</v>
      </c>
      <c r="I532" s="3"/>
      <c r="J532" s="3" t="n">
        <v>10</v>
      </c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 t="n">
        <v>-0.1</v>
      </c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 t="n">
        <v>0.5</v>
      </c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 t="s">
        <v>1401</v>
      </c>
      <c r="BK532" s="3"/>
      <c r="BL532" s="3"/>
      <c r="BM532" s="3"/>
    </row>
    <row r="533" customFormat="false" ht="15" hidden="false" customHeight="false" outlineLevel="0" collapsed="false">
      <c r="A533" s="3" t="s">
        <v>67</v>
      </c>
      <c r="B533" s="3" t="s">
        <v>148</v>
      </c>
      <c r="C533" s="3" t="s">
        <v>1402</v>
      </c>
      <c r="D533" s="3" t="s">
        <v>1403</v>
      </c>
      <c r="E533" s="3" t="n">
        <v>1</v>
      </c>
      <c r="F533" s="6" t="n">
        <f aca="false">H533*Pesos!$B$2+I533*Pesos!$B$3+J533*Pesos!$B$4+K533*Pesos!$B$5+L533*Pesos!$B$6+M533*Pesos!$B$7+N533*Pesos!$B$8+O533*Pesos!$B$9+P533*Pesos!$B$10+Q533*Pesos!$B$11+R533*Pesos!$B$12+S533*Pesos!$B$13+T533*Pesos!$B$14+U533*Pesos!$B$15+V533*Pesos!$B$16+W533*Pesos!$B$17+X533*Pesos!$B$18+Y533*Pesos!$B$19+Z533*Pesos!$B$20+AA533*Pesos!$B$21+AB533*Pesos!$B$22+AC533*Pesos!$B$23+AD533*Pesos!$B$24+AE533*Pesos!$B$25+AF533*Pesos!$B$26+AG533*Pesos!$B$27+AH533*Pesos!$B$28+AI533*Pesos!$B$29+AJ533*Pesos!$B$30+AK533*Pesos!$B$31+AL533*Pesos!$B$32+AM533*Pesos!$B$33+AN533*Pesos!$B$34+AO533*Pesos!$B$35+AP533*Pesos!$B$36+AQ533*Pesos!$B$37+AR533*Pesos!$B$38+AS533*Pesos!$B$39+AT533*Pesos!$B$40+AU533*Pesos!$B$41+AV533*Pesos!$B$42+AW533*Pesos!$B$43+AX533*Pesos!$B$44+AY533*Pesos!$B$45+AZ533*Pesos!$B$46+BA533*Pesos!$B$47+BB533*Pesos!$B$48+BC533*Pesos!$B$49+BD533*Pesos!$B$50+BE533*Pesos!$B$51+BF533*Pesos!$B$52+BG533*Pesos!$B$53</f>
        <v>300</v>
      </c>
      <c r="G533" s="6" t="n">
        <f aca="false">E533*F533</f>
        <v>300</v>
      </c>
      <c r="H533" s="3" t="n">
        <v>105</v>
      </c>
      <c r="I533" s="3"/>
      <c r="J533" s="3"/>
      <c r="K533" s="3"/>
      <c r="L533" s="3"/>
      <c r="M533" s="3"/>
      <c r="N533" s="3"/>
      <c r="O533" s="3"/>
      <c r="P533" s="3" t="n">
        <v>1</v>
      </c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customFormat="false" ht="15" hidden="false" customHeight="false" outlineLevel="0" collapsed="false">
      <c r="A534" s="3" t="s">
        <v>68</v>
      </c>
      <c r="B534" s="3" t="s">
        <v>149</v>
      </c>
      <c r="C534" s="3" t="s">
        <v>1404</v>
      </c>
      <c r="D534" s="3" t="s">
        <v>1405</v>
      </c>
      <c r="E534" s="3" t="n">
        <v>1</v>
      </c>
      <c r="F534" s="6" t="n">
        <f aca="false">H534*Pesos!$B$2+I534*Pesos!$B$3+J534*Pesos!$B$4+K534*Pesos!$B$5+L534*Pesos!$B$6+M534*Pesos!$B$7+N534*Pesos!$B$8+O534*Pesos!$B$9+P534*Pesos!$B$10+Q534*Pesos!$B$11+R534*Pesos!$B$12+S534*Pesos!$B$13+T534*Pesos!$B$14+U534*Pesos!$B$15+V534*Pesos!$B$16+W534*Pesos!$B$17+X534*Pesos!$B$18+Y534*Pesos!$B$19+Z534*Pesos!$B$20+AA534*Pesos!$B$21+AB534*Pesos!$B$22+AC534*Pesos!$B$23+AD534*Pesos!$B$24+AE534*Pesos!$B$25+AF534*Pesos!$B$26+AG534*Pesos!$B$27+AH534*Pesos!$B$28+AI534*Pesos!$B$29+AJ534*Pesos!$B$30+AK534*Pesos!$B$31+AL534*Pesos!$B$32+AM534*Pesos!$B$33+AN534*Pesos!$B$34+AO534*Pesos!$B$35+AP534*Pesos!$B$36+AQ534*Pesos!$B$37+AR534*Pesos!$B$38+AS534*Pesos!$B$39+AT534*Pesos!$B$40+AU534*Pesos!$B$41+AV534*Pesos!$B$42+AW534*Pesos!$B$43+AX534*Pesos!$B$44+AY534*Pesos!$B$45+AZ534*Pesos!$B$46+BA534*Pesos!$B$47+BB534*Pesos!$B$48+BC534*Pesos!$B$49+BD534*Pesos!$B$50+BE534*Pesos!$B$51+BF534*Pesos!$B$52+BG534*Pesos!$B$53</f>
        <v>110</v>
      </c>
      <c r="G534" s="6" t="n">
        <f aca="false">E534*F534</f>
        <v>110</v>
      </c>
      <c r="H534" s="3" t="n">
        <v>35</v>
      </c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 t="n">
        <v>5</v>
      </c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 t="n">
        <v>5</v>
      </c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 t="s">
        <v>1406</v>
      </c>
      <c r="BI534" s="3"/>
      <c r="BJ534" s="3"/>
      <c r="BK534" s="3"/>
      <c r="BL534" s="3"/>
      <c r="BM534" s="3"/>
    </row>
    <row r="535" customFormat="false" ht="15" hidden="false" customHeight="false" outlineLevel="0" collapsed="false">
      <c r="A535" s="3" t="s">
        <v>68</v>
      </c>
      <c r="B535" s="3" t="s">
        <v>149</v>
      </c>
      <c r="C535" s="3" t="s">
        <v>1407</v>
      </c>
      <c r="D535" s="3" t="s">
        <v>1408</v>
      </c>
      <c r="E535" s="3" t="n">
        <v>1</v>
      </c>
      <c r="F535" s="6" t="n">
        <f aca="false">H535*Pesos!$B$2+I535*Pesos!$B$3+J535*Pesos!$B$4+K535*Pesos!$B$5+L535*Pesos!$B$6+M535*Pesos!$B$7+N535*Pesos!$B$8+O535*Pesos!$B$9+P535*Pesos!$B$10+Q535*Pesos!$B$11+R535*Pesos!$B$12+S535*Pesos!$B$13+T535*Pesos!$B$14+U535*Pesos!$B$15+V535*Pesos!$B$16+W535*Pesos!$B$17+X535*Pesos!$B$18+Y535*Pesos!$B$19+Z535*Pesos!$B$20+AA535*Pesos!$B$21+AB535*Pesos!$B$22+AC535*Pesos!$B$23+AD535*Pesos!$B$24+AE535*Pesos!$B$25+AF535*Pesos!$B$26+AG535*Pesos!$B$27+AH535*Pesos!$B$28+AI535*Pesos!$B$29+AJ535*Pesos!$B$30+AK535*Pesos!$B$31+AL535*Pesos!$B$32+AM535*Pesos!$B$33+AN535*Pesos!$B$34+AO535*Pesos!$B$35+AP535*Pesos!$B$36+AQ535*Pesos!$B$37+AR535*Pesos!$B$38+AS535*Pesos!$B$39+AT535*Pesos!$B$40+AU535*Pesos!$B$41+AV535*Pesos!$B$42+AW535*Pesos!$B$43+AX535*Pesos!$B$44+AY535*Pesos!$B$45+AZ535*Pesos!$B$46+BA535*Pesos!$B$47+BB535*Pesos!$B$48+BC535*Pesos!$B$49+BD535*Pesos!$B$50+BE535*Pesos!$B$51+BF535*Pesos!$B$52+BG535*Pesos!$B$53</f>
        <v>171</v>
      </c>
      <c r="G535" s="6" t="n">
        <f aca="false">E535*F535</f>
        <v>171</v>
      </c>
      <c r="H535" s="3" t="n">
        <v>35</v>
      </c>
      <c r="I535" s="3"/>
      <c r="J535" s="3"/>
      <c r="K535" s="3"/>
      <c r="L535" s="3" t="n">
        <v>40000</v>
      </c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 t="n">
        <v>3</v>
      </c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 t="n">
        <v>3</v>
      </c>
      <c r="AS535" s="3"/>
      <c r="AT535" s="3"/>
      <c r="AU535" s="3"/>
      <c r="AV535" s="3"/>
      <c r="AW535" s="3" t="n">
        <v>-5</v>
      </c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 t="s">
        <v>1409</v>
      </c>
      <c r="BI535" s="3"/>
      <c r="BJ535" s="3"/>
      <c r="BK535" s="3"/>
      <c r="BL535" s="3"/>
      <c r="BM535" s="3"/>
    </row>
    <row r="536" customFormat="false" ht="15" hidden="false" customHeight="false" outlineLevel="0" collapsed="false">
      <c r="A536" s="3" t="s">
        <v>68</v>
      </c>
      <c r="B536" s="3" t="s">
        <v>149</v>
      </c>
      <c r="C536" s="3" t="s">
        <v>1410</v>
      </c>
      <c r="D536" s="3" t="s">
        <v>1411</v>
      </c>
      <c r="E536" s="3" t="n">
        <v>1</v>
      </c>
      <c r="F536" s="6" t="n">
        <f aca="false">H536*Pesos!$B$2+I536*Pesos!$B$3+J536*Pesos!$B$4+K536*Pesos!$B$5+L536*Pesos!$B$6+M536*Pesos!$B$7+N536*Pesos!$B$8+O536*Pesos!$B$9+P536*Pesos!$B$10+Q536*Pesos!$B$11+R536*Pesos!$B$12+S536*Pesos!$B$13+T536*Pesos!$B$14+U536*Pesos!$B$15+V536*Pesos!$B$16+W536*Pesos!$B$17+X536*Pesos!$B$18+Y536*Pesos!$B$19+Z536*Pesos!$B$20+AA536*Pesos!$B$21+AB536*Pesos!$B$22+AC536*Pesos!$B$23+AD536*Pesos!$B$24+AE536*Pesos!$B$25+AF536*Pesos!$B$26+AG536*Pesos!$B$27+AH536*Pesos!$B$28+AI536*Pesos!$B$29+AJ536*Pesos!$B$30+AK536*Pesos!$B$31+AL536*Pesos!$B$32+AM536*Pesos!$B$33+AN536*Pesos!$B$34+AO536*Pesos!$B$35+AP536*Pesos!$B$36+AQ536*Pesos!$B$37+AR536*Pesos!$B$38+AS536*Pesos!$B$39+AT536*Pesos!$B$40+AU536*Pesos!$B$41+AV536*Pesos!$B$42+AW536*Pesos!$B$43+AX536*Pesos!$B$44+AY536*Pesos!$B$45+AZ536*Pesos!$B$46+BA536*Pesos!$B$47+BB536*Pesos!$B$48+BC536*Pesos!$B$49+BD536*Pesos!$B$50+BE536*Pesos!$B$51+BF536*Pesos!$B$52+BG536*Pesos!$B$53</f>
        <v>154</v>
      </c>
      <c r="G536" s="6" t="n">
        <f aca="false">E536*F536</f>
        <v>154</v>
      </c>
      <c r="H536" s="3" t="n">
        <v>35</v>
      </c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 t="n">
        <v>3000</v>
      </c>
      <c r="X536" s="3"/>
      <c r="Y536" s="3"/>
      <c r="Z536" s="3"/>
      <c r="AA536" s="3"/>
      <c r="AB536" s="3" t="n">
        <v>2</v>
      </c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 t="n">
        <v>2</v>
      </c>
      <c r="AS536" s="3" t="n">
        <v>5</v>
      </c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 t="s">
        <v>1412</v>
      </c>
      <c r="BI536" s="3"/>
      <c r="BJ536" s="3"/>
      <c r="BK536" s="3"/>
      <c r="BL536" s="3"/>
      <c r="BM536" s="3"/>
    </row>
    <row r="537" customFormat="false" ht="15" hidden="false" customHeight="false" outlineLevel="0" collapsed="false">
      <c r="A537" s="3" t="s">
        <v>68</v>
      </c>
      <c r="B537" s="3" t="s">
        <v>149</v>
      </c>
      <c r="C537" s="3" t="s">
        <v>1413</v>
      </c>
      <c r="D537" s="3" t="s">
        <v>1414</v>
      </c>
      <c r="E537" s="3" t="n">
        <v>1</v>
      </c>
      <c r="F537" s="6" t="n">
        <f aca="false">H537*Pesos!$B$2+I537*Pesos!$B$3+J537*Pesos!$B$4+K537*Pesos!$B$5+L537*Pesos!$B$6+M537*Pesos!$B$7+N537*Pesos!$B$8+O537*Pesos!$B$9+P537*Pesos!$B$10+Q537*Pesos!$B$11+R537*Pesos!$B$12+S537*Pesos!$B$13+T537*Pesos!$B$14+U537*Pesos!$B$15+V537*Pesos!$B$16+W537*Pesos!$B$17+X537*Pesos!$B$18+Y537*Pesos!$B$19+Z537*Pesos!$B$20+AA537*Pesos!$B$21+AB537*Pesos!$B$22+AC537*Pesos!$B$23+AD537*Pesos!$B$24+AE537*Pesos!$B$25+AF537*Pesos!$B$26+AG537*Pesos!$B$27+AH537*Pesos!$B$28+AI537*Pesos!$B$29+AJ537*Pesos!$B$30+AK537*Pesos!$B$31+AL537*Pesos!$B$32+AM537*Pesos!$B$33+AN537*Pesos!$B$34+AO537*Pesos!$B$35+AP537*Pesos!$B$36+AQ537*Pesos!$B$37+AR537*Pesos!$B$38+AS537*Pesos!$B$39+AT537*Pesos!$B$40+AU537*Pesos!$B$41+AV537*Pesos!$B$42+AW537*Pesos!$B$43+AX537*Pesos!$B$44+AY537*Pesos!$B$45+AZ537*Pesos!$B$46+BA537*Pesos!$B$47+BB537*Pesos!$B$48+BC537*Pesos!$B$49+BD537*Pesos!$B$50+BE537*Pesos!$B$51+BF537*Pesos!$B$52+BG537*Pesos!$B$53</f>
        <v>519</v>
      </c>
      <c r="G537" s="6" t="n">
        <f aca="false">E537*F537</f>
        <v>519</v>
      </c>
      <c r="H537" s="3" t="n">
        <v>35</v>
      </c>
      <c r="I537" s="3"/>
      <c r="J537" s="3"/>
      <c r="K537" s="3"/>
      <c r="L537" s="3" t="n">
        <v>80000</v>
      </c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 t="n">
        <v>2</v>
      </c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 t="n">
        <v>10</v>
      </c>
      <c r="AQ537" s="3"/>
      <c r="AR537" s="3" t="n">
        <v>2</v>
      </c>
      <c r="AS537" s="3"/>
      <c r="AT537" s="3"/>
      <c r="AU537" s="3"/>
      <c r="AV537" s="3"/>
      <c r="AW537" s="3" t="n">
        <v>-3</v>
      </c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 t="s">
        <v>1415</v>
      </c>
      <c r="BI537" s="3"/>
      <c r="BJ537" s="3"/>
      <c r="BK537" s="3"/>
      <c r="BL537" s="3"/>
      <c r="BM537" s="3"/>
    </row>
    <row r="538" customFormat="false" ht="15" hidden="false" customHeight="false" outlineLevel="0" collapsed="false">
      <c r="A538" s="3" t="s">
        <v>68</v>
      </c>
      <c r="B538" s="3" t="s">
        <v>149</v>
      </c>
      <c r="C538" s="3" t="s">
        <v>1416</v>
      </c>
      <c r="D538" s="3" t="s">
        <v>1417</v>
      </c>
      <c r="E538" s="3" t="n">
        <v>1</v>
      </c>
      <c r="F538" s="6" t="n">
        <f aca="false">H538*Pesos!$B$2+I538*Pesos!$B$3+J538*Pesos!$B$4+K538*Pesos!$B$5+L538*Pesos!$B$6+M538*Pesos!$B$7+N538*Pesos!$B$8+O538*Pesos!$B$9+P538*Pesos!$B$10+Q538*Pesos!$B$11+R538*Pesos!$B$12+S538*Pesos!$B$13+T538*Pesos!$B$14+U538*Pesos!$B$15+V538*Pesos!$B$16+W538*Pesos!$B$17+X538*Pesos!$B$18+Y538*Pesos!$B$19+Z538*Pesos!$B$20+AA538*Pesos!$B$21+AB538*Pesos!$B$22+AC538*Pesos!$B$23+AD538*Pesos!$B$24+AE538*Pesos!$B$25+AF538*Pesos!$B$26+AG538*Pesos!$B$27+AH538*Pesos!$B$28+AI538*Pesos!$B$29+AJ538*Pesos!$B$30+AK538*Pesos!$B$31+AL538*Pesos!$B$32+AM538*Pesos!$B$33+AN538*Pesos!$B$34+AO538*Pesos!$B$35+AP538*Pesos!$B$36+AQ538*Pesos!$B$37+AR538*Pesos!$B$38+AS538*Pesos!$B$39+AT538*Pesos!$B$40+AU538*Pesos!$B$41+AV538*Pesos!$B$42+AW538*Pesos!$B$43+AX538*Pesos!$B$44+AY538*Pesos!$B$45+AZ538*Pesos!$B$46+BA538*Pesos!$B$47+BB538*Pesos!$B$48+BC538*Pesos!$B$49+BD538*Pesos!$B$50+BE538*Pesos!$B$51+BF538*Pesos!$B$52+BG538*Pesos!$B$53</f>
        <v>438</v>
      </c>
      <c r="G538" s="6" t="n">
        <f aca="false">E538*F538</f>
        <v>438</v>
      </c>
      <c r="H538" s="3" t="n">
        <v>35</v>
      </c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 t="n">
        <v>4000</v>
      </c>
      <c r="X538" s="3"/>
      <c r="Y538" s="3"/>
      <c r="Z538" s="3"/>
      <c r="AA538" s="3"/>
      <c r="AB538" s="3" t="n">
        <v>4</v>
      </c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 t="n">
        <v>7</v>
      </c>
      <c r="AQ538" s="3"/>
      <c r="AR538" s="3" t="n">
        <v>4</v>
      </c>
      <c r="AS538" s="3" t="n">
        <v>4</v>
      </c>
      <c r="AT538" s="3"/>
      <c r="AU538" s="3"/>
      <c r="AV538" s="3"/>
      <c r="AW538" s="3" t="n">
        <v>-4</v>
      </c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 t="s">
        <v>1418</v>
      </c>
      <c r="BI538" s="3"/>
      <c r="BJ538" s="3"/>
      <c r="BK538" s="3"/>
      <c r="BL538" s="3"/>
      <c r="BM538" s="3"/>
    </row>
    <row r="539" customFormat="false" ht="15" hidden="false" customHeight="false" outlineLevel="0" collapsed="false">
      <c r="A539" s="3" t="s">
        <v>68</v>
      </c>
      <c r="B539" s="3" t="s">
        <v>149</v>
      </c>
      <c r="C539" s="3" t="s">
        <v>1419</v>
      </c>
      <c r="D539" s="3" t="s">
        <v>1420</v>
      </c>
      <c r="E539" s="3" t="n">
        <v>1</v>
      </c>
      <c r="F539" s="6" t="n">
        <f aca="false">H539*Pesos!$B$2+I539*Pesos!$B$3+J539*Pesos!$B$4+K539*Pesos!$B$5+L539*Pesos!$B$6+M539*Pesos!$B$7+N539*Pesos!$B$8+O539*Pesos!$B$9+P539*Pesos!$B$10+Q539*Pesos!$B$11+R539*Pesos!$B$12+S539*Pesos!$B$13+T539*Pesos!$B$14+U539*Pesos!$B$15+V539*Pesos!$B$16+W539*Pesos!$B$17+X539*Pesos!$B$18+Y539*Pesos!$B$19+Z539*Pesos!$B$20+AA539*Pesos!$B$21+AB539*Pesos!$B$22+AC539*Pesos!$B$23+AD539*Pesos!$B$24+AE539*Pesos!$B$25+AF539*Pesos!$B$26+AG539*Pesos!$B$27+AH539*Pesos!$B$28+AI539*Pesos!$B$29+AJ539*Pesos!$B$30+AK539*Pesos!$B$31+AL539*Pesos!$B$32+AM539*Pesos!$B$33+AN539*Pesos!$B$34+AO539*Pesos!$B$35+AP539*Pesos!$B$36+AQ539*Pesos!$B$37+AR539*Pesos!$B$38+AS539*Pesos!$B$39+AT539*Pesos!$B$40+AU539*Pesos!$B$41+AV539*Pesos!$B$42+AW539*Pesos!$B$43+AX539*Pesos!$B$44+AY539*Pesos!$B$45+AZ539*Pesos!$B$46+BA539*Pesos!$B$47+BB539*Pesos!$B$48+BC539*Pesos!$B$49+BD539*Pesos!$B$50+BE539*Pesos!$B$51+BF539*Pesos!$B$52+BG539*Pesos!$B$53</f>
        <v>410</v>
      </c>
      <c r="G539" s="6" t="n">
        <f aca="false">E539*F539</f>
        <v>410</v>
      </c>
      <c r="H539" s="3" t="n">
        <v>35</v>
      </c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 t="n">
        <v>14</v>
      </c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 t="n">
        <v>7</v>
      </c>
      <c r="AQ539" s="3"/>
      <c r="AR539" s="3" t="n">
        <v>4</v>
      </c>
      <c r="AS539" s="3" t="n">
        <v>4</v>
      </c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 t="s">
        <v>1421</v>
      </c>
      <c r="BI539" s="3"/>
      <c r="BJ539" s="3"/>
      <c r="BK539" s="3"/>
      <c r="BL539" s="3"/>
      <c r="BM539" s="3"/>
    </row>
    <row r="540" customFormat="false" ht="15" hidden="false" customHeight="false" outlineLevel="0" collapsed="false">
      <c r="A540" s="3" t="s">
        <v>68</v>
      </c>
      <c r="B540" s="3" t="s">
        <v>149</v>
      </c>
      <c r="C540" s="3" t="s">
        <v>1422</v>
      </c>
      <c r="D540" s="3" t="s">
        <v>1423</v>
      </c>
      <c r="E540" s="3" t="n">
        <v>1</v>
      </c>
      <c r="F540" s="6" t="n">
        <f aca="false">H540*Pesos!$B$2+I540*Pesos!$B$3+J540*Pesos!$B$4+K540*Pesos!$B$5+L540*Pesos!$B$6+M540*Pesos!$B$7+N540*Pesos!$B$8+O540*Pesos!$B$9+P540*Pesos!$B$10+Q540*Pesos!$B$11+R540*Pesos!$B$12+S540*Pesos!$B$13+T540*Pesos!$B$14+U540*Pesos!$B$15+V540*Pesos!$B$16+W540*Pesos!$B$17+X540*Pesos!$B$18+Y540*Pesos!$B$19+Z540*Pesos!$B$20+AA540*Pesos!$B$21+AB540*Pesos!$B$22+AC540*Pesos!$B$23+AD540*Pesos!$B$24+AE540*Pesos!$B$25+AF540*Pesos!$B$26+AG540*Pesos!$B$27+AH540*Pesos!$B$28+AI540*Pesos!$B$29+AJ540*Pesos!$B$30+AK540*Pesos!$B$31+AL540*Pesos!$B$32+AM540*Pesos!$B$33+AN540*Pesos!$B$34+AO540*Pesos!$B$35+AP540*Pesos!$B$36+AQ540*Pesos!$B$37+AR540*Pesos!$B$38+AS540*Pesos!$B$39+AT540*Pesos!$B$40+AU540*Pesos!$B$41+AV540*Pesos!$B$42+AW540*Pesos!$B$43+AX540*Pesos!$B$44+AY540*Pesos!$B$45+AZ540*Pesos!$B$46+BA540*Pesos!$B$47+BB540*Pesos!$B$48+BC540*Pesos!$B$49+BD540*Pesos!$B$50+BE540*Pesos!$B$51+BF540*Pesos!$B$52+BG540*Pesos!$B$53</f>
        <v>1093</v>
      </c>
      <c r="G540" s="6" t="n">
        <f aca="false">E540*F540</f>
        <v>1093</v>
      </c>
      <c r="H540" s="3" t="n">
        <v>35</v>
      </c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 t="n">
        <v>14</v>
      </c>
      <c r="AC540" s="3" t="n">
        <v>7</v>
      </c>
      <c r="AD540" s="3"/>
      <c r="AE540" s="3"/>
      <c r="AF540" s="3" t="n">
        <v>405</v>
      </c>
      <c r="AG540" s="3"/>
      <c r="AH540" s="3"/>
      <c r="AI540" s="3"/>
      <c r="AJ540" s="3"/>
      <c r="AK540" s="3"/>
      <c r="AL540" s="3"/>
      <c r="AM540" s="3"/>
      <c r="AN540" s="3"/>
      <c r="AO540" s="3"/>
      <c r="AP540" s="3" t="n">
        <v>7</v>
      </c>
      <c r="AQ540" s="3"/>
      <c r="AR540" s="3" t="n">
        <v>16</v>
      </c>
      <c r="AS540" s="3" t="n">
        <v>7</v>
      </c>
      <c r="AT540" s="3"/>
      <c r="AU540" s="3"/>
      <c r="AV540" s="3"/>
      <c r="AW540" s="3" t="n">
        <v>-4</v>
      </c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 t="s">
        <v>1424</v>
      </c>
      <c r="BI540" s="3"/>
      <c r="BJ540" s="3"/>
      <c r="BK540" s="3"/>
      <c r="BL540" s="3"/>
      <c r="BM540" s="3"/>
    </row>
    <row r="541" customFormat="false" ht="15" hidden="false" customHeight="false" outlineLevel="0" collapsed="false">
      <c r="A541" s="3" t="s">
        <v>69</v>
      </c>
      <c r="B541" s="3" t="s">
        <v>150</v>
      </c>
      <c r="C541" s="3" t="s">
        <v>1425</v>
      </c>
      <c r="D541" s="3" t="s">
        <v>1405</v>
      </c>
      <c r="E541" s="3" t="n">
        <v>1</v>
      </c>
      <c r="F541" s="6" t="n">
        <f aca="false">H541*Pesos!$B$2+I541*Pesos!$B$3+J541*Pesos!$B$4+K541*Pesos!$B$5+L541*Pesos!$B$6+M541*Pesos!$B$7+N541*Pesos!$B$8+O541*Pesos!$B$9+P541*Pesos!$B$10+Q541*Pesos!$B$11+R541*Pesos!$B$12+S541*Pesos!$B$13+T541*Pesos!$B$14+U541*Pesos!$B$15+V541*Pesos!$B$16+W541*Pesos!$B$17+X541*Pesos!$B$18+Y541*Pesos!$B$19+Z541*Pesos!$B$20+AA541*Pesos!$B$21+AB541*Pesos!$B$22+AC541*Pesos!$B$23+AD541*Pesos!$B$24+AE541*Pesos!$B$25+AF541*Pesos!$B$26+AG541*Pesos!$B$27+AH541*Pesos!$B$28+AI541*Pesos!$B$29+AJ541*Pesos!$B$30+AK541*Pesos!$B$31+AL541*Pesos!$B$32+AM541*Pesos!$B$33+AN541*Pesos!$B$34+AO541*Pesos!$B$35+AP541*Pesos!$B$36+AQ541*Pesos!$B$37+AR541*Pesos!$B$38+AS541*Pesos!$B$39+AT541*Pesos!$B$40+AU541*Pesos!$B$41+AV541*Pesos!$B$42+AW541*Pesos!$B$43+AX541*Pesos!$B$44+AY541*Pesos!$B$45+AZ541*Pesos!$B$46+BA541*Pesos!$B$47+BB541*Pesos!$B$48+BC541*Pesos!$B$49+BD541*Pesos!$B$50+BE541*Pesos!$B$51+BF541*Pesos!$B$52+BG541*Pesos!$B$53</f>
        <v>554</v>
      </c>
      <c r="G541" s="6" t="n">
        <f aca="false">E541*F541</f>
        <v>554</v>
      </c>
      <c r="H541" s="3" t="n">
        <v>35</v>
      </c>
      <c r="I541" s="3"/>
      <c r="J541" s="3"/>
      <c r="K541" s="3"/>
      <c r="L541" s="3" t="n">
        <v>40000</v>
      </c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 t="n">
        <v>1150</v>
      </c>
      <c r="X541" s="3"/>
      <c r="Y541" s="3"/>
      <c r="Z541" s="3"/>
      <c r="AA541" s="3"/>
      <c r="AB541" s="3" t="n">
        <v>5</v>
      </c>
      <c r="AC541" s="3" t="n">
        <v>5</v>
      </c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 t="n">
        <v>8</v>
      </c>
      <c r="AQ541" s="3" t="n">
        <v>2</v>
      </c>
      <c r="AR541" s="3" t="n">
        <v>4</v>
      </c>
      <c r="AS541" s="3" t="n">
        <v>2.5</v>
      </c>
      <c r="AT541" s="3"/>
      <c r="AU541" s="3"/>
      <c r="AV541" s="3"/>
      <c r="AW541" s="3"/>
      <c r="AX541" s="3" t="n">
        <v>-3</v>
      </c>
      <c r="AY541" s="3"/>
      <c r="AZ541" s="3"/>
      <c r="BA541" s="3"/>
      <c r="BB541" s="3"/>
      <c r="BC541" s="3"/>
      <c r="BD541" s="3"/>
      <c r="BE541" s="3"/>
      <c r="BF541" s="3"/>
      <c r="BG541" s="3"/>
      <c r="BH541" s="3" t="s">
        <v>1426</v>
      </c>
      <c r="BI541" s="3"/>
      <c r="BJ541" s="3"/>
      <c r="BK541" s="3"/>
      <c r="BL541" s="3"/>
      <c r="BM541" s="3"/>
    </row>
    <row r="542" customFormat="false" ht="15" hidden="false" customHeight="false" outlineLevel="0" collapsed="false">
      <c r="A542" s="3" t="s">
        <v>69</v>
      </c>
      <c r="B542" s="3" t="s">
        <v>150</v>
      </c>
      <c r="C542" s="3" t="s">
        <v>1427</v>
      </c>
      <c r="D542" s="3" t="s">
        <v>1428</v>
      </c>
      <c r="E542" s="3" t="n">
        <v>1</v>
      </c>
      <c r="F542" s="6" t="n">
        <f aca="false">H542*Pesos!$B$2+I542*Pesos!$B$3+J542*Pesos!$B$4+K542*Pesos!$B$5+L542*Pesos!$B$6+M542*Pesos!$B$7+N542*Pesos!$B$8+O542*Pesos!$B$9+P542*Pesos!$B$10+Q542*Pesos!$B$11+R542*Pesos!$B$12+S542*Pesos!$B$13+T542*Pesos!$B$14+U542*Pesos!$B$15+V542*Pesos!$B$16+W542*Pesos!$B$17+X542*Pesos!$B$18+Y542*Pesos!$B$19+Z542*Pesos!$B$20+AA542*Pesos!$B$21+AB542*Pesos!$B$22+AC542*Pesos!$B$23+AD542*Pesos!$B$24+AE542*Pesos!$B$25+AF542*Pesos!$B$26+AG542*Pesos!$B$27+AH542*Pesos!$B$28+AI542*Pesos!$B$29+AJ542*Pesos!$B$30+AK542*Pesos!$B$31+AL542*Pesos!$B$32+AM542*Pesos!$B$33+AN542*Pesos!$B$34+AO542*Pesos!$B$35+AP542*Pesos!$B$36+AQ542*Pesos!$B$37+AR542*Pesos!$B$38+AS542*Pesos!$B$39+AT542*Pesos!$B$40+AU542*Pesos!$B$41+AV542*Pesos!$B$42+AW542*Pesos!$B$43+AX542*Pesos!$B$44+AY542*Pesos!$B$45+AZ542*Pesos!$B$46+BA542*Pesos!$B$47+BB542*Pesos!$B$48+BC542*Pesos!$B$49+BD542*Pesos!$B$50+BE542*Pesos!$B$51+BF542*Pesos!$B$52+BG542*Pesos!$B$53</f>
        <v>657</v>
      </c>
      <c r="G542" s="6" t="n">
        <f aca="false">E542*F542</f>
        <v>657</v>
      </c>
      <c r="H542" s="3" t="n">
        <v>35</v>
      </c>
      <c r="I542" s="3"/>
      <c r="J542" s="3"/>
      <c r="K542" s="3"/>
      <c r="L542" s="3" t="n">
        <v>80000</v>
      </c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 t="n">
        <v>2300</v>
      </c>
      <c r="X542" s="3"/>
      <c r="Y542" s="3"/>
      <c r="Z542" s="3"/>
      <c r="AA542" s="3"/>
      <c r="AB542" s="3" t="n">
        <v>5</v>
      </c>
      <c r="AC542" s="3" t="n">
        <v>5</v>
      </c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 t="n">
        <v>8</v>
      </c>
      <c r="AQ542" s="3" t="n">
        <v>2</v>
      </c>
      <c r="AR542" s="3" t="n">
        <v>4</v>
      </c>
      <c r="AS542" s="3" t="n">
        <v>2.5</v>
      </c>
      <c r="AT542" s="3"/>
      <c r="AU542" s="3"/>
      <c r="AV542" s="3"/>
      <c r="AW542" s="3"/>
      <c r="AX542" s="3" t="n">
        <v>-3</v>
      </c>
      <c r="AY542" s="3"/>
      <c r="AZ542" s="3"/>
      <c r="BA542" s="3"/>
      <c r="BB542" s="3"/>
      <c r="BC542" s="3"/>
      <c r="BD542" s="3"/>
      <c r="BE542" s="3"/>
      <c r="BF542" s="3"/>
      <c r="BG542" s="3"/>
      <c r="BH542" s="3" t="s">
        <v>1429</v>
      </c>
      <c r="BI542" s="3"/>
      <c r="BJ542" s="3"/>
      <c r="BK542" s="3"/>
      <c r="BL542" s="3"/>
      <c r="BM542" s="3"/>
    </row>
    <row r="543" customFormat="false" ht="15" hidden="false" customHeight="false" outlineLevel="0" collapsed="false">
      <c r="A543" s="3" t="s">
        <v>69</v>
      </c>
      <c r="B543" s="3" t="s">
        <v>150</v>
      </c>
      <c r="C543" s="3" t="s">
        <v>1430</v>
      </c>
      <c r="D543" s="3" t="s">
        <v>1431</v>
      </c>
      <c r="E543" s="3" t="n">
        <v>1</v>
      </c>
      <c r="F543" s="6" t="n">
        <f aca="false">H543*Pesos!$B$2+I543*Pesos!$B$3+J543*Pesos!$B$4+K543*Pesos!$B$5+L543*Pesos!$B$6+M543*Pesos!$B$7+N543*Pesos!$B$8+O543*Pesos!$B$9+P543*Pesos!$B$10+Q543*Pesos!$B$11+R543*Pesos!$B$12+S543*Pesos!$B$13+T543*Pesos!$B$14+U543*Pesos!$B$15+V543*Pesos!$B$16+W543*Pesos!$B$17+X543*Pesos!$B$18+Y543*Pesos!$B$19+Z543*Pesos!$B$20+AA543*Pesos!$B$21+AB543*Pesos!$B$22+AC543*Pesos!$B$23+AD543*Pesos!$B$24+AE543*Pesos!$B$25+AF543*Pesos!$B$26+AG543*Pesos!$B$27+AH543*Pesos!$B$28+AI543*Pesos!$B$29+AJ543*Pesos!$B$30+AK543*Pesos!$B$31+AL543*Pesos!$B$32+AM543*Pesos!$B$33+AN543*Pesos!$B$34+AO543*Pesos!$B$35+AP543*Pesos!$B$36+AQ543*Pesos!$B$37+AR543*Pesos!$B$38+AS543*Pesos!$B$39+AT543*Pesos!$B$40+AU543*Pesos!$B$41+AV543*Pesos!$B$42+AW543*Pesos!$B$43+AX543*Pesos!$B$44+AY543*Pesos!$B$45+AZ543*Pesos!$B$46+BA543*Pesos!$B$47+BB543*Pesos!$B$48+BC543*Pesos!$B$49+BD543*Pesos!$B$50+BE543*Pesos!$B$51+BF543*Pesos!$B$52+BG543*Pesos!$B$53</f>
        <v>760</v>
      </c>
      <c r="G543" s="6" t="n">
        <f aca="false">E543*F543</f>
        <v>760</v>
      </c>
      <c r="H543" s="3" t="n">
        <v>35</v>
      </c>
      <c r="I543" s="3"/>
      <c r="J543" s="3"/>
      <c r="K543" s="3"/>
      <c r="L543" s="3" t="n">
        <v>120000</v>
      </c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 t="n">
        <v>3450</v>
      </c>
      <c r="X543" s="3"/>
      <c r="Y543" s="3"/>
      <c r="Z543" s="3"/>
      <c r="AA543" s="3"/>
      <c r="AB543" s="3" t="n">
        <v>5</v>
      </c>
      <c r="AC543" s="3" t="n">
        <v>5</v>
      </c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 t="n">
        <v>8</v>
      </c>
      <c r="AQ543" s="3" t="n">
        <v>2</v>
      </c>
      <c r="AR543" s="3" t="n">
        <v>4</v>
      </c>
      <c r="AS543" s="3" t="n">
        <v>2.5</v>
      </c>
      <c r="AT543" s="3"/>
      <c r="AU543" s="3"/>
      <c r="AV543" s="3"/>
      <c r="AW543" s="3"/>
      <c r="AX543" s="3" t="n">
        <v>-3</v>
      </c>
      <c r="AY543" s="3"/>
      <c r="AZ543" s="3"/>
      <c r="BA543" s="3"/>
      <c r="BB543" s="3"/>
      <c r="BC543" s="3"/>
      <c r="BD543" s="3"/>
      <c r="BE543" s="3"/>
      <c r="BF543" s="3"/>
      <c r="BG543" s="3"/>
      <c r="BH543" s="3" t="s">
        <v>1432</v>
      </c>
      <c r="BI543" s="3"/>
      <c r="BJ543" s="3"/>
      <c r="BK543" s="3"/>
      <c r="BL543" s="3"/>
      <c r="BM543" s="3"/>
    </row>
    <row r="544" customFormat="false" ht="15" hidden="false" customHeight="false" outlineLevel="0" collapsed="false">
      <c r="A544" s="3" t="s">
        <v>69</v>
      </c>
      <c r="B544" s="3" t="s">
        <v>150</v>
      </c>
      <c r="C544" s="3" t="s">
        <v>1433</v>
      </c>
      <c r="D544" s="3" t="s">
        <v>1434</v>
      </c>
      <c r="E544" s="3" t="n">
        <v>1</v>
      </c>
      <c r="F544" s="6" t="n">
        <f aca="false">H544*Pesos!$B$2+I544*Pesos!$B$3+J544*Pesos!$B$4+K544*Pesos!$B$5+L544*Pesos!$B$6+M544*Pesos!$B$7+N544*Pesos!$B$8+O544*Pesos!$B$9+P544*Pesos!$B$10+Q544*Pesos!$B$11+R544*Pesos!$B$12+S544*Pesos!$B$13+T544*Pesos!$B$14+U544*Pesos!$B$15+V544*Pesos!$B$16+W544*Pesos!$B$17+X544*Pesos!$B$18+Y544*Pesos!$B$19+Z544*Pesos!$B$20+AA544*Pesos!$B$21+AB544*Pesos!$B$22+AC544*Pesos!$B$23+AD544*Pesos!$B$24+AE544*Pesos!$B$25+AF544*Pesos!$B$26+AG544*Pesos!$B$27+AH544*Pesos!$B$28+AI544*Pesos!$B$29+AJ544*Pesos!$B$30+AK544*Pesos!$B$31+AL544*Pesos!$B$32+AM544*Pesos!$B$33+AN544*Pesos!$B$34+AO544*Pesos!$B$35+AP544*Pesos!$B$36+AQ544*Pesos!$B$37+AR544*Pesos!$B$38+AS544*Pesos!$B$39+AT544*Pesos!$B$40+AU544*Pesos!$B$41+AV544*Pesos!$B$42+AW544*Pesos!$B$43+AX544*Pesos!$B$44+AY544*Pesos!$B$45+AZ544*Pesos!$B$46+BA544*Pesos!$B$47+BB544*Pesos!$B$48+BC544*Pesos!$B$49+BD544*Pesos!$B$50+BE544*Pesos!$B$51+BF544*Pesos!$B$52+BG544*Pesos!$B$53</f>
        <v>863</v>
      </c>
      <c r="G544" s="6" t="n">
        <f aca="false">E544*F544</f>
        <v>863</v>
      </c>
      <c r="H544" s="3" t="n">
        <v>35</v>
      </c>
      <c r="I544" s="3"/>
      <c r="J544" s="3"/>
      <c r="K544" s="3"/>
      <c r="L544" s="3" t="n">
        <v>160000</v>
      </c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 t="n">
        <v>4600</v>
      </c>
      <c r="X544" s="3"/>
      <c r="Y544" s="3"/>
      <c r="Z544" s="3"/>
      <c r="AA544" s="3"/>
      <c r="AB544" s="3" t="n">
        <v>5</v>
      </c>
      <c r="AC544" s="3" t="n">
        <v>5</v>
      </c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 t="n">
        <v>8</v>
      </c>
      <c r="AQ544" s="3" t="n">
        <v>2</v>
      </c>
      <c r="AR544" s="3" t="n">
        <v>4</v>
      </c>
      <c r="AS544" s="3" t="n">
        <v>2.5</v>
      </c>
      <c r="AT544" s="3"/>
      <c r="AU544" s="3"/>
      <c r="AV544" s="3"/>
      <c r="AW544" s="3"/>
      <c r="AX544" s="3" t="n">
        <v>-3</v>
      </c>
      <c r="AY544" s="3"/>
      <c r="AZ544" s="3"/>
      <c r="BA544" s="3"/>
      <c r="BB544" s="3"/>
      <c r="BC544" s="3"/>
      <c r="BD544" s="3"/>
      <c r="BE544" s="3"/>
      <c r="BF544" s="3"/>
      <c r="BG544" s="3"/>
      <c r="BH544" s="3" t="s">
        <v>1435</v>
      </c>
      <c r="BI544" s="3"/>
      <c r="BJ544" s="3"/>
      <c r="BK544" s="3"/>
      <c r="BL544" s="3"/>
      <c r="BM544" s="3"/>
    </row>
    <row r="545" customFormat="false" ht="15" hidden="false" customHeight="false" outlineLevel="0" collapsed="false">
      <c r="A545" s="3" t="s">
        <v>69</v>
      </c>
      <c r="B545" s="3" t="s">
        <v>150</v>
      </c>
      <c r="C545" s="3" t="s">
        <v>1436</v>
      </c>
      <c r="D545" s="3" t="s">
        <v>1437</v>
      </c>
      <c r="E545" s="3" t="n">
        <v>1</v>
      </c>
      <c r="F545" s="6" t="n">
        <f aca="false">H545*Pesos!$B$2+I545*Pesos!$B$3+J545*Pesos!$B$4+K545*Pesos!$B$5+L545*Pesos!$B$6+M545*Pesos!$B$7+N545*Pesos!$B$8+O545*Pesos!$B$9+P545*Pesos!$B$10+Q545*Pesos!$B$11+R545*Pesos!$B$12+S545*Pesos!$B$13+T545*Pesos!$B$14+U545*Pesos!$B$15+V545*Pesos!$B$16+W545*Pesos!$B$17+X545*Pesos!$B$18+Y545*Pesos!$B$19+Z545*Pesos!$B$20+AA545*Pesos!$B$21+AB545*Pesos!$B$22+AC545*Pesos!$B$23+AD545*Pesos!$B$24+AE545*Pesos!$B$25+AF545*Pesos!$B$26+AG545*Pesos!$B$27+AH545*Pesos!$B$28+AI545*Pesos!$B$29+AJ545*Pesos!$B$30+AK545*Pesos!$B$31+AL545*Pesos!$B$32+AM545*Pesos!$B$33+AN545*Pesos!$B$34+AO545*Pesos!$B$35+AP545*Pesos!$B$36+AQ545*Pesos!$B$37+AR545*Pesos!$B$38+AS545*Pesos!$B$39+AT545*Pesos!$B$40+AU545*Pesos!$B$41+AV545*Pesos!$B$42+AW545*Pesos!$B$43+AX545*Pesos!$B$44+AY545*Pesos!$B$45+AZ545*Pesos!$B$46+BA545*Pesos!$B$47+BB545*Pesos!$B$48+BC545*Pesos!$B$49+BD545*Pesos!$B$50+BE545*Pesos!$B$51+BF545*Pesos!$B$52+BG545*Pesos!$B$53</f>
        <v>1137</v>
      </c>
      <c r="G545" s="6" t="n">
        <f aca="false">E545*F545</f>
        <v>1137</v>
      </c>
      <c r="H545" s="3" t="n">
        <v>35</v>
      </c>
      <c r="I545" s="3"/>
      <c r="J545" s="3"/>
      <c r="K545" s="3"/>
      <c r="L545" s="3" t="n">
        <v>200000</v>
      </c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 t="n">
        <v>5750</v>
      </c>
      <c r="X545" s="3"/>
      <c r="Y545" s="3"/>
      <c r="Z545" s="3"/>
      <c r="AA545" s="3"/>
      <c r="AB545" s="3" t="n">
        <v>7</v>
      </c>
      <c r="AC545" s="3" t="n">
        <v>7</v>
      </c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 t="n">
        <v>10</v>
      </c>
      <c r="AQ545" s="3" t="n">
        <v>4</v>
      </c>
      <c r="AR545" s="3" t="n">
        <v>6</v>
      </c>
      <c r="AS545" s="3" t="n">
        <v>4</v>
      </c>
      <c r="AT545" s="3"/>
      <c r="AU545" s="3"/>
      <c r="AV545" s="3"/>
      <c r="AW545" s="3"/>
      <c r="AX545" s="3" t="n">
        <v>-4</v>
      </c>
      <c r="AY545" s="3"/>
      <c r="AZ545" s="3"/>
      <c r="BA545" s="3"/>
      <c r="BB545" s="3"/>
      <c r="BC545" s="3"/>
      <c r="BD545" s="3"/>
      <c r="BE545" s="3"/>
      <c r="BF545" s="3"/>
      <c r="BG545" s="3"/>
      <c r="BH545" s="3" t="s">
        <v>1438</v>
      </c>
      <c r="BI545" s="3"/>
      <c r="BJ545" s="3"/>
      <c r="BK545" s="3"/>
      <c r="BL545" s="3"/>
      <c r="BM545" s="3"/>
    </row>
    <row r="546" customFormat="false" ht="15" hidden="false" customHeight="false" outlineLevel="0" collapsed="false">
      <c r="A546" s="3" t="s">
        <v>69</v>
      </c>
      <c r="B546" s="3" t="s">
        <v>150</v>
      </c>
      <c r="C546" s="3" t="s">
        <v>1439</v>
      </c>
      <c r="D546" s="3" t="s">
        <v>1440</v>
      </c>
      <c r="E546" s="3" t="n">
        <v>1</v>
      </c>
      <c r="F546" s="6" t="n">
        <f aca="false">H546*Pesos!$B$2+I546*Pesos!$B$3+J546*Pesos!$B$4+K546*Pesos!$B$5+L546*Pesos!$B$6+M546*Pesos!$B$7+N546*Pesos!$B$8+O546*Pesos!$B$9+P546*Pesos!$B$10+Q546*Pesos!$B$11+R546*Pesos!$B$12+S546*Pesos!$B$13+T546*Pesos!$B$14+U546*Pesos!$B$15+V546*Pesos!$B$16+W546*Pesos!$B$17+X546*Pesos!$B$18+Y546*Pesos!$B$19+Z546*Pesos!$B$20+AA546*Pesos!$B$21+AB546*Pesos!$B$22+AC546*Pesos!$B$23+AD546*Pesos!$B$24+AE546*Pesos!$B$25+AF546*Pesos!$B$26+AG546*Pesos!$B$27+AH546*Pesos!$B$28+AI546*Pesos!$B$29+AJ546*Pesos!$B$30+AK546*Pesos!$B$31+AL546*Pesos!$B$32+AM546*Pesos!$B$33+AN546*Pesos!$B$34+AO546*Pesos!$B$35+AP546*Pesos!$B$36+AQ546*Pesos!$B$37+AR546*Pesos!$B$38+AS546*Pesos!$B$39+AT546*Pesos!$B$40+AU546*Pesos!$B$41+AV546*Pesos!$B$42+AW546*Pesos!$B$43+AX546*Pesos!$B$44+AY546*Pesos!$B$45+AZ546*Pesos!$B$46+BA546*Pesos!$B$47+BB546*Pesos!$B$48+BC546*Pesos!$B$49+BD546*Pesos!$B$50+BE546*Pesos!$B$51+BF546*Pesos!$B$52+BG546*Pesos!$B$53</f>
        <v>1240</v>
      </c>
      <c r="G546" s="6" t="n">
        <f aca="false">E546*F546</f>
        <v>1240</v>
      </c>
      <c r="H546" s="3" t="n">
        <v>35</v>
      </c>
      <c r="I546" s="3"/>
      <c r="J546" s="3"/>
      <c r="K546" s="3"/>
      <c r="L546" s="3" t="n">
        <v>240000</v>
      </c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 t="n">
        <v>6900</v>
      </c>
      <c r="X546" s="3"/>
      <c r="Y546" s="3"/>
      <c r="Z546" s="3"/>
      <c r="AA546" s="3"/>
      <c r="AB546" s="3" t="n">
        <v>7</v>
      </c>
      <c r="AC546" s="3" t="n">
        <v>7</v>
      </c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 t="n">
        <v>10</v>
      </c>
      <c r="AQ546" s="3" t="n">
        <v>4</v>
      </c>
      <c r="AR546" s="3" t="n">
        <v>6</v>
      </c>
      <c r="AS546" s="3" t="n">
        <v>4</v>
      </c>
      <c r="AT546" s="3"/>
      <c r="AU546" s="3"/>
      <c r="AV546" s="3"/>
      <c r="AW546" s="3"/>
      <c r="AX546" s="3" t="n">
        <v>-4</v>
      </c>
      <c r="AY546" s="3"/>
      <c r="AZ546" s="3"/>
      <c r="BA546" s="3"/>
      <c r="BB546" s="3"/>
      <c r="BC546" s="3"/>
      <c r="BD546" s="3"/>
      <c r="BE546" s="3"/>
      <c r="BF546" s="3"/>
      <c r="BG546" s="3"/>
      <c r="BH546" s="3" t="s">
        <v>1441</v>
      </c>
      <c r="BI546" s="3"/>
      <c r="BJ546" s="3"/>
      <c r="BK546" s="3"/>
      <c r="BL546" s="3"/>
      <c r="BM546" s="3"/>
    </row>
    <row r="547" customFormat="false" ht="15" hidden="false" customHeight="false" outlineLevel="0" collapsed="false">
      <c r="A547" s="3" t="s">
        <v>69</v>
      </c>
      <c r="B547" s="3" t="s">
        <v>150</v>
      </c>
      <c r="C547" s="3" t="s">
        <v>1442</v>
      </c>
      <c r="D547" s="3" t="s">
        <v>1443</v>
      </c>
      <c r="E547" s="3" t="n">
        <v>1</v>
      </c>
      <c r="F547" s="6" t="n">
        <f aca="false">H547*Pesos!$B$2+I547*Pesos!$B$3+J547*Pesos!$B$4+K547*Pesos!$B$5+L547*Pesos!$B$6+M547*Pesos!$B$7+N547*Pesos!$B$8+O547*Pesos!$B$9+P547*Pesos!$B$10+Q547*Pesos!$B$11+R547*Pesos!$B$12+S547*Pesos!$B$13+T547*Pesos!$B$14+U547*Pesos!$B$15+V547*Pesos!$B$16+W547*Pesos!$B$17+X547*Pesos!$B$18+Y547*Pesos!$B$19+Z547*Pesos!$B$20+AA547*Pesos!$B$21+AB547*Pesos!$B$22+AC547*Pesos!$B$23+AD547*Pesos!$B$24+AE547*Pesos!$B$25+AF547*Pesos!$B$26+AG547*Pesos!$B$27+AH547*Pesos!$B$28+AI547*Pesos!$B$29+AJ547*Pesos!$B$30+AK547*Pesos!$B$31+AL547*Pesos!$B$32+AM547*Pesos!$B$33+AN547*Pesos!$B$34+AO547*Pesos!$B$35+AP547*Pesos!$B$36+AQ547*Pesos!$B$37+AR547*Pesos!$B$38+AS547*Pesos!$B$39+AT547*Pesos!$B$40+AU547*Pesos!$B$41+AV547*Pesos!$B$42+AW547*Pesos!$B$43+AX547*Pesos!$B$44+AY547*Pesos!$B$45+AZ547*Pesos!$B$46+BA547*Pesos!$B$47+BB547*Pesos!$B$48+BC547*Pesos!$B$49+BD547*Pesos!$B$50+BE547*Pesos!$B$51+BF547*Pesos!$B$52+BG547*Pesos!$B$53</f>
        <v>2169</v>
      </c>
      <c r="G547" s="6" t="n">
        <f aca="false">E547*F547</f>
        <v>2169</v>
      </c>
      <c r="H547" s="3" t="n">
        <v>35</v>
      </c>
      <c r="I547" s="3"/>
      <c r="J547" s="3"/>
      <c r="K547" s="3"/>
      <c r="L547" s="3" t="n">
        <v>500000</v>
      </c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 t="n">
        <v>6000</v>
      </c>
      <c r="X547" s="3" t="n">
        <v>6</v>
      </c>
      <c r="Y547" s="3"/>
      <c r="Z547" s="3" t="n">
        <v>2</v>
      </c>
      <c r="AA547" s="3"/>
      <c r="AB547" s="3" t="n">
        <v>7</v>
      </c>
      <c r="AC547" s="3" t="n">
        <v>7</v>
      </c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 t="n">
        <v>7</v>
      </c>
      <c r="AQ547" s="3" t="n">
        <v>17</v>
      </c>
      <c r="AR547" s="3" t="n">
        <v>7</v>
      </c>
      <c r="AS547" s="3" t="n">
        <v>7</v>
      </c>
      <c r="AT547" s="3"/>
      <c r="AU547" s="3"/>
      <c r="AV547" s="3"/>
      <c r="AW547" s="3"/>
      <c r="AX547" s="3" t="n">
        <v>-4</v>
      </c>
      <c r="AY547" s="3"/>
      <c r="AZ547" s="3"/>
      <c r="BA547" s="3"/>
      <c r="BB547" s="3"/>
      <c r="BC547" s="3"/>
      <c r="BD547" s="3"/>
      <c r="BE547" s="3"/>
      <c r="BF547" s="3"/>
      <c r="BG547" s="3"/>
      <c r="BH547" s="3" t="s">
        <v>1444</v>
      </c>
      <c r="BI547" s="3"/>
      <c r="BJ547" s="3"/>
      <c r="BK547" s="3"/>
      <c r="BL547" s="3"/>
      <c r="BM547" s="3"/>
    </row>
    <row r="548" customFormat="false" ht="15" hidden="false" customHeight="false" outlineLevel="0" collapsed="false">
      <c r="A548" s="3" t="s">
        <v>70</v>
      </c>
      <c r="B548" s="3" t="s">
        <v>150</v>
      </c>
      <c r="C548" s="3" t="s">
        <v>1445</v>
      </c>
      <c r="D548" s="3" t="s">
        <v>1405</v>
      </c>
      <c r="E548" s="3" t="n">
        <v>1</v>
      </c>
      <c r="F548" s="6" t="n">
        <f aca="false">H548*Pesos!$B$2+I548*Pesos!$B$3+J548*Pesos!$B$4+K548*Pesos!$B$5+L548*Pesos!$B$6+M548*Pesos!$B$7+N548*Pesos!$B$8+O548*Pesos!$B$9+P548*Pesos!$B$10+Q548*Pesos!$B$11+R548*Pesos!$B$12+S548*Pesos!$B$13+T548*Pesos!$B$14+U548*Pesos!$B$15+V548*Pesos!$B$16+W548*Pesos!$B$17+X548*Pesos!$B$18+Y548*Pesos!$B$19+Z548*Pesos!$B$20+AA548*Pesos!$B$21+AB548*Pesos!$B$22+AC548*Pesos!$B$23+AD548*Pesos!$B$24+AE548*Pesos!$B$25+AF548*Pesos!$B$26+AG548*Pesos!$B$27+AH548*Pesos!$B$28+AI548*Pesos!$B$29+AJ548*Pesos!$B$30+AK548*Pesos!$B$31+AL548*Pesos!$B$32+AM548*Pesos!$B$33+AN548*Pesos!$B$34+AO548*Pesos!$B$35+AP548*Pesos!$B$36+AQ548*Pesos!$B$37+AR548*Pesos!$B$38+AS548*Pesos!$B$39+AT548*Pesos!$B$40+AU548*Pesos!$B$41+AV548*Pesos!$B$42+AW548*Pesos!$B$43+AX548*Pesos!$B$44+AY548*Pesos!$B$45+AZ548*Pesos!$B$46+BA548*Pesos!$B$47+BB548*Pesos!$B$48+BC548*Pesos!$B$49+BD548*Pesos!$B$50+BE548*Pesos!$B$51+BF548*Pesos!$B$52+BG548*Pesos!$B$53</f>
        <v>524</v>
      </c>
      <c r="G548" s="6" t="n">
        <f aca="false">E548*F548</f>
        <v>524</v>
      </c>
      <c r="H548" s="3" t="n">
        <v>35</v>
      </c>
      <c r="I548" s="3"/>
      <c r="J548" s="3"/>
      <c r="K548" s="3"/>
      <c r="L548" s="3" t="n">
        <v>40000</v>
      </c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 t="n">
        <v>1150</v>
      </c>
      <c r="X548" s="3"/>
      <c r="Y548" s="3"/>
      <c r="Z548" s="3"/>
      <c r="AA548" s="3"/>
      <c r="AB548" s="3" t="n">
        <v>5</v>
      </c>
      <c r="AC548" s="3" t="n">
        <v>5</v>
      </c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 t="n">
        <v>8</v>
      </c>
      <c r="AQ548" s="3"/>
      <c r="AR548" s="3" t="n">
        <v>4</v>
      </c>
      <c r="AS548" s="3" t="n">
        <v>2.5</v>
      </c>
      <c r="AT548" s="3"/>
      <c r="AU548" s="3"/>
      <c r="AV548" s="3"/>
      <c r="AW548" s="3"/>
      <c r="AX548" s="3" t="n">
        <v>-3</v>
      </c>
      <c r="AY548" s="3"/>
      <c r="AZ548" s="3"/>
      <c r="BA548" s="3"/>
      <c r="BB548" s="3"/>
      <c r="BC548" s="3"/>
      <c r="BD548" s="3"/>
      <c r="BE548" s="3"/>
      <c r="BF548" s="3"/>
      <c r="BG548" s="3"/>
      <c r="BH548" s="3" t="s">
        <v>1446</v>
      </c>
      <c r="BI548" s="3"/>
      <c r="BJ548" s="3"/>
      <c r="BK548" s="3"/>
      <c r="BL548" s="3"/>
      <c r="BM548" s="3"/>
    </row>
    <row r="549" customFormat="false" ht="15" hidden="false" customHeight="false" outlineLevel="0" collapsed="false">
      <c r="A549" s="3" t="s">
        <v>70</v>
      </c>
      <c r="B549" s="3" t="s">
        <v>150</v>
      </c>
      <c r="C549" s="3" t="s">
        <v>1447</v>
      </c>
      <c r="D549" s="3" t="s">
        <v>1448</v>
      </c>
      <c r="E549" s="3" t="n">
        <v>1</v>
      </c>
      <c r="F549" s="6" t="n">
        <f aca="false">H549*Pesos!$B$2+I549*Pesos!$B$3+J549*Pesos!$B$4+K549*Pesos!$B$5+L549*Pesos!$B$6+M549*Pesos!$B$7+N549*Pesos!$B$8+O549*Pesos!$B$9+P549*Pesos!$B$10+Q549*Pesos!$B$11+R549*Pesos!$B$12+S549*Pesos!$B$13+T549*Pesos!$B$14+U549*Pesos!$B$15+V549*Pesos!$B$16+W549*Pesos!$B$17+X549*Pesos!$B$18+Y549*Pesos!$B$19+Z549*Pesos!$B$20+AA549*Pesos!$B$21+AB549*Pesos!$B$22+AC549*Pesos!$B$23+AD549*Pesos!$B$24+AE549*Pesos!$B$25+AF549*Pesos!$B$26+AG549*Pesos!$B$27+AH549*Pesos!$B$28+AI549*Pesos!$B$29+AJ549*Pesos!$B$30+AK549*Pesos!$B$31+AL549*Pesos!$B$32+AM549*Pesos!$B$33+AN549*Pesos!$B$34+AO549*Pesos!$B$35+AP549*Pesos!$B$36+AQ549*Pesos!$B$37+AR549*Pesos!$B$38+AS549*Pesos!$B$39+AT549*Pesos!$B$40+AU549*Pesos!$B$41+AV549*Pesos!$B$42+AW549*Pesos!$B$43+AX549*Pesos!$B$44+AY549*Pesos!$B$45+AZ549*Pesos!$B$46+BA549*Pesos!$B$47+BB549*Pesos!$B$48+BC549*Pesos!$B$49+BD549*Pesos!$B$50+BE549*Pesos!$B$51+BF549*Pesos!$B$52+BG549*Pesos!$B$53</f>
        <v>627</v>
      </c>
      <c r="G549" s="6" t="n">
        <f aca="false">E549*F549</f>
        <v>627</v>
      </c>
      <c r="H549" s="3" t="n">
        <v>35</v>
      </c>
      <c r="I549" s="3"/>
      <c r="J549" s="3"/>
      <c r="K549" s="3"/>
      <c r="L549" s="3" t="n">
        <v>80000</v>
      </c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 t="n">
        <v>2300</v>
      </c>
      <c r="X549" s="3"/>
      <c r="Y549" s="3"/>
      <c r="Z549" s="3"/>
      <c r="AA549" s="3"/>
      <c r="AB549" s="3" t="n">
        <v>5</v>
      </c>
      <c r="AC549" s="3" t="n">
        <v>5</v>
      </c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 t="n">
        <v>8</v>
      </c>
      <c r="AQ549" s="3"/>
      <c r="AR549" s="3" t="n">
        <v>4</v>
      </c>
      <c r="AS549" s="3" t="n">
        <v>2.5</v>
      </c>
      <c r="AT549" s="3"/>
      <c r="AU549" s="3"/>
      <c r="AV549" s="3"/>
      <c r="AW549" s="3"/>
      <c r="AX549" s="3" t="n">
        <v>-3</v>
      </c>
      <c r="AY549" s="3"/>
      <c r="AZ549" s="3"/>
      <c r="BA549" s="3"/>
      <c r="BB549" s="3"/>
      <c r="BC549" s="3"/>
      <c r="BD549" s="3"/>
      <c r="BE549" s="3"/>
      <c r="BF549" s="3"/>
      <c r="BG549" s="3"/>
      <c r="BH549" s="3" t="s">
        <v>1449</v>
      </c>
      <c r="BI549" s="3"/>
      <c r="BJ549" s="3"/>
      <c r="BK549" s="3"/>
      <c r="BL549" s="3"/>
      <c r="BM549" s="3"/>
    </row>
    <row r="550" customFormat="false" ht="15" hidden="false" customHeight="false" outlineLevel="0" collapsed="false">
      <c r="A550" s="3" t="s">
        <v>70</v>
      </c>
      <c r="B550" s="3" t="s">
        <v>150</v>
      </c>
      <c r="C550" s="3" t="s">
        <v>1450</v>
      </c>
      <c r="D550" s="3" t="s">
        <v>1451</v>
      </c>
      <c r="E550" s="3" t="n">
        <v>1</v>
      </c>
      <c r="F550" s="6" t="n">
        <f aca="false">H550*Pesos!$B$2+I550*Pesos!$B$3+J550*Pesos!$B$4+K550*Pesos!$B$5+L550*Pesos!$B$6+M550*Pesos!$B$7+N550*Pesos!$B$8+O550*Pesos!$B$9+P550*Pesos!$B$10+Q550*Pesos!$B$11+R550*Pesos!$B$12+S550*Pesos!$B$13+T550*Pesos!$B$14+U550*Pesos!$B$15+V550*Pesos!$B$16+W550*Pesos!$B$17+X550*Pesos!$B$18+Y550*Pesos!$B$19+Z550*Pesos!$B$20+AA550*Pesos!$B$21+AB550*Pesos!$B$22+AC550*Pesos!$B$23+AD550*Pesos!$B$24+AE550*Pesos!$B$25+AF550*Pesos!$B$26+AG550*Pesos!$B$27+AH550*Pesos!$B$28+AI550*Pesos!$B$29+AJ550*Pesos!$B$30+AK550*Pesos!$B$31+AL550*Pesos!$B$32+AM550*Pesos!$B$33+AN550*Pesos!$B$34+AO550*Pesos!$B$35+AP550*Pesos!$B$36+AQ550*Pesos!$B$37+AR550*Pesos!$B$38+AS550*Pesos!$B$39+AT550*Pesos!$B$40+AU550*Pesos!$B$41+AV550*Pesos!$B$42+AW550*Pesos!$B$43+AX550*Pesos!$B$44+AY550*Pesos!$B$45+AZ550*Pesos!$B$46+BA550*Pesos!$B$47+BB550*Pesos!$B$48+BC550*Pesos!$B$49+BD550*Pesos!$B$50+BE550*Pesos!$B$51+BF550*Pesos!$B$52+BG550*Pesos!$B$53</f>
        <v>730</v>
      </c>
      <c r="G550" s="6" t="n">
        <f aca="false">E550*F550</f>
        <v>730</v>
      </c>
      <c r="H550" s="3" t="n">
        <v>35</v>
      </c>
      <c r="I550" s="3"/>
      <c r="J550" s="3"/>
      <c r="K550" s="3"/>
      <c r="L550" s="3" t="n">
        <v>120000</v>
      </c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 t="n">
        <v>3450</v>
      </c>
      <c r="X550" s="3"/>
      <c r="Y550" s="3"/>
      <c r="Z550" s="3"/>
      <c r="AA550" s="3"/>
      <c r="AB550" s="3" t="n">
        <v>5</v>
      </c>
      <c r="AC550" s="3" t="n">
        <v>5</v>
      </c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 t="n">
        <v>8</v>
      </c>
      <c r="AQ550" s="3"/>
      <c r="AR550" s="3" t="n">
        <v>4</v>
      </c>
      <c r="AS550" s="3" t="n">
        <v>2.5</v>
      </c>
      <c r="AT550" s="3"/>
      <c r="AU550" s="3"/>
      <c r="AV550" s="3"/>
      <c r="AW550" s="3"/>
      <c r="AX550" s="3" t="n">
        <v>-3</v>
      </c>
      <c r="AY550" s="3"/>
      <c r="AZ550" s="3"/>
      <c r="BA550" s="3"/>
      <c r="BB550" s="3"/>
      <c r="BC550" s="3"/>
      <c r="BD550" s="3"/>
      <c r="BE550" s="3"/>
      <c r="BF550" s="3"/>
      <c r="BG550" s="3"/>
      <c r="BH550" s="3" t="s">
        <v>1452</v>
      </c>
      <c r="BI550" s="3"/>
      <c r="BJ550" s="3"/>
      <c r="BK550" s="3"/>
      <c r="BL550" s="3"/>
      <c r="BM550" s="3"/>
    </row>
    <row r="551" customFormat="false" ht="15" hidden="false" customHeight="false" outlineLevel="0" collapsed="false">
      <c r="A551" s="3" t="s">
        <v>70</v>
      </c>
      <c r="B551" s="3" t="s">
        <v>150</v>
      </c>
      <c r="C551" s="3" t="s">
        <v>1453</v>
      </c>
      <c r="D551" s="3" t="s">
        <v>1454</v>
      </c>
      <c r="E551" s="3" t="n">
        <v>1</v>
      </c>
      <c r="F551" s="6" t="n">
        <f aca="false">H551*Pesos!$B$2+I551*Pesos!$B$3+J551*Pesos!$B$4+K551*Pesos!$B$5+L551*Pesos!$B$6+M551*Pesos!$B$7+N551*Pesos!$B$8+O551*Pesos!$B$9+P551*Pesos!$B$10+Q551*Pesos!$B$11+R551*Pesos!$B$12+S551*Pesos!$B$13+T551*Pesos!$B$14+U551*Pesos!$B$15+V551*Pesos!$B$16+W551*Pesos!$B$17+X551*Pesos!$B$18+Y551*Pesos!$B$19+Z551*Pesos!$B$20+AA551*Pesos!$B$21+AB551*Pesos!$B$22+AC551*Pesos!$B$23+AD551*Pesos!$B$24+AE551*Pesos!$B$25+AF551*Pesos!$B$26+AG551*Pesos!$B$27+AH551*Pesos!$B$28+AI551*Pesos!$B$29+AJ551*Pesos!$B$30+AK551*Pesos!$B$31+AL551*Pesos!$B$32+AM551*Pesos!$B$33+AN551*Pesos!$B$34+AO551*Pesos!$B$35+AP551*Pesos!$B$36+AQ551*Pesos!$B$37+AR551*Pesos!$B$38+AS551*Pesos!$B$39+AT551*Pesos!$B$40+AU551*Pesos!$B$41+AV551*Pesos!$B$42+AW551*Pesos!$B$43+AX551*Pesos!$B$44+AY551*Pesos!$B$45+AZ551*Pesos!$B$46+BA551*Pesos!$B$47+BB551*Pesos!$B$48+BC551*Pesos!$B$49+BD551*Pesos!$B$50+BE551*Pesos!$B$51+BF551*Pesos!$B$52+BG551*Pesos!$B$53</f>
        <v>833</v>
      </c>
      <c r="G551" s="6" t="n">
        <f aca="false">E551*F551</f>
        <v>833</v>
      </c>
      <c r="H551" s="3" t="n">
        <v>35</v>
      </c>
      <c r="I551" s="3"/>
      <c r="J551" s="3"/>
      <c r="K551" s="3"/>
      <c r="L551" s="3" t="n">
        <v>160000</v>
      </c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 t="n">
        <v>4600</v>
      </c>
      <c r="X551" s="3"/>
      <c r="Y551" s="3"/>
      <c r="Z551" s="3"/>
      <c r="AA551" s="3"/>
      <c r="AB551" s="3" t="n">
        <v>5</v>
      </c>
      <c r="AC551" s="3" t="n">
        <v>5</v>
      </c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 t="n">
        <v>8</v>
      </c>
      <c r="AQ551" s="3"/>
      <c r="AR551" s="3" t="n">
        <v>4</v>
      </c>
      <c r="AS551" s="3" t="n">
        <v>2.5</v>
      </c>
      <c r="AT551" s="3"/>
      <c r="AU551" s="3"/>
      <c r="AV551" s="3"/>
      <c r="AW551" s="3"/>
      <c r="AX551" s="3" t="n">
        <v>-3</v>
      </c>
      <c r="AY551" s="3"/>
      <c r="AZ551" s="3"/>
      <c r="BA551" s="3"/>
      <c r="BB551" s="3"/>
      <c r="BC551" s="3"/>
      <c r="BD551" s="3"/>
      <c r="BE551" s="3"/>
      <c r="BF551" s="3"/>
      <c r="BG551" s="3"/>
      <c r="BH551" s="3" t="s">
        <v>1455</v>
      </c>
      <c r="BI551" s="3"/>
      <c r="BJ551" s="3"/>
      <c r="BK551" s="3"/>
      <c r="BL551" s="3"/>
      <c r="BM551" s="3"/>
    </row>
    <row r="552" customFormat="false" ht="15" hidden="false" customHeight="false" outlineLevel="0" collapsed="false">
      <c r="A552" s="3" t="s">
        <v>70</v>
      </c>
      <c r="B552" s="3" t="s">
        <v>150</v>
      </c>
      <c r="C552" s="3" t="s">
        <v>1456</v>
      </c>
      <c r="D552" s="3" t="s">
        <v>1457</v>
      </c>
      <c r="E552" s="3" t="n">
        <v>1</v>
      </c>
      <c r="F552" s="6" t="n">
        <f aca="false">H552*Pesos!$B$2+I552*Pesos!$B$3+J552*Pesos!$B$4+K552*Pesos!$B$5+L552*Pesos!$B$6+M552*Pesos!$B$7+N552*Pesos!$B$8+O552*Pesos!$B$9+P552*Pesos!$B$10+Q552*Pesos!$B$11+R552*Pesos!$B$12+S552*Pesos!$B$13+T552*Pesos!$B$14+U552*Pesos!$B$15+V552*Pesos!$B$16+W552*Pesos!$B$17+X552*Pesos!$B$18+Y552*Pesos!$B$19+Z552*Pesos!$B$20+AA552*Pesos!$B$21+AB552*Pesos!$B$22+AC552*Pesos!$B$23+AD552*Pesos!$B$24+AE552*Pesos!$B$25+AF552*Pesos!$B$26+AG552*Pesos!$B$27+AH552*Pesos!$B$28+AI552*Pesos!$B$29+AJ552*Pesos!$B$30+AK552*Pesos!$B$31+AL552*Pesos!$B$32+AM552*Pesos!$B$33+AN552*Pesos!$B$34+AO552*Pesos!$B$35+AP552*Pesos!$B$36+AQ552*Pesos!$B$37+AR552*Pesos!$B$38+AS552*Pesos!$B$39+AT552*Pesos!$B$40+AU552*Pesos!$B$41+AV552*Pesos!$B$42+AW552*Pesos!$B$43+AX552*Pesos!$B$44+AY552*Pesos!$B$45+AZ552*Pesos!$B$46+BA552*Pesos!$B$47+BB552*Pesos!$B$48+BC552*Pesos!$B$49+BD552*Pesos!$B$50+BE552*Pesos!$B$51+BF552*Pesos!$B$52+BG552*Pesos!$B$53</f>
        <v>1077</v>
      </c>
      <c r="G552" s="6" t="n">
        <f aca="false">E552*F552</f>
        <v>1077</v>
      </c>
      <c r="H552" s="3" t="n">
        <v>35</v>
      </c>
      <c r="I552" s="3"/>
      <c r="J552" s="3"/>
      <c r="K552" s="3"/>
      <c r="L552" s="3" t="n">
        <v>200000</v>
      </c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 t="n">
        <v>5750</v>
      </c>
      <c r="X552" s="3"/>
      <c r="Y552" s="3"/>
      <c r="Z552" s="3"/>
      <c r="AA552" s="3"/>
      <c r="AB552" s="3" t="n">
        <v>7</v>
      </c>
      <c r="AC552" s="3" t="n">
        <v>7</v>
      </c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 t="n">
        <v>10</v>
      </c>
      <c r="AQ552" s="3"/>
      <c r="AR552" s="3" t="n">
        <v>6</v>
      </c>
      <c r="AS552" s="3" t="n">
        <v>4</v>
      </c>
      <c r="AT552" s="3"/>
      <c r="AU552" s="3"/>
      <c r="AV552" s="3"/>
      <c r="AW552" s="3"/>
      <c r="AX552" s="3" t="n">
        <v>-4</v>
      </c>
      <c r="AY552" s="3"/>
      <c r="AZ552" s="3"/>
      <c r="BA552" s="3"/>
      <c r="BB552" s="3"/>
      <c r="BC552" s="3"/>
      <c r="BD552" s="3"/>
      <c r="BE552" s="3"/>
      <c r="BF552" s="3"/>
      <c r="BG552" s="3"/>
      <c r="BH552" s="3" t="s">
        <v>1458</v>
      </c>
      <c r="BI552" s="3"/>
      <c r="BJ552" s="3"/>
      <c r="BK552" s="3"/>
      <c r="BL552" s="3"/>
      <c r="BM552" s="3"/>
    </row>
    <row r="553" customFormat="false" ht="15" hidden="false" customHeight="false" outlineLevel="0" collapsed="false">
      <c r="A553" s="3" t="s">
        <v>70</v>
      </c>
      <c r="B553" s="3" t="s">
        <v>150</v>
      </c>
      <c r="C553" s="3" t="s">
        <v>1459</v>
      </c>
      <c r="D553" s="3" t="s">
        <v>1460</v>
      </c>
      <c r="E553" s="3" t="n">
        <v>1</v>
      </c>
      <c r="F553" s="6" t="n">
        <f aca="false">H553*Pesos!$B$2+I553*Pesos!$B$3+J553*Pesos!$B$4+K553*Pesos!$B$5+L553*Pesos!$B$6+M553*Pesos!$B$7+N553*Pesos!$B$8+O553*Pesos!$B$9+P553*Pesos!$B$10+Q553*Pesos!$B$11+R553*Pesos!$B$12+S553*Pesos!$B$13+T553*Pesos!$B$14+U553*Pesos!$B$15+V553*Pesos!$B$16+W553*Pesos!$B$17+X553*Pesos!$B$18+Y553*Pesos!$B$19+Z553*Pesos!$B$20+AA553*Pesos!$B$21+AB553*Pesos!$B$22+AC553*Pesos!$B$23+AD553*Pesos!$B$24+AE553*Pesos!$B$25+AF553*Pesos!$B$26+AG553*Pesos!$B$27+AH553*Pesos!$B$28+AI553*Pesos!$B$29+AJ553*Pesos!$B$30+AK553*Pesos!$B$31+AL553*Pesos!$B$32+AM553*Pesos!$B$33+AN553*Pesos!$B$34+AO553*Pesos!$B$35+AP553*Pesos!$B$36+AQ553*Pesos!$B$37+AR553*Pesos!$B$38+AS553*Pesos!$B$39+AT553*Pesos!$B$40+AU553*Pesos!$B$41+AV553*Pesos!$B$42+AW553*Pesos!$B$43+AX553*Pesos!$B$44+AY553*Pesos!$B$45+AZ553*Pesos!$B$46+BA553*Pesos!$B$47+BB553*Pesos!$B$48+BC553*Pesos!$B$49+BD553*Pesos!$B$50+BE553*Pesos!$B$51+BF553*Pesos!$B$52+BG553*Pesos!$B$53</f>
        <v>1180</v>
      </c>
      <c r="G553" s="6" t="n">
        <f aca="false">E553*F553</f>
        <v>1180</v>
      </c>
      <c r="H553" s="3" t="n">
        <v>35</v>
      </c>
      <c r="I553" s="3"/>
      <c r="J553" s="3"/>
      <c r="K553" s="3"/>
      <c r="L553" s="3" t="n">
        <v>240000</v>
      </c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 t="n">
        <v>6900</v>
      </c>
      <c r="X553" s="3"/>
      <c r="Y553" s="3"/>
      <c r="Z553" s="3"/>
      <c r="AA553" s="3"/>
      <c r="AB553" s="3" t="n">
        <v>7</v>
      </c>
      <c r="AC553" s="3" t="n">
        <v>7</v>
      </c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 t="n">
        <v>10</v>
      </c>
      <c r="AQ553" s="3"/>
      <c r="AR553" s="3" t="n">
        <v>6</v>
      </c>
      <c r="AS553" s="3" t="n">
        <v>4</v>
      </c>
      <c r="AT553" s="3"/>
      <c r="AU553" s="3"/>
      <c r="AV553" s="3"/>
      <c r="AW553" s="3"/>
      <c r="AX553" s="3" t="n">
        <v>-4</v>
      </c>
      <c r="AY553" s="3"/>
      <c r="AZ553" s="3"/>
      <c r="BA553" s="3"/>
      <c r="BB553" s="3"/>
      <c r="BC553" s="3"/>
      <c r="BD553" s="3"/>
      <c r="BE553" s="3"/>
      <c r="BF553" s="3"/>
      <c r="BG553" s="3"/>
      <c r="BH553" s="3" t="s">
        <v>1461</v>
      </c>
      <c r="BI553" s="3"/>
      <c r="BJ553" s="3"/>
      <c r="BK553" s="3"/>
      <c r="BL553" s="3"/>
      <c r="BM553" s="3"/>
    </row>
    <row r="554" customFormat="false" ht="15" hidden="false" customHeight="false" outlineLevel="0" collapsed="false">
      <c r="A554" s="3" t="s">
        <v>70</v>
      </c>
      <c r="B554" s="3" t="s">
        <v>150</v>
      </c>
      <c r="C554" s="3" t="s">
        <v>1462</v>
      </c>
      <c r="D554" s="3" t="s">
        <v>1463</v>
      </c>
      <c r="E554" s="3" t="n">
        <v>1</v>
      </c>
      <c r="F554" s="6" t="n">
        <f aca="false">H554*Pesos!$B$2+I554*Pesos!$B$3+J554*Pesos!$B$4+K554*Pesos!$B$5+L554*Pesos!$B$6+M554*Pesos!$B$7+N554*Pesos!$B$8+O554*Pesos!$B$9+P554*Pesos!$B$10+Q554*Pesos!$B$11+R554*Pesos!$B$12+S554*Pesos!$B$13+T554*Pesos!$B$14+U554*Pesos!$B$15+V554*Pesos!$B$16+W554*Pesos!$B$17+X554*Pesos!$B$18+Y554*Pesos!$B$19+Z554*Pesos!$B$20+AA554*Pesos!$B$21+AB554*Pesos!$B$22+AC554*Pesos!$B$23+AD554*Pesos!$B$24+AE554*Pesos!$B$25+AF554*Pesos!$B$26+AG554*Pesos!$B$27+AH554*Pesos!$B$28+AI554*Pesos!$B$29+AJ554*Pesos!$B$30+AK554*Pesos!$B$31+AL554*Pesos!$B$32+AM554*Pesos!$B$33+AN554*Pesos!$B$34+AO554*Pesos!$B$35+AP554*Pesos!$B$36+AQ554*Pesos!$B$37+AR554*Pesos!$B$38+AS554*Pesos!$B$39+AT554*Pesos!$B$40+AU554*Pesos!$B$41+AV554*Pesos!$B$42+AW554*Pesos!$B$43+AX554*Pesos!$B$44+AY554*Pesos!$B$45+AZ554*Pesos!$B$46+BA554*Pesos!$B$47+BB554*Pesos!$B$48+BC554*Pesos!$B$49+BD554*Pesos!$B$50+BE554*Pesos!$B$51+BF554*Pesos!$B$52+BG554*Pesos!$B$53</f>
        <v>3714.87</v>
      </c>
      <c r="G554" s="6" t="n">
        <f aca="false">E554*F554</f>
        <v>3714.87</v>
      </c>
      <c r="H554" s="3" t="n">
        <v>35</v>
      </c>
      <c r="I554" s="3"/>
      <c r="J554" s="3"/>
      <c r="K554" s="3"/>
      <c r="L554" s="3" t="n">
        <v>1000000</v>
      </c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 t="n">
        <v>8000</v>
      </c>
      <c r="X554" s="3" t="n">
        <v>8</v>
      </c>
      <c r="Y554" s="3"/>
      <c r="Z554" s="3"/>
      <c r="AA554" s="3"/>
      <c r="AB554" s="3" t="n">
        <v>7</v>
      </c>
      <c r="AC554" s="3" t="n">
        <v>7</v>
      </c>
      <c r="AD554" s="3"/>
      <c r="AE554" s="3"/>
      <c r="AF554" s="3"/>
      <c r="AG554" s="3" t="n">
        <v>24</v>
      </c>
      <c r="AH554" s="3"/>
      <c r="AI554" s="3"/>
      <c r="AJ554" s="3"/>
      <c r="AK554" s="3"/>
      <c r="AL554" s="3"/>
      <c r="AM554" s="3"/>
      <c r="AN554" s="3"/>
      <c r="AO554" s="3" t="n">
        <v>0.29</v>
      </c>
      <c r="AP554" s="3" t="n">
        <v>7</v>
      </c>
      <c r="AQ554" s="3"/>
      <c r="AR554" s="3" t="n">
        <v>7</v>
      </c>
      <c r="AS554" s="3" t="n">
        <v>7</v>
      </c>
      <c r="AT554" s="3"/>
      <c r="AU554" s="3"/>
      <c r="AV554" s="3"/>
      <c r="AW554" s="3"/>
      <c r="AX554" s="3" t="n">
        <v>-4</v>
      </c>
      <c r="AY554" s="3"/>
      <c r="AZ554" s="3"/>
      <c r="BA554" s="3"/>
      <c r="BB554" s="3"/>
      <c r="BC554" s="3"/>
      <c r="BD554" s="3"/>
      <c r="BE554" s="3"/>
      <c r="BF554" s="3"/>
      <c r="BG554" s="3"/>
      <c r="BH554" s="3" t="s">
        <v>1464</v>
      </c>
      <c r="BI554" s="3"/>
      <c r="BJ554" s="3"/>
      <c r="BK554" s="3"/>
      <c r="BL554" s="3"/>
      <c r="BM554" s="3"/>
    </row>
    <row r="555" customFormat="false" ht="15" hidden="false" customHeight="false" outlineLevel="0" collapsed="false">
      <c r="A555" s="3" t="s">
        <v>71</v>
      </c>
      <c r="B555" s="3" t="s">
        <v>150</v>
      </c>
      <c r="C555" s="3" t="s">
        <v>1465</v>
      </c>
      <c r="D555" s="3" t="s">
        <v>1405</v>
      </c>
      <c r="E555" s="3" t="n">
        <v>1</v>
      </c>
      <c r="F555" s="6" t="n">
        <f aca="false">H555*Pesos!$B$2+I555*Pesos!$B$3+J555*Pesos!$B$4+K555*Pesos!$B$5+L555*Pesos!$B$6+M555*Pesos!$B$7+N555*Pesos!$B$8+O555*Pesos!$B$9+P555*Pesos!$B$10+Q555*Pesos!$B$11+R555*Pesos!$B$12+S555*Pesos!$B$13+T555*Pesos!$B$14+U555*Pesos!$B$15+V555*Pesos!$B$16+W555*Pesos!$B$17+X555*Pesos!$B$18+Y555*Pesos!$B$19+Z555*Pesos!$B$20+AA555*Pesos!$B$21+AB555*Pesos!$B$22+AC555*Pesos!$B$23+AD555*Pesos!$B$24+AE555*Pesos!$B$25+AF555*Pesos!$B$26+AG555*Pesos!$B$27+AH555*Pesos!$B$28+AI555*Pesos!$B$29+AJ555*Pesos!$B$30+AK555*Pesos!$B$31+AL555*Pesos!$B$32+AM555*Pesos!$B$33+AN555*Pesos!$B$34+AO555*Pesos!$B$35+AP555*Pesos!$B$36+AQ555*Pesos!$B$37+AR555*Pesos!$B$38+AS555*Pesos!$B$39+AT555*Pesos!$B$40+AU555*Pesos!$B$41+AV555*Pesos!$B$42+AW555*Pesos!$B$43+AX555*Pesos!$B$44+AY555*Pesos!$B$45+AZ555*Pesos!$B$46+BA555*Pesos!$B$47+BB555*Pesos!$B$48+BC555*Pesos!$B$49+BD555*Pesos!$B$50+BE555*Pesos!$B$51+BF555*Pesos!$B$52+BG555*Pesos!$B$53</f>
        <v>554</v>
      </c>
      <c r="G555" s="6" t="n">
        <f aca="false">E555*F555</f>
        <v>554</v>
      </c>
      <c r="H555" s="3" t="n">
        <v>35</v>
      </c>
      <c r="I555" s="3"/>
      <c r="J555" s="3"/>
      <c r="K555" s="3"/>
      <c r="L555" s="3" t="n">
        <v>40000</v>
      </c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 t="n">
        <v>1150</v>
      </c>
      <c r="X555" s="3"/>
      <c r="Y555" s="3"/>
      <c r="Z555" s="3"/>
      <c r="AA555" s="3"/>
      <c r="AB555" s="3" t="n">
        <v>5</v>
      </c>
      <c r="AC555" s="3" t="n">
        <v>5</v>
      </c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 t="n">
        <v>8</v>
      </c>
      <c r="AQ555" s="3" t="n">
        <v>2</v>
      </c>
      <c r="AR555" s="3" t="n">
        <v>4</v>
      </c>
      <c r="AS555" s="3" t="n">
        <v>2.5</v>
      </c>
      <c r="AT555" s="3"/>
      <c r="AU555" s="3"/>
      <c r="AV555" s="3"/>
      <c r="AW555" s="3"/>
      <c r="AX555" s="3" t="n">
        <v>-3</v>
      </c>
      <c r="AY555" s="3"/>
      <c r="AZ555" s="3"/>
      <c r="BA555" s="3"/>
      <c r="BB555" s="3"/>
      <c r="BC555" s="3"/>
      <c r="BD555" s="3"/>
      <c r="BE555" s="3"/>
      <c r="BF555" s="3"/>
      <c r="BG555" s="3"/>
      <c r="BH555" s="3" t="s">
        <v>1466</v>
      </c>
      <c r="BI555" s="3"/>
      <c r="BJ555" s="3"/>
      <c r="BK555" s="3"/>
      <c r="BL555" s="3"/>
      <c r="BM555" s="3"/>
    </row>
    <row r="556" customFormat="false" ht="15" hidden="false" customHeight="false" outlineLevel="0" collapsed="false">
      <c r="A556" s="3" t="s">
        <v>71</v>
      </c>
      <c r="B556" s="3" t="s">
        <v>150</v>
      </c>
      <c r="C556" s="3" t="s">
        <v>1467</v>
      </c>
      <c r="D556" s="3" t="s">
        <v>1468</v>
      </c>
      <c r="E556" s="3" t="n">
        <v>1</v>
      </c>
      <c r="F556" s="6" t="n">
        <f aca="false">H556*Pesos!$B$2+I556*Pesos!$B$3+J556*Pesos!$B$4+K556*Pesos!$B$5+L556*Pesos!$B$6+M556*Pesos!$B$7+N556*Pesos!$B$8+O556*Pesos!$B$9+P556*Pesos!$B$10+Q556*Pesos!$B$11+R556*Pesos!$B$12+S556*Pesos!$B$13+T556*Pesos!$B$14+U556*Pesos!$B$15+V556*Pesos!$B$16+W556*Pesos!$B$17+X556*Pesos!$B$18+Y556*Pesos!$B$19+Z556*Pesos!$B$20+AA556*Pesos!$B$21+AB556*Pesos!$B$22+AC556*Pesos!$B$23+AD556*Pesos!$B$24+AE556*Pesos!$B$25+AF556*Pesos!$B$26+AG556*Pesos!$B$27+AH556*Pesos!$B$28+AI556*Pesos!$B$29+AJ556*Pesos!$B$30+AK556*Pesos!$B$31+AL556*Pesos!$B$32+AM556*Pesos!$B$33+AN556*Pesos!$B$34+AO556*Pesos!$B$35+AP556*Pesos!$B$36+AQ556*Pesos!$B$37+AR556*Pesos!$B$38+AS556*Pesos!$B$39+AT556*Pesos!$B$40+AU556*Pesos!$B$41+AV556*Pesos!$B$42+AW556*Pesos!$B$43+AX556*Pesos!$B$44+AY556*Pesos!$B$45+AZ556*Pesos!$B$46+BA556*Pesos!$B$47+BB556*Pesos!$B$48+BC556*Pesos!$B$49+BD556*Pesos!$B$50+BE556*Pesos!$B$51+BF556*Pesos!$B$52+BG556*Pesos!$B$53</f>
        <v>657</v>
      </c>
      <c r="G556" s="6" t="n">
        <f aca="false">E556*F556</f>
        <v>657</v>
      </c>
      <c r="H556" s="3" t="n">
        <v>35</v>
      </c>
      <c r="I556" s="3"/>
      <c r="J556" s="3"/>
      <c r="K556" s="3"/>
      <c r="L556" s="3" t="n">
        <v>80000</v>
      </c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 t="n">
        <v>2300</v>
      </c>
      <c r="X556" s="3"/>
      <c r="Y556" s="3"/>
      <c r="Z556" s="3"/>
      <c r="AA556" s="3"/>
      <c r="AB556" s="3" t="n">
        <v>5</v>
      </c>
      <c r="AC556" s="3" t="n">
        <v>5</v>
      </c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 t="n">
        <v>8</v>
      </c>
      <c r="AQ556" s="3" t="n">
        <v>2</v>
      </c>
      <c r="AR556" s="3" t="n">
        <v>4</v>
      </c>
      <c r="AS556" s="3" t="n">
        <v>2.5</v>
      </c>
      <c r="AT556" s="3"/>
      <c r="AU556" s="3"/>
      <c r="AV556" s="3"/>
      <c r="AW556" s="3"/>
      <c r="AX556" s="3" t="n">
        <v>-3</v>
      </c>
      <c r="AY556" s="3"/>
      <c r="AZ556" s="3"/>
      <c r="BA556" s="3"/>
      <c r="BB556" s="3"/>
      <c r="BC556" s="3"/>
      <c r="BD556" s="3"/>
      <c r="BE556" s="3"/>
      <c r="BF556" s="3"/>
      <c r="BG556" s="3"/>
      <c r="BH556" s="3" t="s">
        <v>1469</v>
      </c>
      <c r="BI556" s="3"/>
      <c r="BJ556" s="3"/>
      <c r="BK556" s="3"/>
      <c r="BL556" s="3"/>
      <c r="BM556" s="3"/>
    </row>
    <row r="557" customFormat="false" ht="15" hidden="false" customHeight="false" outlineLevel="0" collapsed="false">
      <c r="A557" s="3" t="s">
        <v>71</v>
      </c>
      <c r="B557" s="3" t="s">
        <v>150</v>
      </c>
      <c r="C557" s="3" t="s">
        <v>1470</v>
      </c>
      <c r="D557" s="3" t="s">
        <v>1471</v>
      </c>
      <c r="E557" s="3" t="n">
        <v>1</v>
      </c>
      <c r="F557" s="6" t="n">
        <f aca="false">H557*Pesos!$B$2+I557*Pesos!$B$3+J557*Pesos!$B$4+K557*Pesos!$B$5+L557*Pesos!$B$6+M557*Pesos!$B$7+N557*Pesos!$B$8+O557*Pesos!$B$9+P557*Pesos!$B$10+Q557*Pesos!$B$11+R557*Pesos!$B$12+S557*Pesos!$B$13+T557*Pesos!$B$14+U557*Pesos!$B$15+V557*Pesos!$B$16+W557*Pesos!$B$17+X557*Pesos!$B$18+Y557*Pesos!$B$19+Z557*Pesos!$B$20+AA557*Pesos!$B$21+AB557*Pesos!$B$22+AC557*Pesos!$B$23+AD557*Pesos!$B$24+AE557*Pesos!$B$25+AF557*Pesos!$B$26+AG557*Pesos!$B$27+AH557*Pesos!$B$28+AI557*Pesos!$B$29+AJ557*Pesos!$B$30+AK557*Pesos!$B$31+AL557*Pesos!$B$32+AM557*Pesos!$B$33+AN557*Pesos!$B$34+AO557*Pesos!$B$35+AP557*Pesos!$B$36+AQ557*Pesos!$B$37+AR557*Pesos!$B$38+AS557*Pesos!$B$39+AT557*Pesos!$B$40+AU557*Pesos!$B$41+AV557*Pesos!$B$42+AW557*Pesos!$B$43+AX557*Pesos!$B$44+AY557*Pesos!$B$45+AZ557*Pesos!$B$46+BA557*Pesos!$B$47+BB557*Pesos!$B$48+BC557*Pesos!$B$49+BD557*Pesos!$B$50+BE557*Pesos!$B$51+BF557*Pesos!$B$52+BG557*Pesos!$B$53</f>
        <v>760</v>
      </c>
      <c r="G557" s="6" t="n">
        <f aca="false">E557*F557</f>
        <v>760</v>
      </c>
      <c r="H557" s="3" t="n">
        <v>35</v>
      </c>
      <c r="I557" s="3"/>
      <c r="J557" s="3"/>
      <c r="K557" s="3"/>
      <c r="L557" s="3" t="n">
        <v>120000</v>
      </c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 t="n">
        <v>3450</v>
      </c>
      <c r="X557" s="3"/>
      <c r="Y557" s="3"/>
      <c r="Z557" s="3"/>
      <c r="AA557" s="3"/>
      <c r="AB557" s="3" t="n">
        <v>5</v>
      </c>
      <c r="AC557" s="3" t="n">
        <v>5</v>
      </c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 t="n">
        <v>8</v>
      </c>
      <c r="AQ557" s="3" t="n">
        <v>2</v>
      </c>
      <c r="AR557" s="3" t="n">
        <v>4</v>
      </c>
      <c r="AS557" s="3" t="n">
        <v>2.5</v>
      </c>
      <c r="AT557" s="3"/>
      <c r="AU557" s="3"/>
      <c r="AV557" s="3"/>
      <c r="AW557" s="3"/>
      <c r="AX557" s="3" t="n">
        <v>-3</v>
      </c>
      <c r="AY557" s="3"/>
      <c r="AZ557" s="3"/>
      <c r="BA557" s="3"/>
      <c r="BB557" s="3"/>
      <c r="BC557" s="3"/>
      <c r="BD557" s="3"/>
      <c r="BE557" s="3"/>
      <c r="BF557" s="3"/>
      <c r="BG557" s="3"/>
      <c r="BH557" s="3" t="s">
        <v>1472</v>
      </c>
      <c r="BI557" s="3"/>
      <c r="BJ557" s="3"/>
      <c r="BK557" s="3"/>
      <c r="BL557" s="3"/>
      <c r="BM557" s="3"/>
    </row>
    <row r="558" customFormat="false" ht="15" hidden="false" customHeight="false" outlineLevel="0" collapsed="false">
      <c r="A558" s="3" t="s">
        <v>71</v>
      </c>
      <c r="B558" s="3" t="s">
        <v>150</v>
      </c>
      <c r="C558" s="3" t="s">
        <v>1473</v>
      </c>
      <c r="D558" s="3" t="s">
        <v>1474</v>
      </c>
      <c r="E558" s="3" t="n">
        <v>1</v>
      </c>
      <c r="F558" s="6" t="n">
        <f aca="false">H558*Pesos!$B$2+I558*Pesos!$B$3+J558*Pesos!$B$4+K558*Pesos!$B$5+L558*Pesos!$B$6+M558*Pesos!$B$7+N558*Pesos!$B$8+O558*Pesos!$B$9+P558*Pesos!$B$10+Q558*Pesos!$B$11+R558*Pesos!$B$12+S558*Pesos!$B$13+T558*Pesos!$B$14+U558*Pesos!$B$15+V558*Pesos!$B$16+W558*Pesos!$B$17+X558*Pesos!$B$18+Y558*Pesos!$B$19+Z558*Pesos!$B$20+AA558*Pesos!$B$21+AB558*Pesos!$B$22+AC558*Pesos!$B$23+AD558*Pesos!$B$24+AE558*Pesos!$B$25+AF558*Pesos!$B$26+AG558*Pesos!$B$27+AH558*Pesos!$B$28+AI558*Pesos!$B$29+AJ558*Pesos!$B$30+AK558*Pesos!$B$31+AL558*Pesos!$B$32+AM558*Pesos!$B$33+AN558*Pesos!$B$34+AO558*Pesos!$B$35+AP558*Pesos!$B$36+AQ558*Pesos!$B$37+AR558*Pesos!$B$38+AS558*Pesos!$B$39+AT558*Pesos!$B$40+AU558*Pesos!$B$41+AV558*Pesos!$B$42+AW558*Pesos!$B$43+AX558*Pesos!$B$44+AY558*Pesos!$B$45+AZ558*Pesos!$B$46+BA558*Pesos!$B$47+BB558*Pesos!$B$48+BC558*Pesos!$B$49+BD558*Pesos!$B$50+BE558*Pesos!$B$51+BF558*Pesos!$B$52+BG558*Pesos!$B$53</f>
        <v>863</v>
      </c>
      <c r="G558" s="6" t="n">
        <f aca="false">E558*F558</f>
        <v>863</v>
      </c>
      <c r="H558" s="3" t="n">
        <v>35</v>
      </c>
      <c r="I558" s="3"/>
      <c r="J558" s="3"/>
      <c r="K558" s="3"/>
      <c r="L558" s="3" t="n">
        <v>160000</v>
      </c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 t="n">
        <v>4600</v>
      </c>
      <c r="X558" s="3"/>
      <c r="Y558" s="3"/>
      <c r="Z558" s="3"/>
      <c r="AA558" s="3"/>
      <c r="AB558" s="3" t="n">
        <v>5</v>
      </c>
      <c r="AC558" s="3" t="n">
        <v>5</v>
      </c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 t="n">
        <v>8</v>
      </c>
      <c r="AQ558" s="3" t="n">
        <v>2</v>
      </c>
      <c r="AR558" s="3" t="n">
        <v>4</v>
      </c>
      <c r="AS558" s="3" t="n">
        <v>2.5</v>
      </c>
      <c r="AT558" s="3"/>
      <c r="AU558" s="3"/>
      <c r="AV558" s="3"/>
      <c r="AW558" s="3"/>
      <c r="AX558" s="3" t="n">
        <v>-3</v>
      </c>
      <c r="AY558" s="3"/>
      <c r="AZ558" s="3"/>
      <c r="BA558" s="3"/>
      <c r="BB558" s="3"/>
      <c r="BC558" s="3"/>
      <c r="BD558" s="3"/>
      <c r="BE558" s="3"/>
      <c r="BF558" s="3"/>
      <c r="BG558" s="3"/>
      <c r="BH558" s="3" t="s">
        <v>1475</v>
      </c>
      <c r="BI558" s="3"/>
      <c r="BJ558" s="3"/>
      <c r="BK558" s="3"/>
      <c r="BL558" s="3"/>
      <c r="BM558" s="3"/>
    </row>
    <row r="559" customFormat="false" ht="15" hidden="false" customHeight="false" outlineLevel="0" collapsed="false">
      <c r="A559" s="3" t="s">
        <v>71</v>
      </c>
      <c r="B559" s="3" t="s">
        <v>150</v>
      </c>
      <c r="C559" s="3" t="s">
        <v>1476</v>
      </c>
      <c r="D559" s="3" t="s">
        <v>1477</v>
      </c>
      <c r="E559" s="3" t="n">
        <v>1</v>
      </c>
      <c r="F559" s="6" t="n">
        <f aca="false">H559*Pesos!$B$2+I559*Pesos!$B$3+J559*Pesos!$B$4+K559*Pesos!$B$5+L559*Pesos!$B$6+M559*Pesos!$B$7+N559*Pesos!$B$8+O559*Pesos!$B$9+P559*Pesos!$B$10+Q559*Pesos!$B$11+R559*Pesos!$B$12+S559*Pesos!$B$13+T559*Pesos!$B$14+U559*Pesos!$B$15+V559*Pesos!$B$16+W559*Pesos!$B$17+X559*Pesos!$B$18+Y559*Pesos!$B$19+Z559*Pesos!$B$20+AA559*Pesos!$B$21+AB559*Pesos!$B$22+AC559*Pesos!$B$23+AD559*Pesos!$B$24+AE559*Pesos!$B$25+AF559*Pesos!$B$26+AG559*Pesos!$B$27+AH559*Pesos!$B$28+AI559*Pesos!$B$29+AJ559*Pesos!$B$30+AK559*Pesos!$B$31+AL559*Pesos!$B$32+AM559*Pesos!$B$33+AN559*Pesos!$B$34+AO559*Pesos!$B$35+AP559*Pesos!$B$36+AQ559*Pesos!$B$37+AR559*Pesos!$B$38+AS559*Pesos!$B$39+AT559*Pesos!$B$40+AU559*Pesos!$B$41+AV559*Pesos!$B$42+AW559*Pesos!$B$43+AX559*Pesos!$B$44+AY559*Pesos!$B$45+AZ559*Pesos!$B$46+BA559*Pesos!$B$47+BB559*Pesos!$B$48+BC559*Pesos!$B$49+BD559*Pesos!$B$50+BE559*Pesos!$B$51+BF559*Pesos!$B$52+BG559*Pesos!$B$53</f>
        <v>1137</v>
      </c>
      <c r="G559" s="6" t="n">
        <f aca="false">E559*F559</f>
        <v>1137</v>
      </c>
      <c r="H559" s="3" t="n">
        <v>35</v>
      </c>
      <c r="I559" s="3"/>
      <c r="J559" s="3"/>
      <c r="K559" s="3"/>
      <c r="L559" s="3" t="n">
        <v>200000</v>
      </c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 t="n">
        <v>5750</v>
      </c>
      <c r="X559" s="3"/>
      <c r="Y559" s="3"/>
      <c r="Z559" s="3"/>
      <c r="AA559" s="3"/>
      <c r="AB559" s="3" t="n">
        <v>7</v>
      </c>
      <c r="AC559" s="3" t="n">
        <v>7</v>
      </c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 t="n">
        <v>10</v>
      </c>
      <c r="AQ559" s="3" t="n">
        <v>4</v>
      </c>
      <c r="AR559" s="3" t="n">
        <v>6</v>
      </c>
      <c r="AS559" s="3" t="n">
        <v>4</v>
      </c>
      <c r="AT559" s="3"/>
      <c r="AU559" s="3"/>
      <c r="AV559" s="3"/>
      <c r="AW559" s="3"/>
      <c r="AX559" s="3" t="n">
        <v>-4</v>
      </c>
      <c r="AY559" s="3"/>
      <c r="AZ559" s="3"/>
      <c r="BA559" s="3"/>
      <c r="BB559" s="3"/>
      <c r="BC559" s="3"/>
      <c r="BD559" s="3"/>
      <c r="BE559" s="3"/>
      <c r="BF559" s="3"/>
      <c r="BG559" s="3"/>
      <c r="BH559" s="3" t="s">
        <v>1478</v>
      </c>
      <c r="BI559" s="3"/>
      <c r="BJ559" s="3"/>
      <c r="BK559" s="3"/>
      <c r="BL559" s="3"/>
      <c r="BM559" s="3"/>
    </row>
    <row r="560" customFormat="false" ht="15" hidden="false" customHeight="false" outlineLevel="0" collapsed="false">
      <c r="A560" s="3" t="s">
        <v>71</v>
      </c>
      <c r="B560" s="3" t="s">
        <v>150</v>
      </c>
      <c r="C560" s="3" t="s">
        <v>1479</v>
      </c>
      <c r="D560" s="3" t="s">
        <v>1480</v>
      </c>
      <c r="E560" s="3" t="n">
        <v>1</v>
      </c>
      <c r="F560" s="6" t="n">
        <f aca="false">H560*Pesos!$B$2+I560*Pesos!$B$3+J560*Pesos!$B$4+K560*Pesos!$B$5+L560*Pesos!$B$6+M560*Pesos!$B$7+N560*Pesos!$B$8+O560*Pesos!$B$9+P560*Pesos!$B$10+Q560*Pesos!$B$11+R560*Pesos!$B$12+S560*Pesos!$B$13+T560*Pesos!$B$14+U560*Pesos!$B$15+V560*Pesos!$B$16+W560*Pesos!$B$17+X560*Pesos!$B$18+Y560*Pesos!$B$19+Z560*Pesos!$B$20+AA560*Pesos!$B$21+AB560*Pesos!$B$22+AC560*Pesos!$B$23+AD560*Pesos!$B$24+AE560*Pesos!$B$25+AF560*Pesos!$B$26+AG560*Pesos!$B$27+AH560*Pesos!$B$28+AI560*Pesos!$B$29+AJ560*Pesos!$B$30+AK560*Pesos!$B$31+AL560*Pesos!$B$32+AM560*Pesos!$B$33+AN560*Pesos!$B$34+AO560*Pesos!$B$35+AP560*Pesos!$B$36+AQ560*Pesos!$B$37+AR560*Pesos!$B$38+AS560*Pesos!$B$39+AT560*Pesos!$B$40+AU560*Pesos!$B$41+AV560*Pesos!$B$42+AW560*Pesos!$B$43+AX560*Pesos!$B$44+AY560*Pesos!$B$45+AZ560*Pesos!$B$46+BA560*Pesos!$B$47+BB560*Pesos!$B$48+BC560*Pesos!$B$49+BD560*Pesos!$B$50+BE560*Pesos!$B$51+BF560*Pesos!$B$52+BG560*Pesos!$B$53</f>
        <v>1240</v>
      </c>
      <c r="G560" s="6" t="n">
        <f aca="false">E560*F560</f>
        <v>1240</v>
      </c>
      <c r="H560" s="3" t="n">
        <v>35</v>
      </c>
      <c r="I560" s="3"/>
      <c r="J560" s="3"/>
      <c r="K560" s="3"/>
      <c r="L560" s="3" t="n">
        <v>240000</v>
      </c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 t="n">
        <v>6900</v>
      </c>
      <c r="X560" s="3"/>
      <c r="Y560" s="3"/>
      <c r="Z560" s="3"/>
      <c r="AA560" s="3"/>
      <c r="AB560" s="3" t="n">
        <v>7</v>
      </c>
      <c r="AC560" s="3" t="n">
        <v>7</v>
      </c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 t="n">
        <v>10</v>
      </c>
      <c r="AQ560" s="3" t="n">
        <v>4</v>
      </c>
      <c r="AR560" s="3" t="n">
        <v>6</v>
      </c>
      <c r="AS560" s="3" t="n">
        <v>4</v>
      </c>
      <c r="AT560" s="3"/>
      <c r="AU560" s="3"/>
      <c r="AV560" s="3"/>
      <c r="AW560" s="3"/>
      <c r="AX560" s="3" t="n">
        <v>-4</v>
      </c>
      <c r="AY560" s="3"/>
      <c r="AZ560" s="3"/>
      <c r="BA560" s="3"/>
      <c r="BB560" s="3"/>
      <c r="BC560" s="3"/>
      <c r="BD560" s="3"/>
      <c r="BE560" s="3"/>
      <c r="BF560" s="3"/>
      <c r="BG560" s="3"/>
      <c r="BH560" s="3" t="s">
        <v>1481</v>
      </c>
      <c r="BI560" s="3"/>
      <c r="BJ560" s="3"/>
      <c r="BK560" s="3"/>
      <c r="BL560" s="3"/>
      <c r="BM560" s="3"/>
    </row>
    <row r="561" customFormat="false" ht="15" hidden="false" customHeight="false" outlineLevel="0" collapsed="false">
      <c r="A561" s="3" t="s">
        <v>71</v>
      </c>
      <c r="B561" s="3" t="s">
        <v>150</v>
      </c>
      <c r="C561" s="3" t="s">
        <v>1482</v>
      </c>
      <c r="D561" s="3" t="s">
        <v>1483</v>
      </c>
      <c r="E561" s="3" t="n">
        <v>1</v>
      </c>
      <c r="F561" s="6" t="n">
        <f aca="false">H561*Pesos!$B$2+I561*Pesos!$B$3+J561*Pesos!$B$4+K561*Pesos!$B$5+L561*Pesos!$B$6+M561*Pesos!$B$7+N561*Pesos!$B$8+O561*Pesos!$B$9+P561*Pesos!$B$10+Q561*Pesos!$B$11+R561*Pesos!$B$12+S561*Pesos!$B$13+T561*Pesos!$B$14+U561*Pesos!$B$15+V561*Pesos!$B$16+W561*Pesos!$B$17+X561*Pesos!$B$18+Y561*Pesos!$B$19+Z561*Pesos!$B$20+AA561*Pesos!$B$21+AB561*Pesos!$B$22+AC561*Pesos!$B$23+AD561*Pesos!$B$24+AE561*Pesos!$B$25+AF561*Pesos!$B$26+AG561*Pesos!$B$27+AH561*Pesos!$B$28+AI561*Pesos!$B$29+AJ561*Pesos!$B$30+AK561*Pesos!$B$31+AL561*Pesos!$B$32+AM561*Pesos!$B$33+AN561*Pesos!$B$34+AO561*Pesos!$B$35+AP561*Pesos!$B$36+AQ561*Pesos!$B$37+AR561*Pesos!$B$38+AS561*Pesos!$B$39+AT561*Pesos!$B$40+AU561*Pesos!$B$41+AV561*Pesos!$B$42+AW561*Pesos!$B$43+AX561*Pesos!$B$44+AY561*Pesos!$B$45+AZ561*Pesos!$B$46+BA561*Pesos!$B$47+BB561*Pesos!$B$48+BC561*Pesos!$B$49+BD561*Pesos!$B$50+BE561*Pesos!$B$51+BF561*Pesos!$B$52+BG561*Pesos!$B$53</f>
        <v>2170</v>
      </c>
      <c r="G561" s="6" t="n">
        <f aca="false">E561*F561</f>
        <v>2170</v>
      </c>
      <c r="H561" s="3" t="n">
        <v>35</v>
      </c>
      <c r="I561" s="3"/>
      <c r="J561" s="3"/>
      <c r="K561" s="3"/>
      <c r="L561" s="3" t="n">
        <v>400000</v>
      </c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 t="n">
        <v>8000</v>
      </c>
      <c r="X561" s="3" t="n">
        <v>8</v>
      </c>
      <c r="Y561" s="3"/>
      <c r="Z561" s="3"/>
      <c r="AA561" s="3"/>
      <c r="AB561" s="3" t="n">
        <v>7</v>
      </c>
      <c r="AC561" s="3" t="n">
        <v>7</v>
      </c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 t="n">
        <v>7</v>
      </c>
      <c r="AQ561" s="3" t="n">
        <v>10</v>
      </c>
      <c r="AR561" s="3" t="n">
        <v>15</v>
      </c>
      <c r="AS561" s="3" t="n">
        <v>7</v>
      </c>
      <c r="AT561" s="3"/>
      <c r="AU561" s="3"/>
      <c r="AV561" s="3"/>
      <c r="AW561" s="3" t="n">
        <v>-26</v>
      </c>
      <c r="AX561" s="3" t="n">
        <v>-4</v>
      </c>
      <c r="AY561" s="3"/>
      <c r="AZ561" s="3"/>
      <c r="BA561" s="3"/>
      <c r="BB561" s="3"/>
      <c r="BC561" s="3"/>
      <c r="BD561" s="3"/>
      <c r="BE561" s="3"/>
      <c r="BF561" s="3"/>
      <c r="BG561" s="3"/>
      <c r="BH561" s="3" t="s">
        <v>1484</v>
      </c>
      <c r="BI561" s="3"/>
      <c r="BJ561" s="3"/>
      <c r="BK561" s="3"/>
      <c r="BL561" s="3"/>
      <c r="BM561" s="3"/>
    </row>
    <row r="562" customFormat="false" ht="15" hidden="false" customHeight="false" outlineLevel="0" collapsed="false">
      <c r="A562" s="3" t="s">
        <v>72</v>
      </c>
      <c r="B562" s="3" t="s">
        <v>151</v>
      </c>
      <c r="C562" s="3" t="s">
        <v>1485</v>
      </c>
      <c r="D562" s="3" t="s">
        <v>1486</v>
      </c>
      <c r="E562" s="3" t="n">
        <v>1</v>
      </c>
      <c r="F562" s="6" t="n">
        <f aca="false">H562*Pesos!$B$2+I562*Pesos!$B$3+J562*Pesos!$B$4+K562*Pesos!$B$5+L562*Pesos!$B$6+M562*Pesos!$B$7+N562*Pesos!$B$8+O562*Pesos!$B$9+P562*Pesos!$B$10+Q562*Pesos!$B$11+R562*Pesos!$B$12+S562*Pesos!$B$13+T562*Pesos!$B$14+U562*Pesos!$B$15+V562*Pesos!$B$16+W562*Pesos!$B$17+X562*Pesos!$B$18+Y562*Pesos!$B$19+Z562*Pesos!$B$20+AA562*Pesos!$B$21+AB562*Pesos!$B$22+AC562*Pesos!$B$23+AD562*Pesos!$B$24+AE562*Pesos!$B$25+AF562*Pesos!$B$26+AG562*Pesos!$B$27+AH562*Pesos!$B$28+AI562*Pesos!$B$29+AJ562*Pesos!$B$30+AK562*Pesos!$B$31+AL562*Pesos!$B$32+AM562*Pesos!$B$33+AN562*Pesos!$B$34+AO562*Pesos!$B$35+AP562*Pesos!$B$36+AQ562*Pesos!$B$37+AR562*Pesos!$B$38+AS562*Pesos!$B$39+AT562*Pesos!$B$40+AU562*Pesos!$B$41+AV562*Pesos!$B$42+AW562*Pesos!$B$43+AX562*Pesos!$B$44+AY562*Pesos!$B$45+AZ562*Pesos!$B$46+BA562*Pesos!$B$47+BB562*Pesos!$B$48+BC562*Pesos!$B$49+BD562*Pesos!$B$50+BE562*Pesos!$B$51+BF562*Pesos!$B$52+BG562*Pesos!$B$53</f>
        <v>1371.4</v>
      </c>
      <c r="G562" s="6" t="n">
        <f aca="false">E562*F562</f>
        <v>1371.4</v>
      </c>
      <c r="H562" s="3" t="n">
        <v>364</v>
      </c>
      <c r="I562" s="3" t="n">
        <v>100</v>
      </c>
      <c r="J562" s="3"/>
      <c r="K562" s="3"/>
      <c r="L562" s="3" t="n">
        <v>350000</v>
      </c>
      <c r="M562" s="3"/>
      <c r="N562" s="3"/>
      <c r="O562" s="3"/>
      <c r="P562" s="3"/>
      <c r="Q562" s="3"/>
      <c r="R562" s="3" t="n">
        <v>5</v>
      </c>
      <c r="S562" s="3"/>
      <c r="T562" s="3"/>
      <c r="U562" s="3"/>
      <c r="V562" s="3"/>
      <c r="W562" s="3" t="n">
        <v>3570</v>
      </c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customFormat="false" ht="15" hidden="false" customHeight="false" outlineLevel="0" collapsed="false">
      <c r="A563" s="3" t="s">
        <v>72</v>
      </c>
      <c r="B563" s="3" t="s">
        <v>151</v>
      </c>
      <c r="C563" s="3" t="s">
        <v>1487</v>
      </c>
      <c r="D563" s="3" t="s">
        <v>1488</v>
      </c>
      <c r="E563" s="3" t="n">
        <v>1</v>
      </c>
      <c r="F563" s="6" t="n">
        <f aca="false">H563*Pesos!$B$2+I563*Pesos!$B$3+J563*Pesos!$B$4+K563*Pesos!$B$5+L563*Pesos!$B$6+M563*Pesos!$B$7+N563*Pesos!$B$8+O563*Pesos!$B$9+P563*Pesos!$B$10+Q563*Pesos!$B$11+R563*Pesos!$B$12+S563*Pesos!$B$13+T563*Pesos!$B$14+U563*Pesos!$B$15+V563*Pesos!$B$16+W563*Pesos!$B$17+X563*Pesos!$B$18+Y563*Pesos!$B$19+Z563*Pesos!$B$20+AA563*Pesos!$B$21+AB563*Pesos!$B$22+AC563*Pesos!$B$23+AD563*Pesos!$B$24+AE563*Pesos!$B$25+AF563*Pesos!$B$26+AG563*Pesos!$B$27+AH563*Pesos!$B$28+AI563*Pesos!$B$29+AJ563*Pesos!$B$30+AK563*Pesos!$B$31+AL563*Pesos!$B$32+AM563*Pesos!$B$33+AN563*Pesos!$B$34+AO563*Pesos!$B$35+AP563*Pesos!$B$36+AQ563*Pesos!$B$37+AR563*Pesos!$B$38+AS563*Pesos!$B$39+AT563*Pesos!$B$40+AU563*Pesos!$B$41+AV563*Pesos!$B$42+AW563*Pesos!$B$43+AX563*Pesos!$B$44+AY563*Pesos!$B$45+AZ563*Pesos!$B$46+BA563*Pesos!$B$47+BB563*Pesos!$B$48+BC563*Pesos!$B$49+BD563*Pesos!$B$50+BE563*Pesos!$B$51+BF563*Pesos!$B$52+BG563*Pesos!$B$53</f>
        <v>1371.4</v>
      </c>
      <c r="G563" s="6" t="n">
        <f aca="false">E563*F563</f>
        <v>1371.4</v>
      </c>
      <c r="H563" s="3" t="n">
        <v>364</v>
      </c>
      <c r="I563" s="3" t="n">
        <v>100</v>
      </c>
      <c r="J563" s="3"/>
      <c r="K563" s="3"/>
      <c r="L563" s="3" t="n">
        <v>350000</v>
      </c>
      <c r="M563" s="3"/>
      <c r="N563" s="3"/>
      <c r="O563" s="3"/>
      <c r="P563" s="3"/>
      <c r="Q563" s="3"/>
      <c r="R563" s="3" t="n">
        <v>5</v>
      </c>
      <c r="S563" s="3"/>
      <c r="T563" s="3"/>
      <c r="U563" s="3"/>
      <c r="V563" s="3"/>
      <c r="W563" s="3" t="n">
        <v>3570</v>
      </c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customFormat="false" ht="15" hidden="false" customHeight="false" outlineLevel="0" collapsed="false">
      <c r="A564" s="3" t="s">
        <v>72</v>
      </c>
      <c r="B564" s="3" t="s">
        <v>151</v>
      </c>
      <c r="C564" s="3" t="s">
        <v>1489</v>
      </c>
      <c r="D564" s="3" t="s">
        <v>1490</v>
      </c>
      <c r="E564" s="3" t="n">
        <v>1</v>
      </c>
      <c r="F564" s="6" t="n">
        <f aca="false">H564*Pesos!$B$2+I564*Pesos!$B$3+J564*Pesos!$B$4+K564*Pesos!$B$5+L564*Pesos!$B$6+M564*Pesos!$B$7+N564*Pesos!$B$8+O564*Pesos!$B$9+P564*Pesos!$B$10+Q564*Pesos!$B$11+R564*Pesos!$B$12+S564*Pesos!$B$13+T564*Pesos!$B$14+U564*Pesos!$B$15+V564*Pesos!$B$16+W564*Pesos!$B$17+X564*Pesos!$B$18+Y564*Pesos!$B$19+Z564*Pesos!$B$20+AA564*Pesos!$B$21+AB564*Pesos!$B$22+AC564*Pesos!$B$23+AD564*Pesos!$B$24+AE564*Pesos!$B$25+AF564*Pesos!$B$26+AG564*Pesos!$B$27+AH564*Pesos!$B$28+AI564*Pesos!$B$29+AJ564*Pesos!$B$30+AK564*Pesos!$B$31+AL564*Pesos!$B$32+AM564*Pesos!$B$33+AN564*Pesos!$B$34+AO564*Pesos!$B$35+AP564*Pesos!$B$36+AQ564*Pesos!$B$37+AR564*Pesos!$B$38+AS564*Pesos!$B$39+AT564*Pesos!$B$40+AU564*Pesos!$B$41+AV564*Pesos!$B$42+AW564*Pesos!$B$43+AX564*Pesos!$B$44+AY564*Pesos!$B$45+AZ564*Pesos!$B$46+BA564*Pesos!$B$47+BB564*Pesos!$B$48+BC564*Pesos!$B$49+BD564*Pesos!$B$50+BE564*Pesos!$B$51+BF564*Pesos!$B$52+BG564*Pesos!$B$53</f>
        <v>1880</v>
      </c>
      <c r="G564" s="6" t="n">
        <f aca="false">E564*F564</f>
        <v>1880</v>
      </c>
      <c r="H564" s="3" t="n">
        <v>364</v>
      </c>
      <c r="I564" s="3" t="n">
        <v>200</v>
      </c>
      <c r="J564" s="3" t="n">
        <v>10</v>
      </c>
      <c r="K564" s="3" t="n">
        <v>10</v>
      </c>
      <c r="L564" s="3" t="n">
        <v>500000</v>
      </c>
      <c r="M564" s="3"/>
      <c r="N564" s="3"/>
      <c r="O564" s="3"/>
      <c r="P564" s="3"/>
      <c r="Q564" s="3"/>
      <c r="R564" s="3" t="n">
        <v>5</v>
      </c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customFormat="false" ht="15" hidden="false" customHeight="false" outlineLevel="0" collapsed="false">
      <c r="A565" s="3" t="s">
        <v>72</v>
      </c>
      <c r="B565" s="3" t="s">
        <v>151</v>
      </c>
      <c r="C565" s="3" t="s">
        <v>1491</v>
      </c>
      <c r="D565" s="3" t="s">
        <v>1492</v>
      </c>
      <c r="E565" s="3" t="n">
        <v>1</v>
      </c>
      <c r="F565" s="6" t="n">
        <f aca="false">H565*Pesos!$B$2+I565*Pesos!$B$3+J565*Pesos!$B$4+K565*Pesos!$B$5+L565*Pesos!$B$6+M565*Pesos!$B$7+N565*Pesos!$B$8+O565*Pesos!$B$9+P565*Pesos!$B$10+Q565*Pesos!$B$11+R565*Pesos!$B$12+S565*Pesos!$B$13+T565*Pesos!$B$14+U565*Pesos!$B$15+V565*Pesos!$B$16+W565*Pesos!$B$17+X565*Pesos!$B$18+Y565*Pesos!$B$19+Z565*Pesos!$B$20+AA565*Pesos!$B$21+AB565*Pesos!$B$22+AC565*Pesos!$B$23+AD565*Pesos!$B$24+AE565*Pesos!$B$25+AF565*Pesos!$B$26+AG565*Pesos!$B$27+AH565*Pesos!$B$28+AI565*Pesos!$B$29+AJ565*Pesos!$B$30+AK565*Pesos!$B$31+AL565*Pesos!$B$32+AM565*Pesos!$B$33+AN565*Pesos!$B$34+AO565*Pesos!$B$35+AP565*Pesos!$B$36+AQ565*Pesos!$B$37+AR565*Pesos!$B$38+AS565*Pesos!$B$39+AT565*Pesos!$B$40+AU565*Pesos!$B$41+AV565*Pesos!$B$42+AW565*Pesos!$B$43+AX565*Pesos!$B$44+AY565*Pesos!$B$45+AZ565*Pesos!$B$46+BA565*Pesos!$B$47+BB565*Pesos!$B$48+BC565*Pesos!$B$49+BD565*Pesos!$B$50+BE565*Pesos!$B$51+BF565*Pesos!$B$52+BG565*Pesos!$B$53</f>
        <v>915</v>
      </c>
      <c r="G565" s="6" t="n">
        <f aca="false">E565*F565</f>
        <v>915</v>
      </c>
      <c r="H565" s="3" t="n">
        <v>364</v>
      </c>
      <c r="I565" s="3"/>
      <c r="J565" s="3"/>
      <c r="K565" s="3"/>
      <c r="L565" s="3" t="n">
        <v>250000</v>
      </c>
      <c r="M565" s="3"/>
      <c r="N565" s="3"/>
      <c r="O565" s="3"/>
      <c r="P565" s="3"/>
      <c r="Q565" s="3"/>
      <c r="R565" s="3"/>
      <c r="S565" s="3"/>
      <c r="T565" s="3"/>
      <c r="U565" s="3" t="n">
        <v>1</v>
      </c>
      <c r="V565" s="3"/>
      <c r="W565" s="3"/>
      <c r="X565" s="3" t="n">
        <v>10</v>
      </c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customFormat="false" ht="15" hidden="false" customHeight="false" outlineLevel="0" collapsed="false">
      <c r="A566" s="3" t="s">
        <v>72</v>
      </c>
      <c r="B566" s="3" t="s">
        <v>151</v>
      </c>
      <c r="C566" s="3" t="s">
        <v>1493</v>
      </c>
      <c r="D566" s="3" t="s">
        <v>1494</v>
      </c>
      <c r="E566" s="3" t="n">
        <v>1</v>
      </c>
      <c r="F566" s="6" t="n">
        <f aca="false">H566*Pesos!$B$2+I566*Pesos!$B$3+J566*Pesos!$B$4+K566*Pesos!$B$5+L566*Pesos!$B$6+M566*Pesos!$B$7+N566*Pesos!$B$8+O566*Pesos!$B$9+P566*Pesos!$B$10+Q566*Pesos!$B$11+R566*Pesos!$B$12+S566*Pesos!$B$13+T566*Pesos!$B$14+U566*Pesos!$B$15+V566*Pesos!$B$16+W566*Pesos!$B$17+X566*Pesos!$B$18+Y566*Pesos!$B$19+Z566*Pesos!$B$20+AA566*Pesos!$B$21+AB566*Pesos!$B$22+AC566*Pesos!$B$23+AD566*Pesos!$B$24+AE566*Pesos!$B$25+AF566*Pesos!$B$26+AG566*Pesos!$B$27+AH566*Pesos!$B$28+AI566*Pesos!$B$29+AJ566*Pesos!$B$30+AK566*Pesos!$B$31+AL566*Pesos!$B$32+AM566*Pesos!$B$33+AN566*Pesos!$B$34+AO566*Pesos!$B$35+AP566*Pesos!$B$36+AQ566*Pesos!$B$37+AR566*Pesos!$B$38+AS566*Pesos!$B$39+AT566*Pesos!$B$40+AU566*Pesos!$B$41+AV566*Pesos!$B$42+AW566*Pesos!$B$43+AX566*Pesos!$B$44+AY566*Pesos!$B$45+AZ566*Pesos!$B$46+BA566*Pesos!$B$47+BB566*Pesos!$B$48+BC566*Pesos!$B$49+BD566*Pesos!$B$50+BE566*Pesos!$B$51+BF566*Pesos!$B$52+BG566*Pesos!$B$53</f>
        <v>150.4</v>
      </c>
      <c r="G566" s="6" t="n">
        <f aca="false">E566*F566</f>
        <v>150.4</v>
      </c>
      <c r="H566" s="3" t="n">
        <v>364</v>
      </c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 t="n">
        <v>6520</v>
      </c>
      <c r="X566" s="3"/>
      <c r="Y566" s="3"/>
      <c r="Z566" s="3" t="n">
        <v>1</v>
      </c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 t="s">
        <v>1495</v>
      </c>
      <c r="BJ566" s="3"/>
      <c r="BK566" s="3"/>
      <c r="BL566" s="3"/>
      <c r="BM566" s="3"/>
    </row>
    <row r="567" customFormat="false" ht="15" hidden="false" customHeight="false" outlineLevel="0" collapsed="false">
      <c r="A567" s="3" t="s">
        <v>72</v>
      </c>
      <c r="B567" s="3" t="s">
        <v>151</v>
      </c>
      <c r="C567" s="3" t="s">
        <v>1496</v>
      </c>
      <c r="D567" s="3" t="s">
        <v>1497</v>
      </c>
      <c r="E567" s="3" t="n">
        <v>1</v>
      </c>
      <c r="F567" s="6" t="n">
        <f aca="false">H567*Pesos!$B$2+I567*Pesos!$B$3+J567*Pesos!$B$4+K567*Pesos!$B$5+L567*Pesos!$B$6+M567*Pesos!$B$7+N567*Pesos!$B$8+O567*Pesos!$B$9+P567*Pesos!$B$10+Q567*Pesos!$B$11+R567*Pesos!$B$12+S567*Pesos!$B$13+T567*Pesos!$B$14+U567*Pesos!$B$15+V567*Pesos!$B$16+W567*Pesos!$B$17+X567*Pesos!$B$18+Y567*Pesos!$B$19+Z567*Pesos!$B$20+AA567*Pesos!$B$21+AB567*Pesos!$B$22+AC567*Pesos!$B$23+AD567*Pesos!$B$24+AE567*Pesos!$B$25+AF567*Pesos!$B$26+AG567*Pesos!$B$27+AH567*Pesos!$B$28+AI567*Pesos!$B$29+AJ567*Pesos!$B$30+AK567*Pesos!$B$31+AL567*Pesos!$B$32+AM567*Pesos!$B$33+AN567*Pesos!$B$34+AO567*Pesos!$B$35+AP567*Pesos!$B$36+AQ567*Pesos!$B$37+AR567*Pesos!$B$38+AS567*Pesos!$B$39+AT567*Pesos!$B$40+AU567*Pesos!$B$41+AV567*Pesos!$B$42+AW567*Pesos!$B$43+AX567*Pesos!$B$44+AY567*Pesos!$B$45+AZ567*Pesos!$B$46+BA567*Pesos!$B$47+BB567*Pesos!$B$48+BC567*Pesos!$B$49+BD567*Pesos!$B$50+BE567*Pesos!$B$51+BF567*Pesos!$B$52+BG567*Pesos!$B$53</f>
        <v>160</v>
      </c>
      <c r="G567" s="6" t="n">
        <f aca="false">E567*F567</f>
        <v>160</v>
      </c>
      <c r="H567" s="3" t="n">
        <v>364</v>
      </c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 t="n">
        <v>8</v>
      </c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 t="s">
        <v>1498</v>
      </c>
      <c r="BJ567" s="3"/>
      <c r="BK567" s="3"/>
      <c r="BL567" s="3"/>
      <c r="BM567" s="3"/>
    </row>
    <row r="568" customFormat="false" ht="15" hidden="false" customHeight="false" outlineLevel="0" collapsed="false">
      <c r="A568" s="3" t="s">
        <v>72</v>
      </c>
      <c r="B568" s="3" t="s">
        <v>151</v>
      </c>
      <c r="C568" s="3" t="s">
        <v>1499</v>
      </c>
      <c r="D568" s="3" t="s">
        <v>1500</v>
      </c>
      <c r="E568" s="3" t="n">
        <v>1</v>
      </c>
      <c r="F568" s="6" t="n">
        <f aca="false">H568*Pesos!$B$2+I568*Pesos!$B$3+J568*Pesos!$B$4+K568*Pesos!$B$5+L568*Pesos!$B$6+M568*Pesos!$B$7+N568*Pesos!$B$8+O568*Pesos!$B$9+P568*Pesos!$B$10+Q568*Pesos!$B$11+R568*Pesos!$B$12+S568*Pesos!$B$13+T568*Pesos!$B$14+U568*Pesos!$B$15+V568*Pesos!$B$16+W568*Pesos!$B$17+X568*Pesos!$B$18+Y568*Pesos!$B$19+Z568*Pesos!$B$20+AA568*Pesos!$B$21+AB568*Pesos!$B$22+AC568*Pesos!$B$23+AD568*Pesos!$B$24+AE568*Pesos!$B$25+AF568*Pesos!$B$26+AG568*Pesos!$B$27+AH568*Pesos!$B$28+AI568*Pesos!$B$29+AJ568*Pesos!$B$30+AK568*Pesos!$B$31+AL568*Pesos!$B$32+AM568*Pesos!$B$33+AN568*Pesos!$B$34+AO568*Pesos!$B$35+AP568*Pesos!$B$36+AQ568*Pesos!$B$37+AR568*Pesos!$B$38+AS568*Pesos!$B$39+AT568*Pesos!$B$40+AU568*Pesos!$B$41+AV568*Pesos!$B$42+AW568*Pesos!$B$43+AX568*Pesos!$B$44+AY568*Pesos!$B$45+AZ568*Pesos!$B$46+BA568*Pesos!$B$47+BB568*Pesos!$B$48+BC568*Pesos!$B$49+BD568*Pesos!$B$50+BE568*Pesos!$B$51+BF568*Pesos!$B$52+BG568*Pesos!$B$53</f>
        <v>2255</v>
      </c>
      <c r="G568" s="6" t="n">
        <f aca="false">E568*F568</f>
        <v>2255</v>
      </c>
      <c r="H568" s="3" t="n">
        <v>364</v>
      </c>
      <c r="I568" s="3"/>
      <c r="J568" s="3"/>
      <c r="K568" s="3"/>
      <c r="L568" s="3" t="n">
        <v>500000</v>
      </c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 t="n">
        <v>25250</v>
      </c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 t="n">
        <v>25</v>
      </c>
      <c r="AJ568" s="3"/>
      <c r="AK568" s="3"/>
      <c r="AL568" s="3"/>
      <c r="AM568" s="3"/>
      <c r="AN568" s="3" t="n">
        <v>25</v>
      </c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 t="s">
        <v>1500</v>
      </c>
      <c r="BI568" s="3"/>
      <c r="BJ568" s="3"/>
      <c r="BK568" s="3"/>
      <c r="BL568" s="3"/>
      <c r="BM568" s="3"/>
    </row>
    <row r="569" customFormat="false" ht="15" hidden="false" customHeight="false" outlineLevel="0" collapsed="false">
      <c r="A569" s="3" t="s">
        <v>73</v>
      </c>
      <c r="B569" s="3" t="s">
        <v>152</v>
      </c>
      <c r="C569" s="3" t="s">
        <v>1501</v>
      </c>
      <c r="D569" s="3" t="s">
        <v>1502</v>
      </c>
      <c r="E569" s="3" t="n">
        <v>1</v>
      </c>
      <c r="F569" s="6" t="n">
        <f aca="false">H569*Pesos!$B$2+I569*Pesos!$B$3+J569*Pesos!$B$4+K569*Pesos!$B$5+L569*Pesos!$B$6+M569*Pesos!$B$7+N569*Pesos!$B$8+O569*Pesos!$B$9+P569*Pesos!$B$10+Q569*Pesos!$B$11+R569*Pesos!$B$12+S569*Pesos!$B$13+T569*Pesos!$B$14+U569*Pesos!$B$15+V569*Pesos!$B$16+W569*Pesos!$B$17+X569*Pesos!$B$18+Y569*Pesos!$B$19+Z569*Pesos!$B$20+AA569*Pesos!$B$21+AB569*Pesos!$B$22+AC569*Pesos!$B$23+AD569*Pesos!$B$24+AE569*Pesos!$B$25+AF569*Pesos!$B$26+AG569*Pesos!$B$27+AH569*Pesos!$B$28+AI569*Pesos!$B$29+AJ569*Pesos!$B$30+AK569*Pesos!$B$31+AL569*Pesos!$B$32+AM569*Pesos!$B$33+AN569*Pesos!$B$34+AO569*Pesos!$B$35+AP569*Pesos!$B$36+AQ569*Pesos!$B$37+AR569*Pesos!$B$38+AS569*Pesos!$B$39+AT569*Pesos!$B$40+AU569*Pesos!$B$41+AV569*Pesos!$B$42+AW569*Pesos!$B$43+AX569*Pesos!$B$44+AY569*Pesos!$B$45+AZ569*Pesos!$B$46+BA569*Pesos!$B$47+BB569*Pesos!$B$48+BC569*Pesos!$B$49+BD569*Pesos!$B$50+BE569*Pesos!$B$51+BF569*Pesos!$B$52+BG569*Pesos!$B$53</f>
        <v>240</v>
      </c>
      <c r="G569" s="6" t="n">
        <f aca="false">E569*F569</f>
        <v>240</v>
      </c>
      <c r="H569" s="3" t="n">
        <v>35</v>
      </c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 t="n">
        <v>3</v>
      </c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 t="n">
        <v>10</v>
      </c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 t="s">
        <v>1502</v>
      </c>
      <c r="BI569" s="3"/>
      <c r="BJ569" s="3"/>
      <c r="BK569" s="3"/>
      <c r="BL569" s="3"/>
      <c r="BM569" s="3"/>
    </row>
    <row r="570" customFormat="false" ht="15" hidden="false" customHeight="false" outlineLevel="0" collapsed="false">
      <c r="A570" s="3" t="s">
        <v>73</v>
      </c>
      <c r="B570" s="3" t="s">
        <v>152</v>
      </c>
      <c r="C570" s="3" t="s">
        <v>1503</v>
      </c>
      <c r="D570" s="3" t="s">
        <v>1504</v>
      </c>
      <c r="E570" s="3" t="n">
        <v>1</v>
      </c>
      <c r="F570" s="6" t="n">
        <f aca="false">H570*Pesos!$B$2+I570*Pesos!$B$3+J570*Pesos!$B$4+K570*Pesos!$B$5+L570*Pesos!$B$6+M570*Pesos!$B$7+N570*Pesos!$B$8+O570*Pesos!$B$9+P570*Pesos!$B$10+Q570*Pesos!$B$11+R570*Pesos!$B$12+S570*Pesos!$B$13+T570*Pesos!$B$14+U570*Pesos!$B$15+V570*Pesos!$B$16+W570*Pesos!$B$17+X570*Pesos!$B$18+Y570*Pesos!$B$19+Z570*Pesos!$B$20+AA570*Pesos!$B$21+AB570*Pesos!$B$22+AC570*Pesos!$B$23+AD570*Pesos!$B$24+AE570*Pesos!$B$25+AF570*Pesos!$B$26+AG570*Pesos!$B$27+AH570*Pesos!$B$28+AI570*Pesos!$B$29+AJ570*Pesos!$B$30+AK570*Pesos!$B$31+AL570*Pesos!$B$32+AM570*Pesos!$B$33+AN570*Pesos!$B$34+AO570*Pesos!$B$35+AP570*Pesos!$B$36+AQ570*Pesos!$B$37+AR570*Pesos!$B$38+AS570*Pesos!$B$39+AT570*Pesos!$B$40+AU570*Pesos!$B$41+AV570*Pesos!$B$42+AW570*Pesos!$B$43+AX570*Pesos!$B$44+AY570*Pesos!$B$45+AZ570*Pesos!$B$46+BA570*Pesos!$B$47+BB570*Pesos!$B$48+BC570*Pesos!$B$49+BD570*Pesos!$B$50+BE570*Pesos!$B$51+BF570*Pesos!$B$52+BG570*Pesos!$B$53</f>
        <v>470</v>
      </c>
      <c r="G570" s="6" t="n">
        <f aca="false">E570*F570</f>
        <v>470</v>
      </c>
      <c r="H570" s="3" t="n">
        <v>35</v>
      </c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 t="n">
        <v>5</v>
      </c>
      <c r="Y570" s="3"/>
      <c r="Z570" s="3"/>
      <c r="AA570" s="3"/>
      <c r="AB570" s="3"/>
      <c r="AC570" s="3"/>
      <c r="AD570" s="3"/>
      <c r="AE570" s="3"/>
      <c r="AF570" s="3"/>
      <c r="AG570" s="3" t="n">
        <v>5</v>
      </c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 t="n">
        <v>10</v>
      </c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 t="s">
        <v>1504</v>
      </c>
      <c r="BI570" s="3"/>
      <c r="BJ570" s="3"/>
      <c r="BK570" s="3"/>
      <c r="BL570" s="3"/>
      <c r="BM570" s="3"/>
    </row>
    <row r="571" customFormat="false" ht="15" hidden="false" customHeight="false" outlineLevel="0" collapsed="false">
      <c r="A571" s="3" t="s">
        <v>73</v>
      </c>
      <c r="B571" s="3" t="s">
        <v>152</v>
      </c>
      <c r="C571" s="3" t="s">
        <v>1505</v>
      </c>
      <c r="D571" s="3" t="s">
        <v>1506</v>
      </c>
      <c r="E571" s="3" t="n">
        <v>1</v>
      </c>
      <c r="F571" s="6" t="n">
        <f aca="false">H571*Pesos!$B$2+I571*Pesos!$B$3+J571*Pesos!$B$4+K571*Pesos!$B$5+L571*Pesos!$B$6+M571*Pesos!$B$7+N571*Pesos!$B$8+O571*Pesos!$B$9+P571*Pesos!$B$10+Q571*Pesos!$B$11+R571*Pesos!$B$12+S571*Pesos!$B$13+T571*Pesos!$B$14+U571*Pesos!$B$15+V571*Pesos!$B$16+W571*Pesos!$B$17+X571*Pesos!$B$18+Y571*Pesos!$B$19+Z571*Pesos!$B$20+AA571*Pesos!$B$21+AB571*Pesos!$B$22+AC571*Pesos!$B$23+AD571*Pesos!$B$24+AE571*Pesos!$B$25+AF571*Pesos!$B$26+AG571*Pesos!$B$27+AH571*Pesos!$B$28+AI571*Pesos!$B$29+AJ571*Pesos!$B$30+AK571*Pesos!$B$31+AL571*Pesos!$B$32+AM571*Pesos!$B$33+AN571*Pesos!$B$34+AO571*Pesos!$B$35+AP571*Pesos!$B$36+AQ571*Pesos!$B$37+AR571*Pesos!$B$38+AS571*Pesos!$B$39+AT571*Pesos!$B$40+AU571*Pesos!$B$41+AV571*Pesos!$B$42+AW571*Pesos!$B$43+AX571*Pesos!$B$44+AY571*Pesos!$B$45+AZ571*Pesos!$B$46+BA571*Pesos!$B$47+BB571*Pesos!$B$48+BC571*Pesos!$B$49+BD571*Pesos!$B$50+BE571*Pesos!$B$51+BF571*Pesos!$B$52+BG571*Pesos!$B$53</f>
        <v>450</v>
      </c>
      <c r="G571" s="6" t="n">
        <f aca="false">E571*F571</f>
        <v>450</v>
      </c>
      <c r="H571" s="3" t="n">
        <v>35</v>
      </c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 t="n">
        <v>7</v>
      </c>
      <c r="Y571" s="3"/>
      <c r="Z571" s="3"/>
      <c r="AA571" s="3"/>
      <c r="AB571" s="3" t="n">
        <v>5</v>
      </c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 t="n">
        <v>10</v>
      </c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 t="s">
        <v>1506</v>
      </c>
      <c r="BI571" s="3"/>
      <c r="BJ571" s="3"/>
      <c r="BK571" s="3"/>
      <c r="BL571" s="3"/>
      <c r="BM571" s="3"/>
    </row>
    <row r="572" customFormat="false" ht="15" hidden="false" customHeight="false" outlineLevel="0" collapsed="false">
      <c r="A572" s="3" t="s">
        <v>73</v>
      </c>
      <c r="B572" s="3" t="s">
        <v>152</v>
      </c>
      <c r="C572" s="3" t="s">
        <v>1507</v>
      </c>
      <c r="D572" s="3" t="s">
        <v>1508</v>
      </c>
      <c r="E572" s="3" t="n">
        <v>1</v>
      </c>
      <c r="F572" s="6" t="n">
        <f aca="false">H572*Pesos!$B$2+I572*Pesos!$B$3+J572*Pesos!$B$4+K572*Pesos!$B$5+L572*Pesos!$B$6+M572*Pesos!$B$7+N572*Pesos!$B$8+O572*Pesos!$B$9+P572*Pesos!$B$10+Q572*Pesos!$B$11+R572*Pesos!$B$12+S572*Pesos!$B$13+T572*Pesos!$B$14+U572*Pesos!$B$15+V572*Pesos!$B$16+W572*Pesos!$B$17+X572*Pesos!$B$18+Y572*Pesos!$B$19+Z572*Pesos!$B$20+AA572*Pesos!$B$21+AB572*Pesos!$B$22+AC572*Pesos!$B$23+AD572*Pesos!$B$24+AE572*Pesos!$B$25+AF572*Pesos!$B$26+AG572*Pesos!$B$27+AH572*Pesos!$B$28+AI572*Pesos!$B$29+AJ572*Pesos!$B$30+AK572*Pesos!$B$31+AL572*Pesos!$B$32+AM572*Pesos!$B$33+AN572*Pesos!$B$34+AO572*Pesos!$B$35+AP572*Pesos!$B$36+AQ572*Pesos!$B$37+AR572*Pesos!$B$38+AS572*Pesos!$B$39+AT572*Pesos!$B$40+AU572*Pesos!$B$41+AV572*Pesos!$B$42+AW572*Pesos!$B$43+AX572*Pesos!$B$44+AY572*Pesos!$B$45+AZ572*Pesos!$B$46+BA572*Pesos!$B$47+BB572*Pesos!$B$48+BC572*Pesos!$B$49+BD572*Pesos!$B$50+BE572*Pesos!$B$51+BF572*Pesos!$B$52+BG572*Pesos!$B$53</f>
        <v>730</v>
      </c>
      <c r="G572" s="6" t="n">
        <f aca="false">E572*F572</f>
        <v>730</v>
      </c>
      <c r="H572" s="3" t="n">
        <v>35</v>
      </c>
      <c r="I572" s="3"/>
      <c r="J572" s="3"/>
      <c r="K572" s="3"/>
      <c r="L572" s="3" t="n">
        <v>50000</v>
      </c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 t="n">
        <v>9</v>
      </c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 t="n">
        <v>5</v>
      </c>
      <c r="AQ572" s="3"/>
      <c r="AR572" s="3" t="n">
        <v>10</v>
      </c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 t="s">
        <v>1508</v>
      </c>
      <c r="BI572" s="3"/>
      <c r="BJ572" s="3"/>
      <c r="BK572" s="3"/>
      <c r="BL572" s="3"/>
      <c r="BM572" s="3"/>
    </row>
    <row r="573" customFormat="false" ht="15" hidden="false" customHeight="false" outlineLevel="0" collapsed="false">
      <c r="A573" s="3" t="s">
        <v>73</v>
      </c>
      <c r="B573" s="3" t="s">
        <v>152</v>
      </c>
      <c r="C573" s="3" t="s">
        <v>1509</v>
      </c>
      <c r="D573" s="3" t="s">
        <v>1510</v>
      </c>
      <c r="E573" s="3" t="n">
        <v>1</v>
      </c>
      <c r="F573" s="6" t="n">
        <f aca="false">H573*Pesos!$B$2+I573*Pesos!$B$3+J573*Pesos!$B$4+K573*Pesos!$B$5+L573*Pesos!$B$6+M573*Pesos!$B$7+N573*Pesos!$B$8+O573*Pesos!$B$9+P573*Pesos!$B$10+Q573*Pesos!$B$11+R573*Pesos!$B$12+S573*Pesos!$B$13+T573*Pesos!$B$14+U573*Pesos!$B$15+V573*Pesos!$B$16+W573*Pesos!$B$17+X573*Pesos!$B$18+Y573*Pesos!$B$19+Z573*Pesos!$B$20+AA573*Pesos!$B$21+AB573*Pesos!$B$22+AC573*Pesos!$B$23+AD573*Pesos!$B$24+AE573*Pesos!$B$25+AF573*Pesos!$B$26+AG573*Pesos!$B$27+AH573*Pesos!$B$28+AI573*Pesos!$B$29+AJ573*Pesos!$B$30+AK573*Pesos!$B$31+AL573*Pesos!$B$32+AM573*Pesos!$B$33+AN573*Pesos!$B$34+AO573*Pesos!$B$35+AP573*Pesos!$B$36+AQ573*Pesos!$B$37+AR573*Pesos!$B$38+AS573*Pesos!$B$39+AT573*Pesos!$B$40+AU573*Pesos!$B$41+AV573*Pesos!$B$42+AW573*Pesos!$B$43+AX573*Pesos!$B$44+AY573*Pesos!$B$45+AZ573*Pesos!$B$46+BA573*Pesos!$B$47+BB573*Pesos!$B$48+BC573*Pesos!$B$49+BD573*Pesos!$B$50+BE573*Pesos!$B$51+BF573*Pesos!$B$52+BG573*Pesos!$B$53</f>
        <v>760</v>
      </c>
      <c r="G573" s="6" t="n">
        <f aca="false">E573*F573</f>
        <v>760</v>
      </c>
      <c r="H573" s="3" t="n">
        <v>35</v>
      </c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 t="n">
        <v>12</v>
      </c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 t="n">
        <v>15</v>
      </c>
      <c r="AS573" s="3" t="n">
        <v>10</v>
      </c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 t="s">
        <v>1510</v>
      </c>
      <c r="BI573" s="3"/>
      <c r="BJ573" s="3"/>
      <c r="BK573" s="3"/>
      <c r="BL573" s="3"/>
      <c r="BM573" s="3"/>
    </row>
    <row r="574" customFormat="false" ht="15" hidden="false" customHeight="false" outlineLevel="0" collapsed="false">
      <c r="A574" s="3" t="s">
        <v>73</v>
      </c>
      <c r="B574" s="3" t="s">
        <v>153</v>
      </c>
      <c r="C574" s="3" t="s">
        <v>1511</v>
      </c>
      <c r="D574" s="3" t="s">
        <v>1512</v>
      </c>
      <c r="E574" s="3" t="n">
        <v>1</v>
      </c>
      <c r="F574" s="6" t="n">
        <f aca="false">H574*Pesos!$B$2+I574*Pesos!$B$3+J574*Pesos!$B$4+K574*Pesos!$B$5+L574*Pesos!$B$6+M574*Pesos!$B$7+N574*Pesos!$B$8+O574*Pesos!$B$9+P574*Pesos!$B$10+Q574*Pesos!$B$11+R574*Pesos!$B$12+S574*Pesos!$B$13+T574*Pesos!$B$14+U574*Pesos!$B$15+V574*Pesos!$B$16+W574*Pesos!$B$17+X574*Pesos!$B$18+Y574*Pesos!$B$19+Z574*Pesos!$B$20+AA574*Pesos!$B$21+AB574*Pesos!$B$22+AC574*Pesos!$B$23+AD574*Pesos!$B$24+AE574*Pesos!$B$25+AF574*Pesos!$B$26+AG574*Pesos!$B$27+AH574*Pesos!$B$28+AI574*Pesos!$B$29+AJ574*Pesos!$B$30+AK574*Pesos!$B$31+AL574*Pesos!$B$32+AM574*Pesos!$B$33+AN574*Pesos!$B$34+AO574*Pesos!$B$35+AP574*Pesos!$B$36+AQ574*Pesos!$B$37+AR574*Pesos!$B$38+AS574*Pesos!$B$39+AT574*Pesos!$B$40+AU574*Pesos!$B$41+AV574*Pesos!$B$42+AW574*Pesos!$B$43+AX574*Pesos!$B$44+AY574*Pesos!$B$45+AZ574*Pesos!$B$46+BA574*Pesos!$B$47+BB574*Pesos!$B$48+BC574*Pesos!$B$49+BD574*Pesos!$B$50+BE574*Pesos!$B$51+BF574*Pesos!$B$52+BG574*Pesos!$B$53</f>
        <v>310</v>
      </c>
      <c r="G574" s="6" t="n">
        <f aca="false">E574*F574</f>
        <v>310</v>
      </c>
      <c r="H574" s="3" t="n">
        <v>35</v>
      </c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 t="n">
        <v>2000</v>
      </c>
      <c r="X574" s="3" t="n">
        <v>3</v>
      </c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 t="n">
        <v>10</v>
      </c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 t="s">
        <v>1512</v>
      </c>
      <c r="BI574" s="3"/>
      <c r="BJ574" s="3"/>
      <c r="BK574" s="3"/>
      <c r="BL574" s="3"/>
      <c r="BM574" s="3"/>
    </row>
    <row r="575" customFormat="false" ht="15" hidden="false" customHeight="false" outlineLevel="0" collapsed="false">
      <c r="A575" s="3" t="s">
        <v>73</v>
      </c>
      <c r="B575" s="3" t="s">
        <v>153</v>
      </c>
      <c r="C575" s="3" t="s">
        <v>1513</v>
      </c>
      <c r="D575" s="3" t="s">
        <v>1514</v>
      </c>
      <c r="E575" s="3" t="n">
        <v>1</v>
      </c>
      <c r="F575" s="6" t="n">
        <f aca="false">H575*Pesos!$B$2+I575*Pesos!$B$3+J575*Pesos!$B$4+K575*Pesos!$B$5+L575*Pesos!$B$6+M575*Pesos!$B$7+N575*Pesos!$B$8+O575*Pesos!$B$9+P575*Pesos!$B$10+Q575*Pesos!$B$11+R575*Pesos!$B$12+S575*Pesos!$B$13+T575*Pesos!$B$14+U575*Pesos!$B$15+V575*Pesos!$B$16+W575*Pesos!$B$17+X575*Pesos!$B$18+Y575*Pesos!$B$19+Z575*Pesos!$B$20+AA575*Pesos!$B$21+AB575*Pesos!$B$22+AC575*Pesos!$B$23+AD575*Pesos!$B$24+AE575*Pesos!$B$25+AF575*Pesos!$B$26+AG575*Pesos!$B$27+AH575*Pesos!$B$28+AI575*Pesos!$B$29+AJ575*Pesos!$B$30+AK575*Pesos!$B$31+AL575*Pesos!$B$32+AM575*Pesos!$B$33+AN575*Pesos!$B$34+AO575*Pesos!$B$35+AP575*Pesos!$B$36+AQ575*Pesos!$B$37+AR575*Pesos!$B$38+AS575*Pesos!$B$39+AT575*Pesos!$B$40+AU575*Pesos!$B$41+AV575*Pesos!$B$42+AW575*Pesos!$B$43+AX575*Pesos!$B$44+AY575*Pesos!$B$45+AZ575*Pesos!$B$46+BA575*Pesos!$B$47+BB575*Pesos!$B$48+BC575*Pesos!$B$49+BD575*Pesos!$B$50+BE575*Pesos!$B$51+BF575*Pesos!$B$52+BG575*Pesos!$B$53</f>
        <v>310</v>
      </c>
      <c r="G575" s="6" t="n">
        <f aca="false">E575*F575</f>
        <v>310</v>
      </c>
      <c r="H575" s="3" t="n">
        <v>35</v>
      </c>
      <c r="I575" s="3"/>
      <c r="J575" s="3"/>
      <c r="K575" s="3"/>
      <c r="L575" s="3"/>
      <c r="M575" s="3" t="n">
        <v>30</v>
      </c>
      <c r="N575" s="3"/>
      <c r="O575" s="3"/>
      <c r="P575" s="3"/>
      <c r="Q575" s="3"/>
      <c r="R575" s="3"/>
      <c r="S575" s="3"/>
      <c r="T575" s="3"/>
      <c r="U575" s="3"/>
      <c r="V575" s="3"/>
      <c r="W575" s="3" t="n">
        <v>14000</v>
      </c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customFormat="false" ht="15" hidden="false" customHeight="false" outlineLevel="0" collapsed="false">
      <c r="A576" s="3" t="s">
        <v>73</v>
      </c>
      <c r="B576" s="3" t="s">
        <v>153</v>
      </c>
      <c r="C576" s="3" t="s">
        <v>1515</v>
      </c>
      <c r="D576" s="3" t="s">
        <v>1516</v>
      </c>
      <c r="E576" s="3" t="n">
        <v>1</v>
      </c>
      <c r="F576" s="6" t="n">
        <f aca="false">H576*Pesos!$B$2+I576*Pesos!$B$3+J576*Pesos!$B$4+K576*Pesos!$B$5+L576*Pesos!$B$6+M576*Pesos!$B$7+N576*Pesos!$B$8+O576*Pesos!$B$9+P576*Pesos!$B$10+Q576*Pesos!$B$11+R576*Pesos!$B$12+S576*Pesos!$B$13+T576*Pesos!$B$14+U576*Pesos!$B$15+V576*Pesos!$B$16+W576*Pesos!$B$17+X576*Pesos!$B$18+Y576*Pesos!$B$19+Z576*Pesos!$B$20+AA576*Pesos!$B$21+AB576*Pesos!$B$22+AC576*Pesos!$B$23+AD576*Pesos!$B$24+AE576*Pesos!$B$25+AF576*Pesos!$B$26+AG576*Pesos!$B$27+AH576*Pesos!$B$28+AI576*Pesos!$B$29+AJ576*Pesos!$B$30+AK576*Pesos!$B$31+AL576*Pesos!$B$32+AM576*Pesos!$B$33+AN576*Pesos!$B$34+AO576*Pesos!$B$35+AP576*Pesos!$B$36+AQ576*Pesos!$B$37+AR576*Pesos!$B$38+AS576*Pesos!$B$39+AT576*Pesos!$B$40+AU576*Pesos!$B$41+AV576*Pesos!$B$42+AW576*Pesos!$B$43+AX576*Pesos!$B$44+AY576*Pesos!$B$45+AZ576*Pesos!$B$46+BA576*Pesos!$B$47+BB576*Pesos!$B$48+BC576*Pesos!$B$49+BD576*Pesos!$B$50+BE576*Pesos!$B$51+BF576*Pesos!$B$52+BG576*Pesos!$B$53</f>
        <v>300</v>
      </c>
      <c r="G576" s="6" t="n">
        <f aca="false">E576*F576</f>
        <v>300</v>
      </c>
      <c r="H576" s="3" t="n">
        <v>35</v>
      </c>
      <c r="I576" s="3"/>
      <c r="J576" s="3"/>
      <c r="K576" s="3"/>
      <c r="L576" s="3" t="n">
        <v>150000</v>
      </c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 t="s">
        <v>1517</v>
      </c>
      <c r="BJ576" s="3"/>
      <c r="BK576" s="3"/>
      <c r="BL576" s="3"/>
      <c r="BM576" s="3"/>
    </row>
    <row r="577" customFormat="false" ht="15" hidden="false" customHeight="false" outlineLevel="0" collapsed="false">
      <c r="A577" s="3" t="s">
        <v>73</v>
      </c>
      <c r="B577" s="3" t="s">
        <v>153</v>
      </c>
      <c r="C577" s="3" t="s">
        <v>1518</v>
      </c>
      <c r="D577" s="3" t="s">
        <v>1519</v>
      </c>
      <c r="E577" s="3" t="n">
        <v>1</v>
      </c>
      <c r="F577" s="6" t="n">
        <f aca="false">H577*Pesos!$B$2+I577*Pesos!$B$3+J577*Pesos!$B$4+K577*Pesos!$B$5+L577*Pesos!$B$6+M577*Pesos!$B$7+N577*Pesos!$B$8+O577*Pesos!$B$9+P577*Pesos!$B$10+Q577*Pesos!$B$11+R577*Pesos!$B$12+S577*Pesos!$B$13+T577*Pesos!$B$14+U577*Pesos!$B$15+V577*Pesos!$B$16+W577*Pesos!$B$17+X577*Pesos!$B$18+Y577*Pesos!$B$19+Z577*Pesos!$B$20+AA577*Pesos!$B$21+AB577*Pesos!$B$22+AC577*Pesos!$B$23+AD577*Pesos!$B$24+AE577*Pesos!$B$25+AF577*Pesos!$B$26+AG577*Pesos!$B$27+AH577*Pesos!$B$28+AI577*Pesos!$B$29+AJ577*Pesos!$B$30+AK577*Pesos!$B$31+AL577*Pesos!$B$32+AM577*Pesos!$B$33+AN577*Pesos!$B$34+AO577*Pesos!$B$35+AP577*Pesos!$B$36+AQ577*Pesos!$B$37+AR577*Pesos!$B$38+AS577*Pesos!$B$39+AT577*Pesos!$B$40+AU577*Pesos!$B$41+AV577*Pesos!$B$42+AW577*Pesos!$B$43+AX577*Pesos!$B$44+AY577*Pesos!$B$45+AZ577*Pesos!$B$46+BA577*Pesos!$B$47+BB577*Pesos!$B$48+BC577*Pesos!$B$49+BD577*Pesos!$B$50+BE577*Pesos!$B$51+BF577*Pesos!$B$52+BG577*Pesos!$B$53</f>
        <v>315</v>
      </c>
      <c r="G577" s="6" t="n">
        <f aca="false">E577*F577</f>
        <v>315</v>
      </c>
      <c r="H577" s="3" t="n">
        <v>35</v>
      </c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 t="n">
        <v>4000</v>
      </c>
      <c r="X577" s="3" t="n">
        <v>4</v>
      </c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 t="n">
        <v>15</v>
      </c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 t="s">
        <v>1519</v>
      </c>
      <c r="BI577" s="3"/>
      <c r="BJ577" s="3"/>
      <c r="BK577" s="3"/>
      <c r="BL577" s="3"/>
      <c r="BM577" s="3"/>
    </row>
    <row r="578" customFormat="false" ht="15" hidden="false" customHeight="false" outlineLevel="0" collapsed="false">
      <c r="A578" s="3" t="s">
        <v>73</v>
      </c>
      <c r="B578" s="3" t="s">
        <v>153</v>
      </c>
      <c r="C578" s="3" t="s">
        <v>1520</v>
      </c>
      <c r="D578" s="3" t="s">
        <v>1521</v>
      </c>
      <c r="E578" s="3" t="n">
        <v>1</v>
      </c>
      <c r="F578" s="6" t="n">
        <f aca="false">H578*Pesos!$B$2+I578*Pesos!$B$3+J578*Pesos!$B$4+K578*Pesos!$B$5+L578*Pesos!$B$6+M578*Pesos!$B$7+N578*Pesos!$B$8+O578*Pesos!$B$9+P578*Pesos!$B$10+Q578*Pesos!$B$11+R578*Pesos!$B$12+S578*Pesos!$B$13+T578*Pesos!$B$14+U578*Pesos!$B$15+V578*Pesos!$B$16+W578*Pesos!$B$17+X578*Pesos!$B$18+Y578*Pesos!$B$19+Z578*Pesos!$B$20+AA578*Pesos!$B$21+AB578*Pesos!$B$22+AC578*Pesos!$B$23+AD578*Pesos!$B$24+AE578*Pesos!$B$25+AF578*Pesos!$B$26+AG578*Pesos!$B$27+AH578*Pesos!$B$28+AI578*Pesos!$B$29+AJ578*Pesos!$B$30+AK578*Pesos!$B$31+AL578*Pesos!$B$32+AM578*Pesos!$B$33+AN578*Pesos!$B$34+AO578*Pesos!$B$35+AP578*Pesos!$B$36+AQ578*Pesos!$B$37+AR578*Pesos!$B$38+AS578*Pesos!$B$39+AT578*Pesos!$B$40+AU578*Pesos!$B$41+AV578*Pesos!$B$42+AW578*Pesos!$B$43+AX578*Pesos!$B$44+AY578*Pesos!$B$45+AZ578*Pesos!$B$46+BA578*Pesos!$B$47+BB578*Pesos!$B$48+BC578*Pesos!$B$49+BD578*Pesos!$B$50+BE578*Pesos!$B$51+BF578*Pesos!$B$52+BG578*Pesos!$B$53</f>
        <v>440</v>
      </c>
      <c r="G578" s="6" t="n">
        <f aca="false">E578*F578</f>
        <v>440</v>
      </c>
      <c r="H578" s="3" t="n">
        <v>35</v>
      </c>
      <c r="I578" s="3"/>
      <c r="J578" s="3"/>
      <c r="K578" s="3"/>
      <c r="L578" s="3" t="n">
        <v>100000</v>
      </c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 t="n">
        <v>6</v>
      </c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 t="s">
        <v>1522</v>
      </c>
      <c r="BJ578" s="3"/>
      <c r="BK578" s="3"/>
      <c r="BL578" s="3"/>
      <c r="BM578" s="3"/>
    </row>
    <row r="579" customFormat="false" ht="15" hidden="false" customHeight="false" outlineLevel="0" collapsed="false">
      <c r="A579" s="3" t="s">
        <v>73</v>
      </c>
      <c r="B579" s="3" t="s">
        <v>154</v>
      </c>
      <c r="C579" s="3" t="s">
        <v>1523</v>
      </c>
      <c r="D579" s="3" t="s">
        <v>1524</v>
      </c>
      <c r="E579" s="3" t="n">
        <v>1</v>
      </c>
      <c r="F579" s="6" t="n">
        <f aca="false">H579*Pesos!$B$2+I579*Pesos!$B$3+J579*Pesos!$B$4+K579*Pesos!$B$5+L579*Pesos!$B$6+M579*Pesos!$B$7+N579*Pesos!$B$8+O579*Pesos!$B$9+P579*Pesos!$B$10+Q579*Pesos!$B$11+R579*Pesos!$B$12+S579*Pesos!$B$13+T579*Pesos!$B$14+U579*Pesos!$B$15+V579*Pesos!$B$16+W579*Pesos!$B$17+X579*Pesos!$B$18+Y579*Pesos!$B$19+Z579*Pesos!$B$20+AA579*Pesos!$B$21+AB579*Pesos!$B$22+AC579*Pesos!$B$23+AD579*Pesos!$B$24+AE579*Pesos!$B$25+AF579*Pesos!$B$26+AG579*Pesos!$B$27+AH579*Pesos!$B$28+AI579*Pesos!$B$29+AJ579*Pesos!$B$30+AK579*Pesos!$B$31+AL579*Pesos!$B$32+AM579*Pesos!$B$33+AN579*Pesos!$B$34+AO579*Pesos!$B$35+AP579*Pesos!$B$36+AQ579*Pesos!$B$37+AR579*Pesos!$B$38+AS579*Pesos!$B$39+AT579*Pesos!$B$40+AU579*Pesos!$B$41+AV579*Pesos!$B$42+AW579*Pesos!$B$43+AX579*Pesos!$B$44+AY579*Pesos!$B$45+AZ579*Pesos!$B$46+BA579*Pesos!$B$47+BB579*Pesos!$B$48+BC579*Pesos!$B$49+BD579*Pesos!$B$50+BE579*Pesos!$B$51+BF579*Pesos!$B$52+BG579*Pesos!$B$53</f>
        <v>3200</v>
      </c>
      <c r="G579" s="6" t="n">
        <f aca="false">E579*F579</f>
        <v>3200</v>
      </c>
      <c r="H579" s="3" t="n">
        <v>70</v>
      </c>
      <c r="I579" s="3"/>
      <c r="J579" s="3"/>
      <c r="K579" s="3"/>
      <c r="L579" s="3" t="n">
        <v>500000</v>
      </c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 t="n">
        <v>110000</v>
      </c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 t="s">
        <v>1525</v>
      </c>
      <c r="BJ579" s="3"/>
      <c r="BK579" s="3"/>
      <c r="BL579" s="3"/>
      <c r="BM579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5" min="3" style="0" width="13"/>
  </cols>
  <sheetData>
    <row r="1" customFormat="false" ht="23.85" hidden="false" customHeight="false" outlineLevel="0" collapsed="false">
      <c r="A1" s="1" t="s">
        <v>0</v>
      </c>
      <c r="B1" s="1" t="s">
        <v>1526</v>
      </c>
      <c r="C1" s="1" t="s">
        <v>1527</v>
      </c>
      <c r="D1" s="1" t="s">
        <v>1528</v>
      </c>
      <c r="E1" s="1" t="s">
        <v>1529</v>
      </c>
    </row>
    <row r="2" customFormat="false" ht="15" hidden="false" customHeight="false" outlineLevel="0" collapsed="false">
      <c r="A2" s="3" t="s">
        <v>60</v>
      </c>
      <c r="B2" s="3" t="s">
        <v>1530</v>
      </c>
      <c r="C2" s="3" t="n">
        <v>5</v>
      </c>
      <c r="D2" s="3" t="n">
        <v>28</v>
      </c>
      <c r="E2" s="3" t="n">
        <f aca="false">D2-C2</f>
        <v>23</v>
      </c>
    </row>
    <row r="3" customFormat="false" ht="15" hidden="false" customHeight="false" outlineLevel="0" collapsed="false">
      <c r="A3" s="3" t="s">
        <v>60</v>
      </c>
      <c r="B3" s="3" t="s">
        <v>1531</v>
      </c>
      <c r="C3" s="3" t="n">
        <v>0</v>
      </c>
      <c r="D3" s="3" t="n">
        <v>0</v>
      </c>
      <c r="E3" s="3" t="n">
        <f aca="false">D3-C3</f>
        <v>0</v>
      </c>
    </row>
    <row r="4" customFormat="false" ht="15" hidden="false" customHeight="false" outlineLevel="0" collapsed="false">
      <c r="A4" s="3" t="s">
        <v>60</v>
      </c>
      <c r="B4" s="3" t="s">
        <v>1532</v>
      </c>
      <c r="C4" s="3" t="n">
        <v>0</v>
      </c>
      <c r="D4" s="3" t="n">
        <v>0</v>
      </c>
      <c r="E4" s="3" t="n">
        <f aca="false">D4-C4</f>
        <v>0</v>
      </c>
    </row>
    <row r="5" customFormat="false" ht="15" hidden="false" customHeight="false" outlineLevel="0" collapsed="false">
      <c r="A5" s="3" t="s">
        <v>60</v>
      </c>
      <c r="B5" s="3" t="s">
        <v>1533</v>
      </c>
      <c r="C5" s="3" t="n">
        <v>0</v>
      </c>
      <c r="D5" s="3" t="n">
        <v>0</v>
      </c>
      <c r="E5" s="3" t="n">
        <f aca="false">D5-C5</f>
        <v>0</v>
      </c>
    </row>
    <row r="6" customFormat="false" ht="15" hidden="false" customHeight="false" outlineLevel="0" collapsed="false">
      <c r="A6" s="3" t="s">
        <v>60</v>
      </c>
      <c r="B6" s="3" t="s">
        <v>1534</v>
      </c>
      <c r="C6" s="3" t="n">
        <v>10</v>
      </c>
      <c r="D6" s="3" t="n">
        <v>46</v>
      </c>
      <c r="E6" s="3" t="n">
        <f aca="false">D6-C6</f>
        <v>36</v>
      </c>
    </row>
    <row r="7" customFormat="false" ht="15" hidden="false" customHeight="false" outlineLevel="0" collapsed="false">
      <c r="A7" s="3" t="s">
        <v>61</v>
      </c>
      <c r="B7" s="3" t="s">
        <v>1535</v>
      </c>
      <c r="C7" s="3" t="n">
        <v>30</v>
      </c>
      <c r="D7" s="3" t="n">
        <v>150</v>
      </c>
      <c r="E7" s="3" t="n">
        <f aca="false">D7-C7</f>
        <v>120</v>
      </c>
    </row>
    <row r="8" customFormat="false" ht="15" hidden="false" customHeight="false" outlineLevel="0" collapsed="false">
      <c r="A8" s="3" t="s">
        <v>61</v>
      </c>
      <c r="B8" s="3" t="s">
        <v>1536</v>
      </c>
      <c r="C8" s="3" t="n">
        <v>10</v>
      </c>
      <c r="D8" s="3" t="n">
        <v>0</v>
      </c>
      <c r="E8" s="3" t="n">
        <f aca="false">D8-C8</f>
        <v>-10</v>
      </c>
    </row>
    <row r="9" customFormat="false" ht="15" hidden="false" customHeight="false" outlineLevel="0" collapsed="false">
      <c r="A9" s="3" t="s">
        <v>62</v>
      </c>
      <c r="B9" s="3" t="s">
        <v>1537</v>
      </c>
      <c r="C9" s="3" t="n">
        <v>50</v>
      </c>
      <c r="D9" s="3" t="n">
        <v>46</v>
      </c>
      <c r="E9" s="3" t="n">
        <f aca="false">D9-C9</f>
        <v>-4</v>
      </c>
    </row>
    <row r="10" customFormat="false" ht="15" hidden="false" customHeight="false" outlineLevel="0" collapsed="false">
      <c r="A10" s="3" t="s">
        <v>62</v>
      </c>
      <c r="B10" s="3" t="s">
        <v>1538</v>
      </c>
      <c r="C10" s="3" t="n">
        <v>50</v>
      </c>
      <c r="D10" s="3" t="n">
        <v>47</v>
      </c>
      <c r="E10" s="3" t="n">
        <f aca="false">D10-C10</f>
        <v>-3</v>
      </c>
    </row>
    <row r="11" customFormat="false" ht="15" hidden="false" customHeight="false" outlineLevel="0" collapsed="false">
      <c r="A11" s="3" t="s">
        <v>62</v>
      </c>
      <c r="B11" s="3" t="s">
        <v>1539</v>
      </c>
      <c r="C11" s="3" t="n">
        <v>50</v>
      </c>
      <c r="D11" s="3" t="n">
        <v>61</v>
      </c>
      <c r="E11" s="3" t="n">
        <f aca="false">D11-C11</f>
        <v>11</v>
      </c>
    </row>
    <row r="12" customFormat="false" ht="15" hidden="false" customHeight="false" outlineLevel="0" collapsed="false">
      <c r="A12" s="3" t="s">
        <v>62</v>
      </c>
      <c r="B12" s="3" t="s">
        <v>1540</v>
      </c>
      <c r="C12" s="3" t="n">
        <v>50</v>
      </c>
      <c r="D12" s="3" t="n">
        <v>47</v>
      </c>
      <c r="E12" s="3" t="n">
        <f aca="false">D12-C12</f>
        <v>-3</v>
      </c>
    </row>
    <row r="13" customFormat="false" ht="15" hidden="false" customHeight="false" outlineLevel="0" collapsed="false">
      <c r="A13" s="3" t="s">
        <v>62</v>
      </c>
      <c r="B13" s="3" t="s">
        <v>1541</v>
      </c>
      <c r="C13" s="3" t="n">
        <v>10</v>
      </c>
      <c r="D13" s="3" t="n">
        <v>15</v>
      </c>
      <c r="E13" s="3" t="n">
        <f aca="false">D13-C13</f>
        <v>5</v>
      </c>
    </row>
    <row r="14" customFormat="false" ht="15" hidden="false" customHeight="false" outlineLevel="0" collapsed="false">
      <c r="A14" s="3" t="s">
        <v>63</v>
      </c>
      <c r="B14" s="3" t="s">
        <v>1542</v>
      </c>
      <c r="C14" s="3" t="n">
        <v>4</v>
      </c>
      <c r="D14" s="3" t="n">
        <v>4</v>
      </c>
      <c r="E14" s="3" t="n">
        <f aca="false">D14-C14</f>
        <v>0</v>
      </c>
    </row>
    <row r="15" customFormat="false" ht="15" hidden="false" customHeight="false" outlineLevel="0" collapsed="false">
      <c r="A15" s="3" t="s">
        <v>63</v>
      </c>
      <c r="B15" s="3" t="s">
        <v>1543</v>
      </c>
      <c r="C15" s="3" t="n">
        <v>0</v>
      </c>
      <c r="D15" s="3" t="n">
        <v>0</v>
      </c>
      <c r="E15" s="3" t="n">
        <f aca="false">D15-C15</f>
        <v>0</v>
      </c>
    </row>
    <row r="16" customFormat="false" ht="15" hidden="false" customHeight="false" outlineLevel="0" collapsed="false">
      <c r="A16" s="3" t="s">
        <v>63</v>
      </c>
      <c r="B16" s="3" t="s">
        <v>1544</v>
      </c>
      <c r="C16" s="3" t="n">
        <v>0</v>
      </c>
      <c r="D16" s="3" t="n">
        <v>10</v>
      </c>
      <c r="E16" s="3" t="n">
        <f aca="false">D16-C16</f>
        <v>10</v>
      </c>
    </row>
    <row r="17" customFormat="false" ht="15" hidden="false" customHeight="false" outlineLevel="0" collapsed="false">
      <c r="A17" s="3" t="s">
        <v>63</v>
      </c>
      <c r="B17" s="3" t="s">
        <v>1545</v>
      </c>
      <c r="C17" s="3" t="n">
        <v>0</v>
      </c>
      <c r="D17" s="3" t="n">
        <v>0</v>
      </c>
      <c r="E17" s="3" t="n">
        <f aca="false">D17-C17</f>
        <v>0</v>
      </c>
    </row>
    <row r="18" customFormat="false" ht="15" hidden="false" customHeight="false" outlineLevel="0" collapsed="false">
      <c r="A18" s="3" t="s">
        <v>64</v>
      </c>
      <c r="B18" s="3" t="s">
        <v>1546</v>
      </c>
      <c r="C18" s="3" t="n">
        <v>20</v>
      </c>
      <c r="D18" s="3" t="n">
        <v>50</v>
      </c>
      <c r="E18" s="3" t="n">
        <f aca="false">D18-C18</f>
        <v>30</v>
      </c>
    </row>
    <row r="19" customFormat="false" ht="15" hidden="false" customHeight="false" outlineLevel="0" collapsed="false">
      <c r="A19" s="3" t="s">
        <v>64</v>
      </c>
      <c r="B19" s="3" t="s">
        <v>1547</v>
      </c>
      <c r="C19" s="3" t="n">
        <v>100</v>
      </c>
      <c r="D19" s="3" t="n">
        <v>250</v>
      </c>
      <c r="E19" s="3" t="n">
        <f aca="false">D19-C19</f>
        <v>150</v>
      </c>
    </row>
    <row r="20" customFormat="false" ht="15" hidden="false" customHeight="false" outlineLevel="0" collapsed="false">
      <c r="A20" s="3" t="s">
        <v>64</v>
      </c>
      <c r="B20" s="3" t="s">
        <v>1548</v>
      </c>
      <c r="C20" s="3" t="n">
        <v>1</v>
      </c>
      <c r="D20" s="3" t="n">
        <v>5</v>
      </c>
      <c r="E20" s="3" t="n">
        <f aca="false">D20-C20</f>
        <v>4</v>
      </c>
    </row>
    <row r="21" customFormat="false" ht="15" hidden="false" customHeight="false" outlineLevel="0" collapsed="false">
      <c r="A21" s="3" t="s">
        <v>64</v>
      </c>
      <c r="B21" s="3" t="s">
        <v>1549</v>
      </c>
      <c r="C21" s="3" t="n">
        <v>0</v>
      </c>
      <c r="D21" s="3" t="n">
        <v>0</v>
      </c>
      <c r="E21" s="3" t="n">
        <f aca="false">D21-C21</f>
        <v>0</v>
      </c>
    </row>
    <row r="22" customFormat="false" ht="15" hidden="false" customHeight="false" outlineLevel="0" collapsed="false">
      <c r="A22" s="3" t="s">
        <v>64</v>
      </c>
      <c r="B22" s="3" t="s">
        <v>1550</v>
      </c>
      <c r="C22" s="3" t="n">
        <v>0</v>
      </c>
      <c r="D22" s="3" t="n">
        <v>0</v>
      </c>
      <c r="E22" s="3" t="n">
        <f aca="false">D22-C22</f>
        <v>0</v>
      </c>
    </row>
    <row r="23" customFormat="false" ht="15" hidden="false" customHeight="false" outlineLevel="0" collapsed="false">
      <c r="A23" s="3" t="s">
        <v>65</v>
      </c>
      <c r="B23" s="3" t="s">
        <v>1551</v>
      </c>
      <c r="C23" s="3" t="n">
        <v>60</v>
      </c>
      <c r="D23" s="3" t="n">
        <v>47</v>
      </c>
      <c r="E23" s="3" t="n">
        <f aca="false">D23-C23</f>
        <v>-13</v>
      </c>
    </row>
    <row r="24" customFormat="false" ht="15" hidden="false" customHeight="false" outlineLevel="0" collapsed="false">
      <c r="A24" s="3" t="s">
        <v>65</v>
      </c>
      <c r="B24" s="3" t="s">
        <v>1552</v>
      </c>
      <c r="C24" s="3" t="n">
        <v>55</v>
      </c>
      <c r="D24" s="3" t="n">
        <v>52</v>
      </c>
      <c r="E24" s="3" t="n">
        <f aca="false">D24-C24</f>
        <v>-3</v>
      </c>
    </row>
    <row r="25" customFormat="false" ht="15" hidden="false" customHeight="false" outlineLevel="0" collapsed="false">
      <c r="A25" s="3" t="s">
        <v>65</v>
      </c>
      <c r="B25" s="3" t="s">
        <v>1553</v>
      </c>
      <c r="C25" s="3" t="n">
        <v>40</v>
      </c>
      <c r="D25" s="3" t="n">
        <v>50</v>
      </c>
      <c r="E25" s="3" t="n">
        <f aca="false">D25-C25</f>
        <v>10</v>
      </c>
    </row>
    <row r="26" customFormat="false" ht="15" hidden="false" customHeight="false" outlineLevel="0" collapsed="false">
      <c r="A26" s="3" t="s">
        <v>65</v>
      </c>
      <c r="B26" s="3" t="s">
        <v>1554</v>
      </c>
      <c r="C26" s="3" t="n">
        <v>8</v>
      </c>
      <c r="D26" s="3" t="n">
        <v>8</v>
      </c>
      <c r="E26" s="3" t="n">
        <f aca="false">D26-C26</f>
        <v>0</v>
      </c>
    </row>
    <row r="27" customFormat="false" ht="15" hidden="false" customHeight="false" outlineLevel="0" collapsed="false">
      <c r="A27" s="3" t="s">
        <v>65</v>
      </c>
      <c r="B27" s="3" t="s">
        <v>1555</v>
      </c>
      <c r="C27" s="3" t="n">
        <v>0</v>
      </c>
      <c r="D27" s="3" t="n">
        <v>0</v>
      </c>
      <c r="E27" s="3" t="n">
        <f aca="false">D27-C27</f>
        <v>0</v>
      </c>
    </row>
    <row r="28" customFormat="false" ht="15" hidden="false" customHeight="false" outlineLevel="0" collapsed="false">
      <c r="A28" s="3" t="s">
        <v>65</v>
      </c>
      <c r="B28" s="3" t="s">
        <v>1556</v>
      </c>
      <c r="C28" s="3" t="n">
        <v>0</v>
      </c>
      <c r="D28" s="3" t="n">
        <v>0</v>
      </c>
      <c r="E28" s="3" t="n">
        <f aca="false">D28-C28</f>
        <v>0</v>
      </c>
    </row>
    <row r="29" customFormat="false" ht="15" hidden="false" customHeight="false" outlineLevel="0" collapsed="false">
      <c r="A29" s="3" t="s">
        <v>65</v>
      </c>
      <c r="B29" s="3" t="s">
        <v>1557</v>
      </c>
      <c r="C29" s="3" t="n">
        <v>0</v>
      </c>
      <c r="D29" s="3" t="n">
        <v>0</v>
      </c>
      <c r="E29" s="3" t="n">
        <f aca="false">D29-C29</f>
        <v>0</v>
      </c>
    </row>
    <row r="30" customFormat="false" ht="15" hidden="false" customHeight="false" outlineLevel="0" collapsed="false">
      <c r="A30" s="3" t="s">
        <v>65</v>
      </c>
      <c r="B30" s="3" t="s">
        <v>1558</v>
      </c>
      <c r="C30" s="3" t="n">
        <v>0</v>
      </c>
      <c r="D30" s="3" t="n">
        <v>0</v>
      </c>
      <c r="E30" s="3" t="n">
        <f aca="false">D30-C30</f>
        <v>0</v>
      </c>
    </row>
    <row r="31" customFormat="false" ht="15" hidden="false" customHeight="false" outlineLevel="0" collapsed="false">
      <c r="A31" s="3" t="s">
        <v>65</v>
      </c>
      <c r="B31" s="3" t="s">
        <v>1559</v>
      </c>
      <c r="C31" s="3" t="n">
        <v>0</v>
      </c>
      <c r="D31" s="3" t="n">
        <v>0</v>
      </c>
      <c r="E31" s="3" t="n">
        <f aca="false">D31-C31</f>
        <v>0</v>
      </c>
    </row>
    <row r="32" customFormat="false" ht="15" hidden="false" customHeight="false" outlineLevel="0" collapsed="false">
      <c r="A32" s="3" t="s">
        <v>66</v>
      </c>
      <c r="B32" s="3" t="s">
        <v>1560</v>
      </c>
      <c r="C32" s="3" t="n">
        <v>20</v>
      </c>
      <c r="D32" s="3" t="n">
        <v>35</v>
      </c>
      <c r="E32" s="3" t="n">
        <f aca="false">D32-C32</f>
        <v>15</v>
      </c>
    </row>
    <row r="33" customFormat="false" ht="15" hidden="false" customHeight="false" outlineLevel="0" collapsed="false">
      <c r="A33" s="3" t="s">
        <v>66</v>
      </c>
      <c r="B33" s="3" t="s">
        <v>1561</v>
      </c>
      <c r="C33" s="3" t="n">
        <v>10</v>
      </c>
      <c r="D33" s="3" t="n">
        <v>20</v>
      </c>
      <c r="E33" s="3" t="n">
        <f aca="false">D33-C33</f>
        <v>10</v>
      </c>
    </row>
    <row r="34" customFormat="false" ht="15" hidden="false" customHeight="false" outlineLevel="0" collapsed="false">
      <c r="A34" s="3" t="s">
        <v>66</v>
      </c>
      <c r="B34" s="3" t="s">
        <v>1562</v>
      </c>
      <c r="C34" s="3" t="n">
        <v>20</v>
      </c>
      <c r="D34" s="3" t="n">
        <v>35</v>
      </c>
      <c r="E34" s="3" t="n">
        <f aca="false">D34-C34</f>
        <v>15</v>
      </c>
    </row>
    <row r="35" customFormat="false" ht="15" hidden="false" customHeight="false" outlineLevel="0" collapsed="false">
      <c r="A35" s="3" t="s">
        <v>66</v>
      </c>
      <c r="B35" s="3" t="s">
        <v>1563</v>
      </c>
      <c r="C35" s="3" t="n">
        <v>10</v>
      </c>
      <c r="D35" s="3" t="n">
        <v>20</v>
      </c>
      <c r="E35" s="3" t="n">
        <f aca="false">D35-C35</f>
        <v>10</v>
      </c>
    </row>
    <row r="36" customFormat="false" ht="15" hidden="false" customHeight="false" outlineLevel="0" collapsed="false">
      <c r="A36" s="3" t="s">
        <v>66</v>
      </c>
      <c r="B36" s="3" t="s">
        <v>1564</v>
      </c>
      <c r="C36" s="3" t="n">
        <v>15</v>
      </c>
      <c r="D36" s="3" t="n">
        <v>0</v>
      </c>
      <c r="E36" s="3" t="n">
        <f aca="false">D36-C36</f>
        <v>-15</v>
      </c>
    </row>
    <row r="37" customFormat="false" ht="15" hidden="false" customHeight="false" outlineLevel="0" collapsed="false">
      <c r="A37" s="3" t="s">
        <v>67</v>
      </c>
      <c r="B37" s="3" t="s">
        <v>1565</v>
      </c>
      <c r="C37" s="3" t="n">
        <v>55</v>
      </c>
      <c r="D37" s="3" t="n">
        <v>100</v>
      </c>
      <c r="E37" s="3" t="n">
        <f aca="false">D37-C37</f>
        <v>45</v>
      </c>
    </row>
    <row r="38" customFormat="false" ht="15" hidden="false" customHeight="false" outlineLevel="0" collapsed="false">
      <c r="A38" s="3" t="s">
        <v>67</v>
      </c>
      <c r="B38" s="3" t="s">
        <v>1566</v>
      </c>
      <c r="C38" s="3" t="n">
        <v>45</v>
      </c>
      <c r="D38" s="3" t="n">
        <v>85</v>
      </c>
      <c r="E38" s="3" t="n">
        <f aca="false">D38-C38</f>
        <v>40</v>
      </c>
    </row>
    <row r="39" customFormat="false" ht="15" hidden="false" customHeight="false" outlineLevel="0" collapsed="false">
      <c r="A39" s="3" t="s">
        <v>67</v>
      </c>
      <c r="B39" s="3" t="s">
        <v>1567</v>
      </c>
      <c r="C39" s="3" t="n">
        <v>40</v>
      </c>
      <c r="D39" s="3" t="n">
        <v>80</v>
      </c>
      <c r="E39" s="3" t="n">
        <f aca="false">D39-C39</f>
        <v>40</v>
      </c>
    </row>
    <row r="40" customFormat="false" ht="15" hidden="false" customHeight="false" outlineLevel="0" collapsed="false">
      <c r="A40" s="3" t="s">
        <v>67</v>
      </c>
      <c r="B40" s="3" t="s">
        <v>1568</v>
      </c>
      <c r="C40" s="3" t="n">
        <v>20</v>
      </c>
      <c r="D40" s="3" t="n">
        <v>100</v>
      </c>
      <c r="E40" s="3" t="n">
        <f aca="false">D40-C40</f>
        <v>80</v>
      </c>
    </row>
    <row r="41" customFormat="false" ht="15" hidden="false" customHeight="false" outlineLevel="0" collapsed="false">
      <c r="A41" s="3" t="s">
        <v>67</v>
      </c>
      <c r="B41" s="3" t="s">
        <v>1569</v>
      </c>
      <c r="C41" s="3" t="n">
        <v>0</v>
      </c>
      <c r="D41" s="3" t="n">
        <v>0</v>
      </c>
      <c r="E41" s="3" t="n">
        <f aca="false">D41-C41</f>
        <v>0</v>
      </c>
    </row>
    <row r="42" customFormat="false" ht="15" hidden="false" customHeight="false" outlineLevel="0" collapsed="false">
      <c r="A42" s="3" t="s">
        <v>67</v>
      </c>
      <c r="B42" s="3" t="s">
        <v>1570</v>
      </c>
      <c r="C42" s="3" t="n">
        <v>0</v>
      </c>
      <c r="D42" s="3" t="n">
        <v>0</v>
      </c>
      <c r="E42" s="3" t="n">
        <f aca="false">D42-C42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5"/>
    <col collapsed="false" customWidth="true" hidden="false" outlineLevel="0" max="3" min="2" style="0" width="13"/>
  </cols>
  <sheetData>
    <row r="1" customFormat="false" ht="23.85" hidden="false" customHeight="false" outlineLevel="0" collapsed="false">
      <c r="A1" s="1" t="s">
        <v>1571</v>
      </c>
      <c r="B1" s="1" t="s">
        <v>1572</v>
      </c>
      <c r="C1" s="1" t="s">
        <v>1573</v>
      </c>
    </row>
    <row r="2" customFormat="false" ht="15" hidden="false" customHeight="false" outlineLevel="0" collapsed="false">
      <c r="A2" s="3" t="s">
        <v>2</v>
      </c>
      <c r="B2" s="9" t="n">
        <v>0</v>
      </c>
      <c r="C2" s="3" t="s">
        <v>1574</v>
      </c>
    </row>
    <row r="3" customFormat="false" ht="15" hidden="false" customHeight="false" outlineLevel="0" collapsed="false">
      <c r="A3" s="3" t="s">
        <v>3</v>
      </c>
      <c r="B3" s="9" t="n">
        <v>1</v>
      </c>
      <c r="C3" s="3" t="s">
        <v>1574</v>
      </c>
    </row>
    <row r="4" customFormat="false" ht="15" hidden="false" customHeight="false" outlineLevel="0" collapsed="false">
      <c r="A4" s="3" t="s">
        <v>4</v>
      </c>
      <c r="B4" s="9" t="n">
        <v>10</v>
      </c>
      <c r="C4" s="3" t="s">
        <v>1574</v>
      </c>
    </row>
    <row r="5" customFormat="false" ht="15" hidden="false" customHeight="false" outlineLevel="0" collapsed="false">
      <c r="A5" s="3" t="s">
        <v>5</v>
      </c>
      <c r="B5" s="9" t="n">
        <v>8</v>
      </c>
      <c r="C5" s="3" t="s">
        <v>1574</v>
      </c>
    </row>
    <row r="6" customFormat="false" ht="15" hidden="false" customHeight="false" outlineLevel="0" collapsed="false">
      <c r="A6" s="3" t="s">
        <v>6</v>
      </c>
      <c r="B6" s="9" t="n">
        <v>0.002</v>
      </c>
      <c r="C6" s="3" t="s">
        <v>1574</v>
      </c>
    </row>
    <row r="7" customFormat="false" ht="15" hidden="false" customHeight="false" outlineLevel="0" collapsed="false">
      <c r="A7" s="3" t="s">
        <v>7</v>
      </c>
      <c r="B7" s="9" t="n">
        <v>1</v>
      </c>
      <c r="C7" s="3" t="s">
        <v>1574</v>
      </c>
    </row>
    <row r="8" customFormat="false" ht="15" hidden="false" customHeight="false" outlineLevel="0" collapsed="false">
      <c r="A8" s="3" t="s">
        <v>8</v>
      </c>
      <c r="B8" s="9" t="n">
        <v>1</v>
      </c>
      <c r="C8" s="3" t="s">
        <v>1574</v>
      </c>
    </row>
    <row r="9" customFormat="false" ht="15" hidden="false" customHeight="false" outlineLevel="0" collapsed="false">
      <c r="A9" s="3" t="s">
        <v>9</v>
      </c>
      <c r="B9" s="9" t="n">
        <v>1</v>
      </c>
      <c r="C9" s="3" t="s">
        <v>1574</v>
      </c>
    </row>
    <row r="10" customFormat="false" ht="15" hidden="false" customHeight="false" outlineLevel="0" collapsed="false">
      <c r="A10" s="3" t="s">
        <v>10</v>
      </c>
      <c r="B10" s="9" t="n">
        <v>300</v>
      </c>
      <c r="C10" s="3" t="s">
        <v>1574</v>
      </c>
    </row>
    <row r="11" customFormat="false" ht="15" hidden="false" customHeight="false" outlineLevel="0" collapsed="false">
      <c r="A11" s="3" t="s">
        <v>11</v>
      </c>
      <c r="B11" s="9" t="n">
        <v>25</v>
      </c>
      <c r="C11" s="3" t="s">
        <v>1574</v>
      </c>
    </row>
    <row r="12" customFormat="false" ht="15" hidden="false" customHeight="false" outlineLevel="0" collapsed="false">
      <c r="A12" s="3" t="s">
        <v>12</v>
      </c>
      <c r="B12" s="9" t="n">
        <v>100</v>
      </c>
      <c r="C12" s="3" t="s">
        <v>1574</v>
      </c>
    </row>
    <row r="13" customFormat="false" ht="15" hidden="false" customHeight="false" outlineLevel="0" collapsed="false">
      <c r="A13" s="3" t="s">
        <v>13</v>
      </c>
      <c r="B13" s="9" t="n">
        <v>80</v>
      </c>
      <c r="C13" s="3" t="s">
        <v>1574</v>
      </c>
    </row>
    <row r="14" customFormat="false" ht="15" hidden="false" customHeight="false" outlineLevel="0" collapsed="false">
      <c r="A14" s="3" t="s">
        <v>14</v>
      </c>
      <c r="B14" s="9" t="n">
        <v>60</v>
      </c>
      <c r="C14" s="3" t="s">
        <v>1574</v>
      </c>
    </row>
    <row r="15" customFormat="false" ht="15" hidden="false" customHeight="false" outlineLevel="0" collapsed="false">
      <c r="A15" s="3" t="s">
        <v>15</v>
      </c>
      <c r="B15" s="9" t="n">
        <v>15</v>
      </c>
      <c r="C15" s="3" t="s">
        <v>1574</v>
      </c>
    </row>
    <row r="16" customFormat="false" ht="15" hidden="false" customHeight="false" outlineLevel="0" collapsed="false">
      <c r="A16" s="3" t="s">
        <v>16</v>
      </c>
      <c r="B16" s="9" t="n">
        <v>10</v>
      </c>
      <c r="C16" s="3" t="s">
        <v>1574</v>
      </c>
    </row>
    <row r="17" customFormat="false" ht="15" hidden="false" customHeight="false" outlineLevel="0" collapsed="false">
      <c r="A17" s="3" t="s">
        <v>17</v>
      </c>
      <c r="B17" s="9" t="n">
        <v>0.02</v>
      </c>
      <c r="C17" s="3" t="s">
        <v>1574</v>
      </c>
    </row>
    <row r="18" customFormat="false" ht="15" hidden="false" customHeight="false" outlineLevel="0" collapsed="false">
      <c r="A18" s="3" t="s">
        <v>18</v>
      </c>
      <c r="B18" s="9" t="n">
        <v>40</v>
      </c>
      <c r="C18" s="3" t="s">
        <v>1574</v>
      </c>
    </row>
    <row r="19" customFormat="false" ht="15" hidden="false" customHeight="false" outlineLevel="0" collapsed="false">
      <c r="A19" s="3" t="s">
        <v>19</v>
      </c>
      <c r="B19" s="9" t="n">
        <v>0.5</v>
      </c>
      <c r="C19" s="3" t="s">
        <v>1574</v>
      </c>
    </row>
    <row r="20" customFormat="false" ht="15" hidden="false" customHeight="false" outlineLevel="0" collapsed="false">
      <c r="A20" s="3" t="s">
        <v>20</v>
      </c>
      <c r="B20" s="9" t="n">
        <v>20</v>
      </c>
      <c r="C20" s="3" t="s">
        <v>1574</v>
      </c>
    </row>
    <row r="21" customFormat="false" ht="15" hidden="false" customHeight="false" outlineLevel="0" collapsed="false">
      <c r="A21" s="3" t="s">
        <v>21</v>
      </c>
      <c r="B21" s="9" t="n">
        <v>730</v>
      </c>
      <c r="C21" s="3" t="s">
        <v>1575</v>
      </c>
    </row>
    <row r="22" customFormat="false" ht="15" hidden="false" customHeight="false" outlineLevel="0" collapsed="false">
      <c r="A22" s="3" t="s">
        <v>22</v>
      </c>
      <c r="B22" s="9" t="n">
        <v>10</v>
      </c>
      <c r="C22" s="3" t="s">
        <v>1575</v>
      </c>
    </row>
    <row r="23" customFormat="false" ht="15" hidden="false" customHeight="false" outlineLevel="0" collapsed="false">
      <c r="A23" s="3" t="s">
        <v>23</v>
      </c>
      <c r="B23" s="9" t="n">
        <v>8</v>
      </c>
      <c r="C23" s="3" t="s">
        <v>1575</v>
      </c>
    </row>
    <row r="24" customFormat="false" ht="15" hidden="false" customHeight="false" outlineLevel="0" collapsed="false">
      <c r="A24" s="3" t="s">
        <v>24</v>
      </c>
      <c r="B24" s="9" t="n">
        <v>0</v>
      </c>
      <c r="C24" s="3" t="s">
        <v>1575</v>
      </c>
    </row>
    <row r="25" customFormat="false" ht="15" hidden="false" customHeight="false" outlineLevel="0" collapsed="false">
      <c r="A25" s="3" t="s">
        <v>25</v>
      </c>
      <c r="B25" s="9" t="n">
        <v>1</v>
      </c>
      <c r="C25" s="3" t="s">
        <v>1575</v>
      </c>
    </row>
    <row r="26" customFormat="false" ht="15" hidden="false" customHeight="false" outlineLevel="0" collapsed="false">
      <c r="A26" s="3" t="s">
        <v>26</v>
      </c>
      <c r="B26" s="9" t="n">
        <v>1</v>
      </c>
      <c r="C26" s="3" t="s">
        <v>1575</v>
      </c>
    </row>
    <row r="27" customFormat="false" ht="15" hidden="false" customHeight="false" outlineLevel="0" collapsed="false">
      <c r="A27" s="3" t="s">
        <v>27</v>
      </c>
      <c r="B27" s="9" t="n">
        <v>30</v>
      </c>
      <c r="C27" s="3" t="s">
        <v>1576</v>
      </c>
    </row>
    <row r="28" customFormat="false" ht="15" hidden="false" customHeight="false" outlineLevel="0" collapsed="false">
      <c r="A28" s="3" t="s">
        <v>28</v>
      </c>
      <c r="B28" s="9" t="n">
        <v>15</v>
      </c>
      <c r="C28" s="3" t="s">
        <v>1576</v>
      </c>
    </row>
    <row r="29" customFormat="false" ht="15" hidden="false" customHeight="false" outlineLevel="0" collapsed="false">
      <c r="A29" s="3" t="s">
        <v>29</v>
      </c>
      <c r="B29" s="9" t="n">
        <v>15</v>
      </c>
      <c r="C29" s="3" t="s">
        <v>1576</v>
      </c>
    </row>
    <row r="30" customFormat="false" ht="15" hidden="false" customHeight="false" outlineLevel="0" collapsed="false">
      <c r="A30" s="3" t="s">
        <v>30</v>
      </c>
      <c r="B30" s="9" t="n">
        <v>5</v>
      </c>
      <c r="C30" s="3" t="s">
        <v>1576</v>
      </c>
    </row>
    <row r="31" customFormat="false" ht="15" hidden="false" customHeight="false" outlineLevel="0" collapsed="false">
      <c r="A31" s="3" t="s">
        <v>31</v>
      </c>
      <c r="B31" s="9" t="n">
        <v>3</v>
      </c>
      <c r="C31" s="3" t="s">
        <v>1576</v>
      </c>
    </row>
    <row r="32" customFormat="false" ht="15" hidden="false" customHeight="false" outlineLevel="0" collapsed="false">
      <c r="A32" s="3" t="s">
        <v>32</v>
      </c>
      <c r="B32" s="9" t="n">
        <v>-30</v>
      </c>
      <c r="C32" s="3" t="s">
        <v>1576</v>
      </c>
    </row>
    <row r="33" customFormat="false" ht="15" hidden="false" customHeight="false" outlineLevel="0" collapsed="false">
      <c r="A33" s="3" t="s">
        <v>33</v>
      </c>
      <c r="B33" s="9" t="n">
        <v>10</v>
      </c>
      <c r="C33" s="3" t="s">
        <v>1576</v>
      </c>
    </row>
    <row r="34" customFormat="false" ht="15" hidden="false" customHeight="false" outlineLevel="0" collapsed="false">
      <c r="A34" s="3" t="s">
        <v>34</v>
      </c>
      <c r="B34" s="9" t="n">
        <v>15</v>
      </c>
      <c r="C34" s="3" t="s">
        <v>1576</v>
      </c>
    </row>
    <row r="35" customFormat="false" ht="15" hidden="false" customHeight="false" outlineLevel="0" collapsed="false">
      <c r="A35" s="3" t="s">
        <v>35</v>
      </c>
      <c r="B35" s="9" t="n">
        <v>3</v>
      </c>
      <c r="C35" s="3" t="s">
        <v>1576</v>
      </c>
    </row>
    <row r="36" customFormat="false" ht="15" hidden="false" customHeight="false" outlineLevel="0" collapsed="false">
      <c r="A36" s="3" t="s">
        <v>36</v>
      </c>
      <c r="B36" s="9" t="n">
        <v>30</v>
      </c>
      <c r="C36" s="3" t="s">
        <v>6</v>
      </c>
    </row>
    <row r="37" customFormat="false" ht="15" hidden="false" customHeight="false" outlineLevel="0" collapsed="false">
      <c r="A37" s="3" t="s">
        <v>37</v>
      </c>
      <c r="B37" s="9" t="n">
        <v>15</v>
      </c>
      <c r="C37" s="3" t="s">
        <v>1577</v>
      </c>
    </row>
    <row r="38" customFormat="false" ht="15" hidden="false" customHeight="false" outlineLevel="0" collapsed="false">
      <c r="A38" s="3" t="s">
        <v>38</v>
      </c>
      <c r="B38" s="9" t="n">
        <v>12</v>
      </c>
      <c r="C38" s="3" t="s">
        <v>1577</v>
      </c>
    </row>
    <row r="39" customFormat="false" ht="15" hidden="false" customHeight="false" outlineLevel="0" collapsed="false">
      <c r="A39" s="3" t="s">
        <v>39</v>
      </c>
      <c r="B39" s="9" t="n">
        <v>10</v>
      </c>
      <c r="C39" s="3" t="s">
        <v>1577</v>
      </c>
    </row>
    <row r="40" customFormat="false" ht="15" hidden="false" customHeight="false" outlineLevel="0" collapsed="false">
      <c r="A40" s="3" t="s">
        <v>40</v>
      </c>
      <c r="B40" s="9" t="n">
        <v>5</v>
      </c>
      <c r="C40" s="3" t="s">
        <v>1577</v>
      </c>
    </row>
    <row r="41" customFormat="false" ht="15" hidden="false" customHeight="false" outlineLevel="0" collapsed="false">
      <c r="A41" s="3" t="s">
        <v>41</v>
      </c>
      <c r="B41" s="9" t="n">
        <v>5</v>
      </c>
      <c r="C41" s="3" t="s">
        <v>1577</v>
      </c>
    </row>
    <row r="42" customFormat="false" ht="15" hidden="false" customHeight="false" outlineLevel="0" collapsed="false">
      <c r="A42" s="3" t="s">
        <v>42</v>
      </c>
      <c r="B42" s="9" t="n">
        <v>3</v>
      </c>
      <c r="C42" s="3" t="s">
        <v>1577</v>
      </c>
    </row>
    <row r="43" customFormat="false" ht="15" hidden="false" customHeight="false" outlineLevel="0" collapsed="false">
      <c r="A43" s="3" t="s">
        <v>43</v>
      </c>
      <c r="B43" s="9" t="n">
        <v>-5</v>
      </c>
      <c r="C43" s="3" t="s">
        <v>1577</v>
      </c>
    </row>
    <row r="44" customFormat="false" ht="15" hidden="false" customHeight="false" outlineLevel="0" collapsed="false">
      <c r="A44" s="3" t="s">
        <v>44</v>
      </c>
      <c r="B44" s="9" t="n">
        <v>-6</v>
      </c>
      <c r="C44" s="3" t="s">
        <v>1577</v>
      </c>
    </row>
    <row r="45" customFormat="false" ht="15" hidden="false" customHeight="false" outlineLevel="0" collapsed="false">
      <c r="A45" s="3" t="s">
        <v>45</v>
      </c>
      <c r="B45" s="9" t="n">
        <v>4</v>
      </c>
      <c r="C45" s="3" t="s">
        <v>1578</v>
      </c>
    </row>
    <row r="46" customFormat="false" ht="15" hidden="false" customHeight="false" outlineLevel="0" collapsed="false">
      <c r="A46" s="3" t="s">
        <v>46</v>
      </c>
      <c r="B46" s="9" t="n">
        <v>4</v>
      </c>
      <c r="C46" s="3" t="s">
        <v>1578</v>
      </c>
    </row>
    <row r="47" customFormat="false" ht="15" hidden="false" customHeight="false" outlineLevel="0" collapsed="false">
      <c r="A47" s="3" t="s">
        <v>47</v>
      </c>
      <c r="B47" s="9" t="n">
        <v>4</v>
      </c>
      <c r="C47" s="3" t="s">
        <v>1578</v>
      </c>
    </row>
    <row r="48" customFormat="false" ht="15" hidden="false" customHeight="false" outlineLevel="0" collapsed="false">
      <c r="A48" s="3" t="s">
        <v>48</v>
      </c>
      <c r="B48" s="9" t="n">
        <v>4</v>
      </c>
      <c r="C48" s="3" t="s">
        <v>1578</v>
      </c>
    </row>
    <row r="49" customFormat="false" ht="15" hidden="false" customHeight="false" outlineLevel="0" collapsed="false">
      <c r="A49" s="3" t="s">
        <v>49</v>
      </c>
      <c r="B49" s="9" t="n">
        <v>2</v>
      </c>
      <c r="C49" s="3" t="s">
        <v>1578</v>
      </c>
    </row>
    <row r="50" customFormat="false" ht="15" hidden="false" customHeight="false" outlineLevel="0" collapsed="false">
      <c r="A50" s="3" t="s">
        <v>50</v>
      </c>
      <c r="B50" s="9" t="n">
        <v>1</v>
      </c>
      <c r="C50" s="3" t="s">
        <v>1578</v>
      </c>
    </row>
    <row r="51" customFormat="false" ht="15" hidden="false" customHeight="false" outlineLevel="0" collapsed="false">
      <c r="A51" s="3" t="s">
        <v>51</v>
      </c>
      <c r="B51" s="9" t="n">
        <v>1</v>
      </c>
      <c r="C51" s="3" t="s">
        <v>1578</v>
      </c>
    </row>
    <row r="52" customFormat="false" ht="15" hidden="false" customHeight="false" outlineLevel="0" collapsed="false">
      <c r="A52" s="3" t="s">
        <v>52</v>
      </c>
      <c r="B52" s="9" t="n">
        <v>2</v>
      </c>
      <c r="C52" s="3" t="s">
        <v>1578</v>
      </c>
    </row>
    <row r="53" customFormat="false" ht="15" hidden="false" customHeight="false" outlineLevel="0" collapsed="false">
      <c r="A53" s="3" t="s">
        <v>53</v>
      </c>
      <c r="B53" s="9" t="n">
        <v>5</v>
      </c>
      <c r="C53" s="3" t="s">
        <v>1579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" t="s">
        <v>1580</v>
      </c>
    </row>
    <row r="2" customFormat="false" ht="15" hidden="false" customHeight="false" outlineLevel="0" collapsed="false">
      <c r="A2" s="3" t="s">
        <v>1581</v>
      </c>
    </row>
    <row r="3" customFormat="false" ht="15" hidden="false" customHeight="false" outlineLevel="0" collapsed="false">
      <c r="A3" s="3" t="s">
        <v>1582</v>
      </c>
    </row>
    <row r="4" customFormat="false" ht="15" hidden="false" customHeight="false" outlineLevel="0" collapsed="false">
      <c r="A4" s="3" t="s">
        <v>1583</v>
      </c>
    </row>
    <row r="5" customFormat="false" ht="15" hidden="false" customHeight="false" outlineLevel="0" collapsed="false">
      <c r="A5" s="3" t="s">
        <v>1584</v>
      </c>
    </row>
    <row r="6" customFormat="false" ht="15" hidden="false" customHeight="false" outlineLevel="0" collapsed="false">
      <c r="A6" s="3" t="s">
        <v>1585</v>
      </c>
    </row>
    <row r="7" customFormat="false" ht="15" hidden="false" customHeight="false" outlineLevel="0" collapsed="false">
      <c r="A7" s="3" t="s">
        <v>1586</v>
      </c>
    </row>
    <row r="8" customFormat="false" ht="15" hidden="false" customHeight="false" outlineLevel="0" collapsed="false">
      <c r="A8" s="3" t="s">
        <v>1587</v>
      </c>
    </row>
    <row r="9" customFormat="false" ht="15" hidden="false" customHeight="false" outlineLevel="0" collapsed="false">
      <c r="A9" s="3" t="s">
        <v>1588</v>
      </c>
    </row>
    <row r="10" customFormat="false" ht="15" hidden="false" customHeight="false" outlineLevel="0" collapsed="false">
      <c r="A10" s="3" t="s">
        <v>1589</v>
      </c>
    </row>
    <row r="11" customFormat="false" ht="15" hidden="false" customHeight="false" outlineLevel="0" collapsed="false">
      <c r="A11" s="3" t="s">
        <v>1590</v>
      </c>
    </row>
    <row r="12" customFormat="false" ht="15" hidden="false" customHeight="false" outlineLevel="0" collapsed="false">
      <c r="A12" s="3" t="s">
        <v>1591</v>
      </c>
    </row>
    <row r="13" customFormat="false" ht="15" hidden="false" customHeight="false" outlineLevel="0" collapsed="false">
      <c r="A13" s="3" t="s">
        <v>1592</v>
      </c>
    </row>
    <row r="14" customFormat="false" ht="15" hidden="false" customHeight="false" outlineLevel="0" collapsed="false">
      <c r="A14" s="3" t="s">
        <v>1593</v>
      </c>
    </row>
    <row r="15" customFormat="false" ht="15" hidden="false" customHeight="false" outlineLevel="0" collapsed="false">
      <c r="A15" s="3" t="s">
        <v>1594</v>
      </c>
    </row>
    <row r="16" customFormat="false" ht="15" hidden="false" customHeight="false" outlineLevel="0" collapsed="false">
      <c r="A16" s="3" t="s">
        <v>1595</v>
      </c>
    </row>
    <row r="17" customFormat="false" ht="15" hidden="false" customHeight="false" outlineLevel="0" collapsed="false">
      <c r="A17" s="3" t="s">
        <v>1596</v>
      </c>
    </row>
    <row r="18" customFormat="false" ht="15" hidden="false" customHeight="false" outlineLevel="0" collapsed="false">
      <c r="A18" s="3" t="s">
        <v>1597</v>
      </c>
    </row>
    <row r="19" customFormat="false" ht="15" hidden="false" customHeight="false" outlineLevel="0" collapsed="false">
      <c r="A19" s="3" t="s">
        <v>1598</v>
      </c>
    </row>
    <row r="20" customFormat="false" ht="15" hidden="false" customHeight="false" outlineLevel="0" collapsed="false">
      <c r="A20" s="3" t="s">
        <v>1599</v>
      </c>
    </row>
    <row r="21" customFormat="false" ht="15" hidden="false" customHeight="false" outlineLevel="0" collapsed="false">
      <c r="A21" s="3" t="s">
        <v>1600</v>
      </c>
    </row>
    <row r="22" customFormat="false" ht="15" hidden="false" customHeight="false" outlineLevel="0" collapsed="false">
      <c r="A22" s="3" t="s">
        <v>1601</v>
      </c>
    </row>
    <row r="23" customFormat="false" ht="15" hidden="false" customHeight="false" outlineLevel="0" collapsed="false">
      <c r="A23" s="3" t="s">
        <v>1602</v>
      </c>
    </row>
    <row r="24" customFormat="false" ht="15" hidden="false" customHeight="false" outlineLevel="0" collapsed="false">
      <c r="A24" s="3" t="s">
        <v>1603</v>
      </c>
    </row>
    <row r="25" customFormat="false" ht="15" hidden="false" customHeight="false" outlineLevel="0" collapsed="false">
      <c r="A25" s="3" t="s">
        <v>1604</v>
      </c>
    </row>
    <row r="26" customFormat="false" ht="15" hidden="false" customHeight="false" outlineLevel="0" collapsed="false">
      <c r="A26" s="3" t="s">
        <v>1605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2026-10-14T05:32:18Z</dcterms:created>
  <dc:creator>openpyxl</dc:creator>
  <dc:description/>
  <dc:language>en-US</dc:language>
  <cp:lastModifiedBy/>
  <dcterms:modified xsi:type="dcterms:W3CDTF">2026-10-14T05:32:19Z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