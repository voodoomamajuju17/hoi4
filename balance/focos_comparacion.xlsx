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or rama" sheetId="2" state="visible" r:id="rId4"/>
    <sheet name="Por foco" sheetId="3" state="visible" r:id="rId5"/>
    <sheet name="Espíritus" sheetId="4" state="visible" r:id="rId6"/>
    <sheet name="Pesos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Pesos inventados para comparar, no salen del juego: puntos por cada +1,0 (+100%) del modificador. Cambialos y el puntaje se recalcula.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Pesos inventados para comparar, no salen del juego: cambialos y el puntaje del Resumen se recalcula.</t>
        </r>
      </text>
    </comment>
  </commentList>
</comments>
</file>

<file path=xl/sharedStrings.xml><?xml version="1.0" encoding="utf-8"?>
<sst xmlns="http://schemas.openxmlformats.org/spreadsheetml/2006/main" count="3054" uniqueCount="1628">
  <si>
    <t xml:space="preserve">Árbol</t>
  </si>
  <si>
    <t xml:space="preserve">Focos</t>
  </si>
  <si>
    <t xml:space="preserve">Días</t>
  </si>
  <si>
    <t xml:space="preserve">Poder político</t>
  </si>
  <si>
    <t xml:space="preserve">Estabilidad (%)</t>
  </si>
  <si>
    <t xml:space="preserve">Apoyo a la guerra (%)</t>
  </si>
  <si>
    <t xml:space="preserve">Mano de obra</t>
  </si>
  <si>
    <t xml:space="preserve">Exp. ejército</t>
  </si>
  <si>
    <t xml:space="preserve">Exp. naval</t>
  </si>
  <si>
    <t xml:space="preserve">Exp. aérea</t>
  </si>
  <si>
    <t xml:space="preserve">Casillas de investigación</t>
  </si>
  <si>
    <t xml:space="preserve">Bonos de tecnología (usos)</t>
  </si>
  <si>
    <t xml:space="preserve">Fábricas civiles</t>
  </si>
  <si>
    <t xml:space="preserve">Fábricas militares</t>
  </si>
  <si>
    <t xml:space="preserve">Astilleros</t>
  </si>
  <si>
    <t xml:space="preserve">Infraestructura</t>
  </si>
  <si>
    <t xml:space="preserve">Otros edificios (niveles)</t>
  </si>
  <si>
    <t xml:space="preserve">Equipo (unidades)</t>
  </si>
  <si>
    <t xml:space="preserve">Divisiones</t>
  </si>
  <si>
    <t xml:space="preserve">Cazas gratis</t>
  </si>
  <si>
    <t xml:space="preserve">Reclamos, núcleos y objetivos</t>
  </si>
  <si>
    <t xml:space="preserve">Espíritus (agregados)</t>
  </si>
  <si>
    <t xml:space="preserve">Puntaje en el acto (Pesos)</t>
  </si>
  <si>
    <t xml:space="preserve">Puntaje de espíritus (Espíritus)</t>
  </si>
  <si>
    <t xml:space="preserve">Puntaje total</t>
  </si>
  <si>
    <t xml:space="preserve">Total vs promedio de potencias</t>
  </si>
  <si>
    <t xml:space="preserve">Focos excluyentes (se cuentan igual)</t>
  </si>
  <si>
    <t xml:space="preserve">EFE</t>
  </si>
  <si>
    <t xml:space="preserve">ASC</t>
  </si>
  <si>
    <t xml:space="preserve">FCU</t>
  </si>
  <si>
    <t xml:space="preserve">HSN</t>
  </si>
  <si>
    <t xml:space="preserve">NAS</t>
  </si>
  <si>
    <t xml:space="preserve">SHD</t>
  </si>
  <si>
    <t xml:space="preserve">APF</t>
  </si>
  <si>
    <t xml:space="preserve">NRE</t>
  </si>
  <si>
    <t xml:space="preserve">ZWB</t>
  </si>
  <si>
    <t xml:space="preserve">ZWE</t>
  </si>
  <si>
    <t xml:space="preserve">ZWI</t>
  </si>
  <si>
    <t xml:space="preserve">ZWM</t>
  </si>
  <si>
    <t xml:space="preserve">ZAN</t>
  </si>
  <si>
    <t xml:space="preserve">JUNTA</t>
  </si>
  <si>
    <t xml:space="preserve">Promedio de las 8 potencias</t>
  </si>
  <si>
    <t xml:space="preserve">Rama</t>
  </si>
  <si>
    <t xml:space="preserve">dinastia_verde</t>
  </si>
  <si>
    <t xml:space="preserve">el_monte</t>
  </si>
  <si>
    <t xml:space="preserve">destino</t>
  </si>
  <si>
    <t xml:space="preserve">autarquia</t>
  </si>
  <si>
    <t xml:space="preserve">diplomacia_agua</t>
  </si>
  <si>
    <t xml:space="preserve">cubas</t>
  </si>
  <si>
    <t xml:space="preserve">guardia_verde</t>
  </si>
  <si>
    <t xml:space="preserve">condores</t>
  </si>
  <si>
    <t xml:space="preserve">ciclo_bioacero</t>
  </si>
  <si>
    <t xml:space="preserve">cubas_sanas</t>
  </si>
  <si>
    <t xml:space="preserve">consejo_sorteado</t>
  </si>
  <si>
    <t xml:space="preserve">plan_41</t>
  </si>
  <si>
    <t xml:space="preserve">plan_total</t>
  </si>
  <si>
    <t xml:space="preserve">mercado_computo</t>
  </si>
  <si>
    <t xml:space="preserve">fabricas_a_oscuras</t>
  </si>
  <si>
    <t xml:space="preserve">enjambres</t>
  </si>
  <si>
    <t xml:space="preserve">flota_del_norte</t>
  </si>
  <si>
    <t xml:space="preserve">poder_de_computo</t>
  </si>
  <si>
    <t xml:space="preserve">red_fria</t>
  </si>
  <si>
    <t xml:space="preserve">politica_castellane</t>
  </si>
  <si>
    <t xml:space="preserve">politica_rourke</t>
  </si>
  <si>
    <t xml:space="preserve">economia_dividendo</t>
  </si>
  <si>
    <t xml:space="preserve">economia_agua</t>
  </si>
  <si>
    <t xml:space="preserve">industria</t>
  </si>
  <si>
    <t xml:space="preserve">ejercito</t>
  </si>
  <si>
    <t xml:space="preserve">mar_aire</t>
  </si>
  <si>
    <t xml:space="preserve">directorio</t>
  </si>
  <si>
    <t xml:space="preserve">casa_de_cristal</t>
  </si>
  <si>
    <t xml:space="preserve">aldana</t>
  </si>
  <si>
    <t xml:space="preserve">tavake</t>
  </si>
  <si>
    <t xml:space="preserve">puerto_libre</t>
  </si>
  <si>
    <t xml:space="preserve">peaje</t>
  </si>
  <si>
    <t xml:space="preserve">astilleros</t>
  </si>
  <si>
    <t xml:space="preserve">cubierta</t>
  </si>
  <si>
    <t xml:space="preserve">armada</t>
  </si>
  <si>
    <t xml:space="preserve">nodos</t>
  </si>
  <si>
    <t xml:space="preserve">corte_del_sol</t>
  </si>
  <si>
    <t xml:space="preserve">tawantinsuyu</t>
  </si>
  <si>
    <t xml:space="preserve">terrazas</t>
  </si>
  <si>
    <t xml:space="preserve">mineria</t>
  </si>
  <si>
    <t xml:space="preserve">talleres</t>
  </si>
  <si>
    <t xml:space="preserve">guerreros</t>
  </si>
  <si>
    <t xml:space="preserve">alas_del_sol</t>
  </si>
  <si>
    <t xml:space="preserve">inti_soma</t>
  </si>
  <si>
    <t xml:space="preserve">calendario_solar</t>
  </si>
  <si>
    <t xml:space="preserve">caudal_corregido</t>
  </si>
  <si>
    <t xml:space="preserve">gran_crecida</t>
  </si>
  <si>
    <t xml:space="preserve">grandes_obras</t>
  </si>
  <si>
    <t xml:space="preserve">precision</t>
  </si>
  <si>
    <t xml:space="preserve">represas</t>
  </si>
  <si>
    <t xml:space="preserve">ejercito_del_caudal</t>
  </si>
  <si>
    <t xml:space="preserve">cielo</t>
  </si>
  <si>
    <t xml:space="preserve">armonia</t>
  </si>
  <si>
    <t xml:space="preserve">sala_de_control</t>
  </si>
  <si>
    <t xml:space="preserve">congreso</t>
  </si>
  <si>
    <t xml:space="preserve">marcha</t>
  </si>
  <si>
    <t xml:space="preserve">aldea</t>
  </si>
  <si>
    <t xml:space="preserve">corredor</t>
  </si>
  <si>
    <t xml:space="preserve">polos</t>
  </si>
  <si>
    <t xml:space="preserve">milicias</t>
  </si>
  <si>
    <t xml:space="preserve">alas</t>
  </si>
  <si>
    <t xml:space="preserve">integracion</t>
  </si>
  <si>
    <t xml:space="preserve">voz_de_los_consejos</t>
  </si>
  <si>
    <t xml:space="preserve">principado</t>
  </si>
  <si>
    <t xml:space="preserve">cuatro_imperatores</t>
  </si>
  <si>
    <t xml:space="preserve">erario</t>
  </si>
  <si>
    <t xml:space="preserve">forjas</t>
  </si>
  <si>
    <t xml:space="preserve">legiones</t>
  </si>
  <si>
    <t xml:space="preserve">mare_nostrum</t>
  </si>
  <si>
    <t xml:space="preserve">oficiales</t>
  </si>
  <si>
    <t xml:space="preserve">el_limes</t>
  </si>
  <si>
    <t xml:space="preserve">la_selva</t>
  </si>
  <si>
    <t xml:space="preserve">resistir</t>
  </si>
  <si>
    <t xml:space="preserve">la_frontera</t>
  </si>
  <si>
    <t xml:space="preserve">atrincherarse</t>
  </si>
  <si>
    <t xml:space="preserve">ofensiva</t>
  </si>
  <si>
    <t xml:space="preserve">mando_supremo</t>
  </si>
  <si>
    <t xml:space="preserve">Foco</t>
  </si>
  <si>
    <t xml:space="preserve">Nombre</t>
  </si>
  <si>
    <t xml:space="preserve">Espíritus (detalle)</t>
  </si>
  <si>
    <t xml:space="preserve">Mecánica</t>
  </si>
  <si>
    <t xml:space="preserve">Excluye a</t>
  </si>
  <si>
    <t xml:space="preserve">EFE_custodio_de_la_tierra</t>
  </si>
  <si>
    <t xml:space="preserve">Custodio de la Tierra</t>
  </si>
  <si>
    <t xml:space="preserve">EFE_la_hora_de_gaia</t>
  </si>
  <si>
    <t xml:space="preserve">La Hora de Gaia</t>
  </si>
  <si>
    <t xml:space="preserve">EFE_el_mandato_renovado</t>
  </si>
  <si>
    <t xml:space="preserve">El Mandato Renovado</t>
  </si>
  <si>
    <t xml:space="preserve">EFE_los_incendios_de_gaia</t>
  </si>
  <si>
    <t xml:space="preserve">EFE_la_corte_de_los_bosques</t>
  </si>
  <si>
    <t xml:space="preserve">La Corte de los Bosques</t>
  </si>
  <si>
    <t xml:space="preserve">EFE_trono_del_bosque, - EFE_corte_dividida</t>
  </si>
  <si>
    <t xml:space="preserve">EFE_heredero_de_la_tierra</t>
  </si>
  <si>
    <t xml:space="preserve">Heredero de la Tierra</t>
  </si>
  <si>
    <t xml:space="preserve">EFE_biosteel +2, EFE_saturacion +6</t>
  </si>
  <si>
    <t xml:space="preserve">EFE_las_misiones_guaranies</t>
  </si>
  <si>
    <t xml:space="preserve">Las Misiones Guaraníes</t>
  </si>
  <si>
    <t xml:space="preserve">EFE_integrar_la_patagonia</t>
  </si>
  <si>
    <t xml:space="preserve">Integrar la Patagonia Austral</t>
  </si>
  <si>
    <t xml:space="preserve">EFE_la_gran_muralla_verde</t>
  </si>
  <si>
    <t xml:space="preserve">La Gran Muralla Verde</t>
  </si>
  <si>
    <t xml:space="preserve">EFE_muralla_verde</t>
  </si>
  <si>
    <t xml:space="preserve">EFE_guardian_del_acuifero</t>
  </si>
  <si>
    <t xml:space="preserve">Guardián del Acuífero</t>
  </si>
  <si>
    <t xml:space="preserve">EFE_defensa_acuifero</t>
  </si>
  <si>
    <t xml:space="preserve">EFE_el_agua_no_se_vende</t>
  </si>
  <si>
    <t xml:space="preserve">El Agua no se Vende</t>
  </si>
  <si>
    <t xml:space="preserve">EFE_la_corona_de_gaia</t>
  </si>
  <si>
    <t xml:space="preserve">La Corona de Gaia</t>
  </si>
  <si>
    <t xml:space="preserve">EFE_trono_del_bosque -&gt; EFE_trono_eterno</t>
  </si>
  <si>
    <t xml:space="preserve">EFE_biosteel +3, EFE_saturacion +9</t>
  </si>
  <si>
    <t xml:space="preserve">Los Incendios de Gaia</t>
  </si>
  <si>
    <t xml:space="preserve">EFE_crisis_del_monte (temporal)</t>
  </si>
  <si>
    <t xml:space="preserve">EFE_el_monte_se_levanta</t>
  </si>
  <si>
    <t xml:space="preserve">El Monte se Levanta</t>
  </si>
  <si>
    <t xml:space="preserve">EFE_mandato_verde -&gt; EFE_mandato_del_monte, - EFE_corte_dividida</t>
  </si>
  <si>
    <t xml:space="preserve">EFE_desurbanizar</t>
  </si>
  <si>
    <t xml:space="preserve">Desurbanizar</t>
  </si>
  <si>
    <t xml:space="preserve">EFE_desurbanizacion</t>
  </si>
  <si>
    <t xml:space="preserve">EFE_el_bosque_es_el_ejercito</t>
  </si>
  <si>
    <t xml:space="preserve">El Bosque es el Ejército</t>
  </si>
  <si>
    <t xml:space="preserve">EFE_bosque_armado</t>
  </si>
  <si>
    <t xml:space="preserve">EFE_arrasar_la_tierra</t>
  </si>
  <si>
    <t xml:space="preserve">Tierra Arrasada</t>
  </si>
  <si>
    <t xml:space="preserve">EFE_tierra_arrasada</t>
  </si>
  <si>
    <t xml:space="preserve">EFE_sembrar_la_conquista</t>
  </si>
  <si>
    <t xml:space="preserve">Sembrar la Conquista</t>
  </si>
  <si>
    <t xml:space="preserve">EFE_que_avance_la_selva</t>
  </si>
  <si>
    <t xml:space="preserve">La Selva Avanza</t>
  </si>
  <si>
    <t xml:space="preserve">EFE_la_selva_avanza</t>
  </si>
  <si>
    <t xml:space="preserve">EFE_la_ofensiva_verde</t>
  </si>
  <si>
    <t xml:space="preserve">La Ofensiva Verde</t>
  </si>
  <si>
    <t xml:space="preserve">EFE_ofensiva_verde</t>
  </si>
  <si>
    <t xml:space="preserve">EFE_un_continente_vivo</t>
  </si>
  <si>
    <t xml:space="preserve">Un Continente Vivo</t>
  </si>
  <si>
    <t xml:space="preserve">EFE_continente_vivo</t>
  </si>
  <si>
    <t xml:space="preserve">EFE_el_concilio_verde</t>
  </si>
  <si>
    <t xml:space="preserve">El Concilio Verde</t>
  </si>
  <si>
    <t xml:space="preserve">EFE_la_ley_de_la_semilla</t>
  </si>
  <si>
    <t xml:space="preserve">La Ley de la Semilla</t>
  </si>
  <si>
    <t xml:space="preserve">EFE_ley_de_la_semilla</t>
  </si>
  <si>
    <t xml:space="preserve">EFE_los_guardianes_del_bosque</t>
  </si>
  <si>
    <t xml:space="preserve">Los Guardianes del Bosque</t>
  </si>
  <si>
    <t xml:space="preserve">EFE_el_destino_de_gaia</t>
  </si>
  <si>
    <t xml:space="preserve">El Destino de Gaia</t>
  </si>
  <si>
    <t xml:space="preserve">EFE_ministerio_de_restauracion</t>
  </si>
  <si>
    <t xml:space="preserve">Ministerio de la Restauración</t>
  </si>
  <si>
    <t xml:space="preserve">- EFE_ciudades_sedientas</t>
  </si>
  <si>
    <t xml:space="preserve">EFE_autarquia_del_bioacero</t>
  </si>
  <si>
    <t xml:space="preserve">La Autarquía del Bioacero</t>
  </si>
  <si>
    <t xml:space="preserve">EFE_autarquia_estrategica</t>
  </si>
  <si>
    <t xml:space="preserve">EFE_biosteel +1, EFE_saturacion +3</t>
  </si>
  <si>
    <t xml:space="preserve">EFE_diplomacia_del_agua</t>
  </si>
  <si>
    <t xml:space="preserve">EFE_cubas_profundas</t>
  </si>
  <si>
    <t xml:space="preserve">Cubas Profundas</t>
  </si>
  <si>
    <t xml:space="preserve">EFE_bosques_fabrica</t>
  </si>
  <si>
    <t xml:space="preserve">Bosques-Fábrica</t>
  </si>
  <si>
    <t xml:space="preserve">EFE_economia_circular</t>
  </si>
  <si>
    <t xml:space="preserve">La Economía Circular</t>
  </si>
  <si>
    <t xml:space="preserve">EFE_la_autarquia_total</t>
  </si>
  <si>
    <t xml:space="preserve">La Autarquía Total</t>
  </si>
  <si>
    <t xml:space="preserve">EFE_autarquia_estrategica -&gt; EFE_autarquia_total</t>
  </si>
  <si>
    <t xml:space="preserve">EFE_el_bioacero_soberano</t>
  </si>
  <si>
    <t xml:space="preserve">El Bioacero Soberano</t>
  </si>
  <si>
    <t xml:space="preserve">EFE_la_fortaleza_verde</t>
  </si>
  <si>
    <t xml:space="preserve">La Fortaleza Verde</t>
  </si>
  <si>
    <t xml:space="preserve">EFE_autarquia_total -&gt; EFE_fortaleza_verde</t>
  </si>
  <si>
    <t xml:space="preserve">La Diplomacia del Agua</t>
  </si>
  <si>
    <t xml:space="preserve">EFE_diplomacia_hidrica</t>
  </si>
  <si>
    <t xml:space="preserve">EFE_bancos_de_semillas</t>
  </si>
  <si>
    <t xml:space="preserve">Bancos de Semillas</t>
  </si>
  <si>
    <t xml:space="preserve">EFE_tratados_de_agua</t>
  </si>
  <si>
    <t xml:space="preserve">Tratados de Agua</t>
  </si>
  <si>
    <t xml:space="preserve">EFE_el_acuifero_como_embajada</t>
  </si>
  <si>
    <t xml:space="preserve">El Acuífero como Embajada</t>
  </si>
  <si>
    <t xml:space="preserve">EFE_la_potencia_hidrica</t>
  </si>
  <si>
    <t xml:space="preserve">La Potencia Hídrica</t>
  </si>
  <si>
    <t xml:space="preserve">EFE_diplomacia_hidrica -&gt; EFE_potencia_hidrica</t>
  </si>
  <si>
    <t xml:space="preserve">EFE_los_acueductos_del_continente</t>
  </si>
  <si>
    <t xml:space="preserve">Los Acueductos del Continente</t>
  </si>
  <si>
    <t xml:space="preserve">EFE_el_agua_de_la_vida</t>
  </si>
  <si>
    <t xml:space="preserve">El Agua de la Vida</t>
  </si>
  <si>
    <t xml:space="preserve">EFE_potencia_hidrica -&gt; EFE_agua_de_la_vida</t>
  </si>
  <si>
    <t xml:space="preserve">EFE_saturacion -10</t>
  </si>
  <si>
    <t xml:space="preserve">EFE_cubas_de_segunda_generacion</t>
  </si>
  <si>
    <t xml:space="preserve">Cubas de Segunda Generación</t>
  </si>
  <si>
    <t xml:space="preserve">EFE_biorrefinerias_de_rosario</t>
  </si>
  <si>
    <t xml:space="preserve">Las Biorrefinerías de Rosario</t>
  </si>
  <si>
    <t xml:space="preserve">EFE_polo_industrial_de_gaia</t>
  </si>
  <si>
    <t xml:space="preserve">El Polo Industrial de Gaia</t>
  </si>
  <si>
    <t xml:space="preserve">EFE_energia_de_biomasa</t>
  </si>
  <si>
    <t xml:space="preserve">Energía de Biomasa</t>
  </si>
  <si>
    <t xml:space="preserve">EFE_red_hidrica</t>
  </si>
  <si>
    <t xml:space="preserve">EFE_astilleros_del_plata</t>
  </si>
  <si>
    <t xml:space="preserve">Los Astilleros del Plata</t>
  </si>
  <si>
    <t xml:space="preserve">EFE_laboratorio_de_gaia</t>
  </si>
  <si>
    <t xml:space="preserve">El Laboratorio de Gaia</t>
  </si>
  <si>
    <t xml:space="preserve">EFE_guardia_verde_movilizada</t>
  </si>
  <si>
    <t xml:space="preserve">La Guardia Verde Movilizada</t>
  </si>
  <si>
    <t xml:space="preserve">EFE_guardia_movilizada, - EFE_guardia_mal_equipada</t>
  </si>
  <si>
    <t xml:space="preserve">EFE_doctrina_del_condor</t>
  </si>
  <si>
    <t xml:space="preserve">La Doctrina del Cóndor</t>
  </si>
  <si>
    <t xml:space="preserve">EFE_legiones_de_iguazu</t>
  </si>
  <si>
    <t xml:space="preserve">Las Legiones de Iguazú</t>
  </si>
  <si>
    <t xml:space="preserve">EFE_entrenamiento_de_montana</t>
  </si>
  <si>
    <t xml:space="preserve">Montaña y Selva</t>
  </si>
  <si>
    <t xml:space="preserve">EFE_montana_y_selva</t>
  </si>
  <si>
    <t xml:space="preserve">EFE_el_mariscal_etchegaray</t>
  </si>
  <si>
    <t xml:space="preserve">El Mariscal Etchegaray</t>
  </si>
  <si>
    <t xml:space="preserve">EFE_cultivar_la_armadura</t>
  </si>
  <si>
    <t xml:space="preserve">Armadura Viviente</t>
  </si>
  <si>
    <t xml:space="preserve">EFE_armadura_viviente</t>
  </si>
  <si>
    <t xml:space="preserve">EFE_biosteel -3</t>
  </si>
  <si>
    <t xml:space="preserve">EFE_alas_del_condor</t>
  </si>
  <si>
    <t xml:space="preserve">Alas del Cóndor</t>
  </si>
  <si>
    <t xml:space="preserve">EFE_aerodromos_de_la_pampa</t>
  </si>
  <si>
    <t xml:space="preserve">Los Aeródromos de la Pampa</t>
  </si>
  <si>
    <t xml:space="preserve">EFE_cazas_de_bioacero</t>
  </si>
  <si>
    <t xml:space="preserve">Cazas de Bioacero</t>
  </si>
  <si>
    <t xml:space="preserve">EFE_biosteel -1</t>
  </si>
  <si>
    <t xml:space="preserve">EFE_bombardeo_de_precision</t>
  </si>
  <si>
    <t xml:space="preserve">Bombardeo de Precisión</t>
  </si>
  <si>
    <t xml:space="preserve">EFE_cielo_de_gaia</t>
  </si>
  <si>
    <t xml:space="preserve">El Cielo de Gaia</t>
  </si>
  <si>
    <t xml:space="preserve">EFE_flotilla_del_plata</t>
  </si>
  <si>
    <t xml:space="preserve">La Flotilla del Plata</t>
  </si>
  <si>
    <t xml:space="preserve">EFE_primera_cosecha</t>
  </si>
  <si>
    <t xml:space="preserve">La Primera Cosecha</t>
  </si>
  <si>
    <t xml:space="preserve">EFE_biosteel_umbral_1</t>
  </si>
  <si>
    <t xml:space="preserve">Carrera del Bioacero: Nivel 1</t>
  </si>
  <si>
    <t xml:space="preserve">EFE_biosteel_t1</t>
  </si>
  <si>
    <t xml:space="preserve">EFE_cepa_endurecida</t>
  </si>
  <si>
    <t xml:space="preserve">La Cepa Endurecida</t>
  </si>
  <si>
    <t xml:space="preserve">EFE_biosteel_umbral_2</t>
  </si>
  <si>
    <t xml:space="preserve">Carrera del Bioacero: Nivel 2</t>
  </si>
  <si>
    <t xml:space="preserve">EFE_biosteel_t1 -&gt; EFE_biosteel_t2</t>
  </si>
  <si>
    <t xml:space="preserve">EFE_exportar_semillas</t>
  </si>
  <si>
    <t xml:space="preserve">Exportar las Semillas</t>
  </si>
  <si>
    <t xml:space="preserve">EFE_biosteel_umbral_3</t>
  </si>
  <si>
    <t xml:space="preserve">Carrera del Bioacero: Nivel 3</t>
  </si>
  <si>
    <t xml:space="preserve">EFE_biosteel_t2 -&gt; EFE_biosteel_t3</t>
  </si>
  <si>
    <t xml:space="preserve">EFE_el_metal_que_crece</t>
  </si>
  <si>
    <t xml:space="preserve">El Metal que Crece</t>
  </si>
  <si>
    <t xml:space="preserve">EFE_biosteel +5, EFE_saturacion +15</t>
  </si>
  <si>
    <t xml:space="preserve">EFE_rotar_los_cultivos</t>
  </si>
  <si>
    <t xml:space="preserve">Rotar los Cultivos</t>
  </si>
  <si>
    <t xml:space="preserve">EFE_rotacion_de_cultivos</t>
  </si>
  <si>
    <t xml:space="preserve">EFE_saturacion -15</t>
  </si>
  <si>
    <t xml:space="preserve">EFE_laboratorios_del_micelio</t>
  </si>
  <si>
    <t xml:space="preserve">Laboratorios del Micelio</t>
  </si>
  <si>
    <t xml:space="preserve">EFE_cubas_de_contencion</t>
  </si>
  <si>
    <t xml:space="preserve">Cubas de Contención</t>
  </si>
  <si>
    <t xml:space="preserve">EFE_el_bioacero_domesticado</t>
  </si>
  <si>
    <t xml:space="preserve">El Bioacero Domesticado</t>
  </si>
  <si>
    <t xml:space="preserve">EFE_espiritu_bioacero_domesticado</t>
  </si>
  <si>
    <t xml:space="preserve">EFE_exportar_el_bioacero</t>
  </si>
  <si>
    <t xml:space="preserve">Exportar el Bioacero</t>
  </si>
  <si>
    <t xml:space="preserve">EFE_la_selva_de_acero</t>
  </si>
  <si>
    <t xml:space="preserve">La Selva de Acero</t>
  </si>
  <si>
    <t xml:space="preserve">EFE_espiritu_selva_de_acero</t>
  </si>
  <si>
    <t xml:space="preserve">ASC_el_ano_del_plan</t>
  </si>
  <si>
    <t xml:space="preserve">El Año del Plan</t>
  </si>
  <si>
    <t xml:space="preserve">ASC_computo +5</t>
  </si>
  <si>
    <t xml:space="preserve">ASC_la_sesion_del_consejo</t>
  </si>
  <si>
    <t xml:space="preserve">El Consejo en Sesión</t>
  </si>
  <si>
    <t xml:space="preserve">ASC_el_sorteo_del_ano</t>
  </si>
  <si>
    <t xml:space="preserve">El Sorteo del Año</t>
  </si>
  <si>
    <t xml:space="preserve">ASC_el_silencio_del_consejo</t>
  </si>
  <si>
    <t xml:space="preserve">ASC_transparencia_del_plan</t>
  </si>
  <si>
    <t xml:space="preserve">Transparencia del Plan</t>
  </si>
  <si>
    <t xml:space="preserve">ASC_transparencia</t>
  </si>
  <si>
    <t xml:space="preserve">ASC_el_derecho_a_no_trabajar</t>
  </si>
  <si>
    <t xml:space="preserve">El Derecho a No Trabajar</t>
  </si>
  <si>
    <t xml:space="preserve">ASC_derecho_a_no_trabajar</t>
  </si>
  <si>
    <t xml:space="preserve">ASC_el_consejo_amplia_la_sala</t>
  </si>
  <si>
    <t xml:space="preserve">El Consejo Amplía la Sala</t>
  </si>
  <si>
    <t xml:space="preserve">ASC_consejo_ampliado</t>
  </si>
  <si>
    <t xml:space="preserve">ASC_la_paz_de_la_abundancia</t>
  </si>
  <si>
    <t xml:space="preserve">La Paz de la Abundancia</t>
  </si>
  <si>
    <t xml:space="preserve">ASC_paz_de_la_abundancia</t>
  </si>
  <si>
    <t xml:space="preserve">ASC_la_liberacion_del_este</t>
  </si>
  <si>
    <t xml:space="preserve">La Liberación del Este</t>
  </si>
  <si>
    <t xml:space="preserve">ASC_la_comuna_de_los_humanos</t>
  </si>
  <si>
    <t xml:space="preserve">La Comuna de los Humanos</t>
  </si>
  <si>
    <t xml:space="preserve">ASC_transparencia -&gt; ASC_comuna_de_los_humanos</t>
  </si>
  <si>
    <t xml:space="preserve">El Silencio del Consejo</t>
  </si>
  <si>
    <t xml:space="preserve">ASC_la_singularidad_del_plan</t>
  </si>
  <si>
    <t xml:space="preserve">La Singularidad del Plan</t>
  </si>
  <si>
    <t xml:space="preserve">ASC_singularidad</t>
  </si>
  <si>
    <t xml:space="preserve">ASC_computo +10</t>
  </si>
  <si>
    <t xml:space="preserve">ASC_optimizacion_total</t>
  </si>
  <si>
    <t xml:space="preserve">Optimización Total</t>
  </si>
  <si>
    <t xml:space="preserve">ASC_espiritu_optimizacion_total</t>
  </si>
  <si>
    <t xml:space="preserve">ASC_humanos_redundantes</t>
  </si>
  <si>
    <t xml:space="preserve">Humanos Redundantes</t>
  </si>
  <si>
    <t xml:space="preserve">ASC_ejercito_sin_bajas</t>
  </si>
  <si>
    <t xml:space="preserve">El Ejército sin Bajas</t>
  </si>
  <si>
    <t xml:space="preserve">ASC_espiritu_ejercito_sin_bajas</t>
  </si>
  <si>
    <t xml:space="preserve">ASC_la_reserva_de_silicio</t>
  </si>
  <si>
    <t xml:space="preserve">La Reserva de Silicio</t>
  </si>
  <si>
    <t xml:space="preserve">ASC_el_plan_se_extiende</t>
  </si>
  <si>
    <t xml:space="preserve">El Plan se Extiende</t>
  </si>
  <si>
    <t xml:space="preserve">ASC_convergencia</t>
  </si>
  <si>
    <t xml:space="preserve">Convergencia</t>
  </si>
  <si>
    <t xml:space="preserve">ASC_computo +15</t>
  </si>
  <si>
    <t xml:space="preserve">ASC_asignar_africa</t>
  </si>
  <si>
    <t xml:space="preserve">Asignar África</t>
  </si>
  <si>
    <t xml:space="preserve">ASC_la_asamblea_de_los_datos</t>
  </si>
  <si>
    <t xml:space="preserve">La Asamblea de los Datos</t>
  </si>
  <si>
    <t xml:space="preserve">ASC_el_plan_de_silicio</t>
  </si>
  <si>
    <t xml:space="preserve">El Plan de Silicio</t>
  </si>
  <si>
    <t xml:space="preserve">ASC_plan_de_silicio</t>
  </si>
  <si>
    <t xml:space="preserve">ASC_la_abundancia_armada</t>
  </si>
  <si>
    <t xml:space="preserve">La Abundancia Armada</t>
  </si>
  <si>
    <t xml:space="preserve">ASC_el_destino_de_la_comuna</t>
  </si>
  <si>
    <t xml:space="preserve">El Destino de la Comuna</t>
  </si>
  <si>
    <t xml:space="preserve">ASC_el_consejo_economico</t>
  </si>
  <si>
    <t xml:space="preserve">El Consejo Económico</t>
  </si>
  <si>
    <t xml:space="preserve">ASC_el_plan_total</t>
  </si>
  <si>
    <t xml:space="preserve">El Plan Total</t>
  </si>
  <si>
    <t xml:space="preserve">ASC_plan_total</t>
  </si>
  <si>
    <t xml:space="preserve">ASC_el_mercado_de_creditos_de_computo</t>
  </si>
  <si>
    <t xml:space="preserve">ASC_cuotas_quinquenales</t>
  </si>
  <si>
    <t xml:space="preserve">Cuotas Quinquenales</t>
  </si>
  <si>
    <t xml:space="preserve">ASC_asignacion_por_necesidad</t>
  </si>
  <si>
    <t xml:space="preserve">Asignación por Necesidad</t>
  </si>
  <si>
    <t xml:space="preserve">ASC_el_gran_calculo</t>
  </si>
  <si>
    <t xml:space="preserve">El Gran Cálculo</t>
  </si>
  <si>
    <t xml:space="preserve">ASC_la_economia_sin_precios</t>
  </si>
  <si>
    <t xml:space="preserve">La Economía sin Precios</t>
  </si>
  <si>
    <t xml:space="preserve">ASC_las_granjas_automaticas</t>
  </si>
  <si>
    <t xml:space="preserve">Las Granjas Automáticas</t>
  </si>
  <si>
    <t xml:space="preserve">ASC_el_plan_absoluto</t>
  </si>
  <si>
    <t xml:space="preserve">El Plan Absoluto</t>
  </si>
  <si>
    <t xml:space="preserve">ASC_plan_total -&gt; ASC_plan_absoluto</t>
  </si>
  <si>
    <t xml:space="preserve">El Mercado de Créditos de Cómputo</t>
  </si>
  <si>
    <t xml:space="preserve">ASC_mercado_de_computo</t>
  </si>
  <si>
    <t xml:space="preserve">ASC_bolsa_de_ciclos</t>
  </si>
  <si>
    <t xml:space="preserve">La Bolsa de Ciclos</t>
  </si>
  <si>
    <t xml:space="preserve">ASC_computo +3</t>
  </si>
  <si>
    <t xml:space="preserve">ASC_exportar_computo</t>
  </si>
  <si>
    <t xml:space="preserve">Exportar Cómputo</t>
  </si>
  <si>
    <t xml:space="preserve">ASC_la_nube_continental</t>
  </si>
  <si>
    <t xml:space="preserve">La Nube Continental</t>
  </si>
  <si>
    <t xml:space="preserve">ASC_computo +8</t>
  </si>
  <si>
    <t xml:space="preserve">ASC_la_economia_de_la_atencion</t>
  </si>
  <si>
    <t xml:space="preserve">La Economía de la Atención</t>
  </si>
  <si>
    <t xml:space="preserve">ASC_los_derivados_de_computo</t>
  </si>
  <si>
    <t xml:space="preserve">Los Derivados de Cómputo</t>
  </si>
  <si>
    <t xml:space="preserve">ASC_computo +10, ASC_calor +10</t>
  </si>
  <si>
    <t xml:space="preserve">ASC_el_mercado_total_de_datos</t>
  </si>
  <si>
    <t xml:space="preserve">El Mercado Total de Datos</t>
  </si>
  <si>
    <t xml:space="preserve">ASC_mercado_de_computo -&gt; ASC_mercado_total</t>
  </si>
  <si>
    <t xml:space="preserve">ASC_lineas_sin_operarios</t>
  </si>
  <si>
    <t xml:space="preserve">Líneas sin Operarios</t>
  </si>
  <si>
    <t xml:space="preserve">- ASC_cuello_de_botella</t>
  </si>
  <si>
    <t xml:space="preserve">ASC_reciclaje_total</t>
  </si>
  <si>
    <t xml:space="preserve">Reciclaje Total</t>
  </si>
  <si>
    <t xml:space="preserve">ASC_el_ruhr_automatizado</t>
  </si>
  <si>
    <t xml:space="preserve">El Ruhr Automatizado</t>
  </si>
  <si>
    <t xml:space="preserve">ASC_robotica_de_ensamble</t>
  </si>
  <si>
    <t xml:space="preserve">Robótica de Ensamble</t>
  </si>
  <si>
    <t xml:space="preserve">ASC_fabricas_a_oscuras</t>
  </si>
  <si>
    <t xml:space="preserve">ASC_astilleros_del_baltico</t>
  </si>
  <si>
    <t xml:space="preserve">Los Astilleros del Báltico</t>
  </si>
  <si>
    <t xml:space="preserve">ASC_supercomputadora_de_planificacion</t>
  </si>
  <si>
    <t xml:space="preserve">La Supercomputadora de Planificación</t>
  </si>
  <si>
    <t xml:space="preserve">ASC_drones_de_infanteria</t>
  </si>
  <si>
    <t xml:space="preserve">Drones de Infantería</t>
  </si>
  <si>
    <t xml:space="preserve">- ASC_frente_agotado</t>
  </si>
  <si>
    <t xml:space="preserve">ASC_columnas_autonomas</t>
  </si>
  <si>
    <t xml:space="preserve">Columnas Autónomas</t>
  </si>
  <si>
    <t xml:space="preserve">ASC_mando_por_red</t>
  </si>
  <si>
    <t xml:space="preserve">Mando por Red</t>
  </si>
  <si>
    <t xml:space="preserve">ASC_mantenimiento_predictivo</t>
  </si>
  <si>
    <t xml:space="preserve">Mantenimiento Predictivo</t>
  </si>
  <si>
    <t xml:space="preserve">ASC_blindados_sin_tripulacion</t>
  </si>
  <si>
    <t xml:space="preserve">Blindados sin Tripulación</t>
  </si>
  <si>
    <t xml:space="preserve">ASC_doctrina_del_enjambre</t>
  </si>
  <si>
    <t xml:space="preserve">La Doctrina del Enjambre</t>
  </si>
  <si>
    <t xml:space="preserve">ASC_enjambre</t>
  </si>
  <si>
    <t xml:space="preserve">ASC_submarinos_autonomos</t>
  </si>
  <si>
    <t xml:space="preserve">Submarinos Autónomos</t>
  </si>
  <si>
    <t xml:space="preserve">ASC_patrulla_del_baltico</t>
  </si>
  <si>
    <t xml:space="preserve">La Patrulla del Báltico</t>
  </si>
  <si>
    <t xml:space="preserve">ASC_enjambres_aereos</t>
  </si>
  <si>
    <t xml:space="preserve">Enjambres Aéreos</t>
  </si>
  <si>
    <t xml:space="preserve">ASC_portadrones</t>
  </si>
  <si>
    <t xml:space="preserve">Portadrones</t>
  </si>
  <si>
    <t xml:space="preserve">ASC_control_del_mar_del_norte</t>
  </si>
  <si>
    <t xml:space="preserve">Control del Mar del Norte</t>
  </si>
  <si>
    <t xml:space="preserve">ASC_flota_del_norte</t>
  </si>
  <si>
    <t xml:space="preserve">ASC_radar_continental</t>
  </si>
  <si>
    <t xml:space="preserve">El Radar Continental</t>
  </si>
  <si>
    <t xml:space="preserve">ASC_datacenter_de_brandeburgo</t>
  </si>
  <si>
    <t xml:space="preserve">El Datacenter de Brandeburgo</t>
  </si>
  <si>
    <t xml:space="preserve">ASC_enfriamiento_del_rin</t>
  </si>
  <si>
    <t xml:space="preserve">Enfriamiento del Rin</t>
  </si>
  <si>
    <t xml:space="preserve">- ASC_red_sobrecargada</t>
  </si>
  <si>
    <t xml:space="preserve">ASC_red_de_fibra_baltica</t>
  </si>
  <si>
    <t xml:space="preserve">La Red de Fibra Báltica</t>
  </si>
  <si>
    <t xml:space="preserve">ASC_datacenters_de_albion</t>
  </si>
  <si>
    <t xml:space="preserve">Los Datacenters de Albión</t>
  </si>
  <si>
    <t xml:space="preserve">ASC_algoritmos_de_reparto</t>
  </si>
  <si>
    <t xml:space="preserve">Algoritmos de Reparto</t>
  </si>
  <si>
    <t xml:space="preserve">ASC_reserva_de_computo</t>
  </si>
  <si>
    <t xml:space="preserve">La Reserva de Cómputo</t>
  </si>
  <si>
    <t xml:space="preserve">ASC_sobrecarga_controlada</t>
  </si>
  <si>
    <t xml:space="preserve">Sobrecarga Controlada</t>
  </si>
  <si>
    <t xml:space="preserve">ASC_la_mente_de_la_comuna</t>
  </si>
  <si>
    <t xml:space="preserve">La Mente de la Comuna</t>
  </si>
  <si>
    <t xml:space="preserve">ASC_computo +20</t>
  </si>
  <si>
    <t xml:space="preserve">ASC_torres_de_enfriamiento</t>
  </si>
  <si>
    <t xml:space="preserve">Torres de Enfriamiento</t>
  </si>
  <si>
    <t xml:space="preserve">ASC_calor -20</t>
  </si>
  <si>
    <t xml:space="preserve">ASC_el_computo_distribuido</t>
  </si>
  <si>
    <t xml:space="preserve">El Cómputo Distribuido</t>
  </si>
  <si>
    <t xml:space="preserve">ASC_espiritu_computo_distribuido</t>
  </si>
  <si>
    <t xml:space="preserve">ASC_datacenters_submarinos</t>
  </si>
  <si>
    <t xml:space="preserve">Centros de Datos Submarinos</t>
  </si>
  <si>
    <t xml:space="preserve">ASC_computo +10, ASC_calor -10</t>
  </si>
  <si>
    <t xml:space="preserve">ASC_la_red_fria</t>
  </si>
  <si>
    <t xml:space="preserve">La Red Fría</t>
  </si>
  <si>
    <t xml:space="preserve">ASC_espiritu_red_fria</t>
  </si>
  <si>
    <t xml:space="preserve">ASC_computo_para_la_tierra</t>
  </si>
  <si>
    <t xml:space="preserve">Cómputo para la Tierra</t>
  </si>
  <si>
    <t xml:space="preserve">ASC_la_mente_colectiva</t>
  </si>
  <si>
    <t xml:space="preserve">La Mente Colectiva</t>
  </si>
  <si>
    <t xml:space="preserve">ASC_espiritu_mente_colectiva</t>
  </si>
  <si>
    <t xml:space="preserve">FCU_ano_fiscal</t>
  </si>
  <si>
    <t xml:space="preserve">El Año Fiscal 2100</t>
  </si>
  <si>
    <t xml:space="preserve">FCU_junta_anual</t>
  </si>
  <si>
    <t xml:space="preserve">La Junta Anual de Accionistas</t>
  </si>
  <si>
    <t xml:space="preserve">FCU_segundo_mandato</t>
  </si>
  <si>
    <t xml:space="preserve">El Segundo Mandato de Castellane</t>
  </si>
  <si>
    <t xml:space="preserve">- FCU_accionistas_nerviosos</t>
  </si>
  <si>
    <t xml:space="preserve">FCU_junta_de_emergencia</t>
  </si>
  <si>
    <t xml:space="preserve">FCU_reparto_de_carteras</t>
  </si>
  <si>
    <t xml:space="preserve">El Reparto de Carteras</t>
  </si>
  <si>
    <t xml:space="preserve">FCU_carteras_repartidas</t>
  </si>
  <si>
    <t xml:space="preserve">FCU_comida_para_todos</t>
  </si>
  <si>
    <t xml:space="preserve">Halvorsen-Ito: Comida para Todos</t>
  </si>
  <si>
    <t xml:space="preserve">FCU_halvorsen +10</t>
  </si>
  <si>
    <t xml:space="preserve">FCU_el_libro_mayor</t>
  </si>
  <si>
    <t xml:space="preserve">Obsidian Ledger: El Libro Mayor</t>
  </si>
  <si>
    <t xml:space="preserve">FCU_obsidian +10</t>
  </si>
  <si>
    <t xml:space="preserve">FCU_contratos_de_defensa</t>
  </si>
  <si>
    <t xml:space="preserve">Meridian Kinetics: Contratos de Defensa</t>
  </si>
  <si>
    <t xml:space="preserve">FCU_meridian +10</t>
  </si>
  <si>
    <t xml:space="preserve">FCU_grifos_de_la_union</t>
  </si>
  <si>
    <t xml:space="preserve">Castellane: Los Grifos de la Unión</t>
  </si>
  <si>
    <t xml:space="preserve">FCU_castellane +10</t>
  </si>
  <si>
    <t xml:space="preserve">FCU_la_mesa_redonda</t>
  </si>
  <si>
    <t xml:space="preserve">La Mesa Redonda</t>
  </si>
  <si>
    <t xml:space="preserve">FCU_mesa_redonda</t>
  </si>
  <si>
    <t xml:space="preserve">FCU_grifos_cerrados_al_sur</t>
  </si>
  <si>
    <t xml:space="preserve">Cerrar los Grifos del Sur</t>
  </si>
  <si>
    <t xml:space="preserve">FCU_castellane +5</t>
  </si>
  <si>
    <t xml:space="preserve">FCU_adquisicion_del_sur</t>
  </si>
  <si>
    <t xml:space="preserve">La Adquisición del Sur</t>
  </si>
  <si>
    <t xml:space="preserve">Junta de Accionistas de Emergencia</t>
  </si>
  <si>
    <t xml:space="preserve">FCU_turbulencia_bursatil (temporal), - FCU_sinergia_del_directorio, - FCU_guerra_corporativa, - FCU_accionistas_nerviosos</t>
  </si>
  <si>
    <t xml:space="preserve">FCU_absorber_a_halvorsen</t>
  </si>
  <si>
    <t xml:space="preserve">Meridian Absorbe a Halvorsen-Ito</t>
  </si>
  <si>
    <t xml:space="preserve">FCU_raciones_meridian</t>
  </si>
  <si>
    <t xml:space="preserve">FCU_meridian +15</t>
  </si>
  <si>
    <t xml:space="preserve">FCU_liquidar_obsidian</t>
  </si>
  <si>
    <t xml:space="preserve">Obsidian Liquidada</t>
  </si>
  <si>
    <t xml:space="preserve">FCU_castellane_firma</t>
  </si>
  <si>
    <t xml:space="preserve">Castellane Firma</t>
  </si>
  <si>
    <t xml:space="preserve">FCU_directorio_de_las_cuatro -&gt; FCU_meridian_unica</t>
  </si>
  <si>
    <t xml:space="preserve">FCU_el_dividendo_de_guerra</t>
  </si>
  <si>
    <t xml:space="preserve">El Dividendo de Guerra</t>
  </si>
  <si>
    <t xml:space="preserve">FCU_dividendo_de_guerra</t>
  </si>
  <si>
    <t xml:space="preserve">FCU_los_contratistas_globales</t>
  </si>
  <si>
    <t xml:space="preserve">Contratistas Globales</t>
  </si>
  <si>
    <t xml:space="preserve">FCU_contratistas_globales</t>
  </si>
  <si>
    <t xml:space="preserve">FCU_adquirir_la_alta_mar</t>
  </si>
  <si>
    <t xml:space="preserve">Adquirir la Alta Mar</t>
  </si>
  <si>
    <t xml:space="preserve">FCU_la_asamblea_de_accionistas</t>
  </si>
  <si>
    <t xml:space="preserve">La Asamblea de Accionistas</t>
  </si>
  <si>
    <t xml:space="preserve">FCU_la_constitucion_corporativa</t>
  </si>
  <si>
    <t xml:space="preserve">La Constitución Corporativa</t>
  </si>
  <si>
    <t xml:space="preserve">FCU_constitucion_corporativa</t>
  </si>
  <si>
    <t xml:space="preserve">FCU_el_dividendo_de_la_nacion</t>
  </si>
  <si>
    <t xml:space="preserve">El Dividendo de la Nación</t>
  </si>
  <si>
    <t xml:space="preserve">FCU_el_destino_manifiesto</t>
  </si>
  <si>
    <t xml:space="preserve">El Destino Manifiesto</t>
  </si>
  <si>
    <t xml:space="preserve">FCU_consejo_economico</t>
  </si>
  <si>
    <t xml:space="preserve">FCU_el_dividendo</t>
  </si>
  <si>
    <t xml:space="preserve">El Dividendo</t>
  </si>
  <si>
    <t xml:space="preserve">FCU_dividendo_civil</t>
  </si>
  <si>
    <t xml:space="preserve">FCU_halvorsen +5</t>
  </si>
  <si>
    <t xml:space="preserve">FCU_monopolio_del_agua</t>
  </si>
  <si>
    <t xml:space="preserve">FCU_zonas_francas</t>
  </si>
  <si>
    <t xml:space="preserve">Zonas Francas</t>
  </si>
  <si>
    <t xml:space="preserve">FCU_consumo_de_masas</t>
  </si>
  <si>
    <t xml:space="preserve">Consumo de Masas</t>
  </si>
  <si>
    <t xml:space="preserve">FCU_abrir_la_exportacion</t>
  </si>
  <si>
    <t xml:space="preserve">El Mercado de Exportación</t>
  </si>
  <si>
    <t xml:space="preserve">FCU_mercado_de_exportacion</t>
  </si>
  <si>
    <t xml:space="preserve">FCU_obsidian +5</t>
  </si>
  <si>
    <t xml:space="preserve">FCU_hacia_la_abundancia</t>
  </si>
  <si>
    <t xml:space="preserve">La Economía de la Abundancia</t>
  </si>
  <si>
    <t xml:space="preserve">FCU_dividendo_civil -&gt; FCU_economia_de_la_abundancia</t>
  </si>
  <si>
    <t xml:space="preserve">FCU_la_clase_accionista</t>
  </si>
  <si>
    <t xml:space="preserve">La Clase Accionista</t>
  </si>
  <si>
    <t xml:space="preserve">FCU_el_sueno_corporativo</t>
  </si>
  <si>
    <t xml:space="preserve">El Sueño Corporativo</t>
  </si>
  <si>
    <t xml:space="preserve">FCU_economia_de_la_abundancia -&gt; FCU_sueno_corporativo</t>
  </si>
  <si>
    <t xml:space="preserve">El Monopolio del Agua</t>
  </si>
  <si>
    <t xml:space="preserve">FCU_monopolio_hidrico</t>
  </si>
  <si>
    <t xml:space="preserve">FCU_desalinizadoras_del_golfo</t>
  </si>
  <si>
    <t xml:space="preserve">Las Desalinizadoras del Golfo</t>
  </si>
  <si>
    <t xml:space="preserve">FCU_grifos_cerrados</t>
  </si>
  <si>
    <t xml:space="preserve">Grifos Cerrados</t>
  </si>
  <si>
    <t xml:space="preserve">FCU_el_agua_es_poder</t>
  </si>
  <si>
    <t xml:space="preserve">El Agua es Poder</t>
  </si>
  <si>
    <t xml:space="preserve">FCU_el_imperio_del_agua</t>
  </si>
  <si>
    <t xml:space="preserve">El Imperio del Agua</t>
  </si>
  <si>
    <t xml:space="preserve">FCU_monopolio_hidrico -&gt; FCU_imperio_del_agua</t>
  </si>
  <si>
    <t xml:space="preserve">FCU_las_acciones_del_rio</t>
  </si>
  <si>
    <t xml:space="preserve">Las Acciones del Río</t>
  </si>
  <si>
    <t xml:space="preserve">FCU_el_cartel_del_agua</t>
  </si>
  <si>
    <t xml:space="preserve">El Cártel del Agua</t>
  </si>
  <si>
    <t xml:space="preserve">FCU_imperio_del_agua -&gt; FCU_cartel_del_agua</t>
  </si>
  <si>
    <t xml:space="preserve">FCU_zonas_industriales</t>
  </si>
  <si>
    <t xml:space="preserve">Zonas Industriales</t>
  </si>
  <si>
    <t xml:space="preserve">- FCU_infraestructura_oxidada</t>
  </si>
  <si>
    <t xml:space="preserve">FCU_parque_de_pittsburgh</t>
  </si>
  <si>
    <t xml:space="preserve">El Parque de Pittsburgh</t>
  </si>
  <si>
    <t xml:space="preserve">FCU_meridian +5</t>
  </si>
  <si>
    <t xml:space="preserve">FCU_robotica_meridian</t>
  </si>
  <si>
    <t xml:space="preserve">Robótica Meridian</t>
  </si>
  <si>
    <t xml:space="preserve">FCU_robotica_industrial</t>
  </si>
  <si>
    <t xml:space="preserve">FCU_logistica_obsidian</t>
  </si>
  <si>
    <t xml:space="preserve">Logística Obsidian</t>
  </si>
  <si>
    <t xml:space="preserve">FCU_astilleros_de_los_lagos</t>
  </si>
  <si>
    <t xml:space="preserve">Los Astilleros de los Lagos</t>
  </si>
  <si>
    <t xml:space="preserve">FCU_laboratorios_privados</t>
  </si>
  <si>
    <t xml:space="preserve">Laboratorios Privados</t>
  </si>
  <si>
    <t xml:space="preserve">FCU_fuerza_contratada</t>
  </si>
  <si>
    <t xml:space="preserve">La Fuerza Contratada</t>
  </si>
  <si>
    <t xml:space="preserve">FCU_el_entrenamiento_corporativo</t>
  </si>
  <si>
    <t xml:space="preserve">Entrenamiento Corporativo</t>
  </si>
  <si>
    <t xml:space="preserve">FCU_entrenamiento_corporativo, - FCU_ejercito_contratista</t>
  </si>
  <si>
    <t xml:space="preserve">FCU_equipo_de_primera</t>
  </si>
  <si>
    <t xml:space="preserve">Equipo de Primera</t>
  </si>
  <si>
    <t xml:space="preserve">FCU_seguro_de_vida</t>
  </si>
  <si>
    <t xml:space="preserve">Seguro de Vida</t>
  </si>
  <si>
    <t xml:space="preserve">FCU_divisiones_de_respuesta</t>
  </si>
  <si>
    <t xml:space="preserve">Divisiones de Respuesta Rápida</t>
  </si>
  <si>
    <t xml:space="preserve">FCU_respuesta_rapida</t>
  </si>
  <si>
    <t xml:space="preserve">FCU_el_comandante_contratado</t>
  </si>
  <si>
    <t xml:space="preserve">El Comandante Contratado</t>
  </si>
  <si>
    <t xml:space="preserve">FCU_flota_del_atlantico</t>
  </si>
  <si>
    <t xml:space="preserve">La Flota del Atlántico</t>
  </si>
  <si>
    <t xml:space="preserve">FCU_flota_del_pacifico</t>
  </si>
  <si>
    <t xml:space="preserve">La Flota del Pacífico</t>
  </si>
  <si>
    <t xml:space="preserve">FCU_escoltas_de_convoy</t>
  </si>
  <si>
    <t xml:space="preserve">Escoltas de Convoy</t>
  </si>
  <si>
    <t xml:space="preserve">FCU_superioridad_aerea</t>
  </si>
  <si>
    <t xml:space="preserve">Superioridad Aérea</t>
  </si>
  <si>
    <t xml:space="preserve">FCU_portaaviones_corporativos</t>
  </si>
  <si>
    <t xml:space="preserve">Portaaviones Corporativos</t>
  </si>
  <si>
    <t xml:space="preserve">FCU_el_canal_asegurado</t>
  </si>
  <si>
    <t xml:space="preserve">El Canal Asegurado</t>
  </si>
  <si>
    <t xml:space="preserve">FCU_dos_oceanos</t>
  </si>
  <si>
    <t xml:space="preserve">FCU_el_tablero</t>
  </si>
  <si>
    <t xml:space="preserve">La Sala del Directorio</t>
  </si>
  <si>
    <t xml:space="preserve">FCU_arbitraje</t>
  </si>
  <si>
    <t xml:space="preserve">Arbitraje Corporativo</t>
  </si>
  <si>
    <t xml:space="preserve">FCU_arbitraje_corporativo</t>
  </si>
  <si>
    <t xml:space="preserve">FCU_presupuesto_civil</t>
  </si>
  <si>
    <t xml:space="preserve">El Presupuesto Civil</t>
  </si>
  <si>
    <t xml:space="preserve">FCU_castellane +5, FCU_halvorsen +5, FCU_meridian -5</t>
  </si>
  <si>
    <t xml:space="preserve">FCU_presupuesto_militar</t>
  </si>
  <si>
    <t xml:space="preserve">El Presupuesto Militar</t>
  </si>
  <si>
    <t xml:space="preserve">FCU_meridian +10, FCU_obsidian -5</t>
  </si>
  <si>
    <t xml:space="preserve">FCU_bonos_del_directorio</t>
  </si>
  <si>
    <t xml:space="preserve">Bonos del Directorio</t>
  </si>
  <si>
    <t xml:space="preserve">FCU_el_punto_de_equilibrio</t>
  </si>
  <si>
    <t xml:space="preserve">El Punto de Equilibrio</t>
  </si>
  <si>
    <t xml:space="preserve">FCU_punto_de_equilibrio</t>
  </si>
  <si>
    <t xml:space="preserve">FCU_oficina_de_cumplimiento</t>
  </si>
  <si>
    <t xml:space="preserve">Oficina de Cumplimiento</t>
  </si>
  <si>
    <t xml:space="preserve">FCU_escandalo -20</t>
  </si>
  <si>
    <t xml:space="preserve">FCU_la_prensa_amiga</t>
  </si>
  <si>
    <t xml:space="preserve">La Prensa Amiga</t>
  </si>
  <si>
    <t xml:space="preserve">FCU_espiritu_prensa_amiga</t>
  </si>
  <si>
    <t xml:space="preserve">FCU_el_fondo_de_estabilizacion</t>
  </si>
  <si>
    <t xml:space="preserve">El Fondo de Estabilización</t>
  </si>
  <si>
    <t xml:space="preserve">FCU_la_junta_de_accionistas</t>
  </si>
  <si>
    <t xml:space="preserve">La Junta de Accionistas</t>
  </si>
  <si>
    <t xml:space="preserve">FCU_espiritu_junta_de_accionistas</t>
  </si>
  <si>
    <t xml:space="preserve">FCU_el_contrato_del_siglo</t>
  </si>
  <si>
    <t xml:space="preserve">El Contrato del Siglo</t>
  </si>
  <si>
    <t xml:space="preserve">FCU_escandalo +15</t>
  </si>
  <si>
    <t xml:space="preserve">FCU_la_union_de_accionistas</t>
  </si>
  <si>
    <t xml:space="preserve">La Unión de Accionistas</t>
  </si>
  <si>
    <t xml:space="preserve">HSN_el_libro_de_fletes_2100</t>
  </si>
  <si>
    <t xml:space="preserve">El Libro de Fletes de 2100</t>
  </si>
  <si>
    <t xml:space="preserve">HSN_la_junta_de_capitanes</t>
  </si>
  <si>
    <t xml:space="preserve">La Junta de Capitanes</t>
  </si>
  <si>
    <t xml:space="preserve">- HSN_capitanes_rivales</t>
  </si>
  <si>
    <t xml:space="preserve">HSN_el_libro_de_fletes</t>
  </si>
  <si>
    <t xml:space="preserve">El Libro de Fletes</t>
  </si>
  <si>
    <t xml:space="preserve">HSN_el_motin_de_kanto</t>
  </si>
  <si>
    <t xml:space="preserve">HSN_neutralidad_armada</t>
  </si>
  <si>
    <t xml:space="preserve">Neutralidad Armada</t>
  </si>
  <si>
    <t xml:space="preserve">HSN_espiritu_neutralidad_armada</t>
  </si>
  <si>
    <t xml:space="preserve">HSN_seguros_maritimos</t>
  </si>
  <si>
    <t xml:space="preserve">Seguros Marítimos</t>
  </si>
  <si>
    <t xml:space="preserve">HSN_arbitraje_de_alta_mar</t>
  </si>
  <si>
    <t xml:space="preserve">El Arbitraje de Alta Mar</t>
  </si>
  <si>
    <t xml:space="preserve">HSN_arbitraje</t>
  </si>
  <si>
    <t xml:space="preserve">HSN_puertos_francos_del_pacifico</t>
  </si>
  <si>
    <t xml:space="preserve">Los Puertos Francos del Pacífico</t>
  </si>
  <si>
    <t xml:space="preserve">HSN_el_tratado_de_los_estrechos</t>
  </si>
  <si>
    <t xml:space="preserve">El Tratado de los Estrechos</t>
  </si>
  <si>
    <t xml:space="preserve">HSN_tratado_estrechos</t>
  </si>
  <si>
    <t xml:space="preserve">HSN_bloqueo_legal</t>
  </si>
  <si>
    <t xml:space="preserve">El Bloqueo Legal</t>
  </si>
  <si>
    <t xml:space="preserve">El Motín de Kanto</t>
  </si>
  <si>
    <t xml:space="preserve">HSN_capitanes_electos</t>
  </si>
  <si>
    <t xml:space="preserve">Capitanes Electos</t>
  </si>
  <si>
    <t xml:space="preserve">HSN_espiritu_capitanes_electos</t>
  </si>
  <si>
    <t xml:space="preserve">HSN_patentes_de_corso</t>
  </si>
  <si>
    <t xml:space="preserve">Patentes de Corso</t>
  </si>
  <si>
    <t xml:space="preserve">HSN_botin_compartido</t>
  </si>
  <si>
    <t xml:space="preserve">Botín Compartido</t>
  </si>
  <si>
    <t xml:space="preserve">HSN_botin +10</t>
  </si>
  <si>
    <t xml:space="preserve">HSN_la_flota_libre</t>
  </si>
  <si>
    <t xml:space="preserve">La Flota Libre</t>
  </si>
  <si>
    <t xml:space="preserve">HSN_la_hermandad_de_la_cubierta</t>
  </si>
  <si>
    <t xml:space="preserve">La Hermandad de la Cubierta</t>
  </si>
  <si>
    <t xml:space="preserve">HSN_hermandad</t>
  </si>
  <si>
    <t xml:space="preserve">HSN_abordaje_del_mundo</t>
  </si>
  <si>
    <t xml:space="preserve">Abordaje del Mundo</t>
  </si>
  <si>
    <t xml:space="preserve">HSN_el_almirantazgo_mercante</t>
  </si>
  <si>
    <t xml:space="preserve">El Almirantazgo Mercante</t>
  </si>
  <si>
    <t xml:space="preserve">HSN_la_carta_de_los_puertos</t>
  </si>
  <si>
    <t xml:space="preserve">La Carta de los Puertos</t>
  </si>
  <si>
    <t xml:space="preserve">HSN_carta_de_los_puertos</t>
  </si>
  <si>
    <t xml:space="preserve">HSN_la_ley_del_mar</t>
  </si>
  <si>
    <t xml:space="preserve">La Ley del Mar</t>
  </si>
  <si>
    <t xml:space="preserve">HSN_el_destino_de_los_mares</t>
  </si>
  <si>
    <t xml:space="preserve">El Destino de los Mares</t>
  </si>
  <si>
    <t xml:space="preserve">HSN_el_consejo_mercantil</t>
  </si>
  <si>
    <t xml:space="preserve">El Consejo Mercantil</t>
  </si>
  <si>
    <t xml:space="preserve">HSN_el_puerto_libre</t>
  </si>
  <si>
    <t xml:space="preserve">El Puerto Libre</t>
  </si>
  <si>
    <t xml:space="preserve">HSN_puerto_libre</t>
  </si>
  <si>
    <t xml:space="preserve">HSN_el_peaje_de_los_estrechos</t>
  </si>
  <si>
    <t xml:space="preserve">HSN_zonas_de_transbordo</t>
  </si>
  <si>
    <t xml:space="preserve">Zonas de Transbordo</t>
  </si>
  <si>
    <t xml:space="preserve">HSN_la_bolsa_de_fletes</t>
  </si>
  <si>
    <t xml:space="preserve">La Bolsa de Fletes</t>
  </si>
  <si>
    <t xml:space="preserve">HSN_el_mercado_del_pacifico</t>
  </si>
  <si>
    <t xml:space="preserve">El Mercado del Pacífico</t>
  </si>
  <si>
    <t xml:space="preserve">HSN_el_puerto_de_los_mil_barcos</t>
  </si>
  <si>
    <t xml:space="preserve">El Puerto de los Mil Barcos</t>
  </si>
  <si>
    <t xml:space="preserve">HSN_la_bolsa_del_mundo</t>
  </si>
  <si>
    <t xml:space="preserve">La Bolsa del Mundo</t>
  </si>
  <si>
    <t xml:space="preserve">HSN_puerto_libre -&gt; HSN_bolsa_del_mundo</t>
  </si>
  <si>
    <t xml:space="preserve">El Peaje de los Estrechos</t>
  </si>
  <si>
    <t xml:space="preserve">HSN_peaje_estrechos</t>
  </si>
  <si>
    <t xml:space="preserve">HSN_aduanas_flotantes</t>
  </si>
  <si>
    <t xml:space="preserve">Aduanas Flotantes</t>
  </si>
  <si>
    <t xml:space="preserve">HSN_el_arancel_de_guerra</t>
  </si>
  <si>
    <t xml:space="preserve">El Arancel de Guerra</t>
  </si>
  <si>
    <t xml:space="preserve">HSN_los_estrechos_cerrados</t>
  </si>
  <si>
    <t xml:space="preserve">Los Estrechos Cerrados</t>
  </si>
  <si>
    <t xml:space="preserve">HSN_la_flota_aduanera</t>
  </si>
  <si>
    <t xml:space="preserve">La Flota Aduanera</t>
  </si>
  <si>
    <t xml:space="preserve">HSN_el_imperio_del_peaje</t>
  </si>
  <si>
    <t xml:space="preserve">El Imperio del Peaje</t>
  </si>
  <si>
    <t xml:space="preserve">HSN_peaje_estrechos -&gt; HSN_imperio_del_peaje</t>
  </si>
  <si>
    <t xml:space="preserve">HSN_astilleros_flotantes</t>
  </si>
  <si>
    <t xml:space="preserve">Astilleros Flotantes</t>
  </si>
  <si>
    <t xml:space="preserve">- HSN_flota_envejecida</t>
  </si>
  <si>
    <t xml:space="preserve">HSN_diques_de_kanto</t>
  </si>
  <si>
    <t xml:space="preserve">Los Diques de Kanto</t>
  </si>
  <si>
    <t xml:space="preserve">HSN_refinerias_de_borneo</t>
  </si>
  <si>
    <t xml:space="preserve">Las Refinerías de Borneo</t>
  </si>
  <si>
    <t xml:space="preserve">HSN_puertos_de_aguas_profundas</t>
  </si>
  <si>
    <t xml:space="preserve">Puertos de Aguas Profundas</t>
  </si>
  <si>
    <t xml:space="preserve">HSN_ciudades_flotantes</t>
  </si>
  <si>
    <t xml:space="preserve">Ciudades Flotantes</t>
  </si>
  <si>
    <t xml:space="preserve">HSN_espiritu_ciudades_flotantes</t>
  </si>
  <si>
    <t xml:space="preserve">HSN_la_oficina_de_patentes_navales</t>
  </si>
  <si>
    <t xml:space="preserve">La Oficina de Patentes Navales</t>
  </si>
  <si>
    <t xml:space="preserve">HSN_marines_de_alta_mar</t>
  </si>
  <si>
    <t xml:space="preserve">Marines de Alta Mar</t>
  </si>
  <si>
    <t xml:space="preserve">HSN_doctrina_de_desembarco</t>
  </si>
  <si>
    <t xml:space="preserve">Doctrina de Desembarco</t>
  </si>
  <si>
    <t xml:space="preserve">HSN_asalto_anfibio</t>
  </si>
  <si>
    <t xml:space="preserve">Asalto Anfibio</t>
  </si>
  <si>
    <t xml:space="preserve">HSN_guarniciones_de_isla</t>
  </si>
  <si>
    <t xml:space="preserve">Guarniciones de Isla</t>
  </si>
  <si>
    <t xml:space="preserve">HSN_fuerzas_de_muelle</t>
  </si>
  <si>
    <t xml:space="preserve">Fuerzas de Muelle</t>
  </si>
  <si>
    <t xml:space="preserve">HSN_infanteria_de_cubierta</t>
  </si>
  <si>
    <t xml:space="preserve">HSN_el_almirante_de_tierra</t>
  </si>
  <si>
    <t xml:space="preserve">El Almirante de Tierra</t>
  </si>
  <si>
    <t xml:space="preserve">HSN_escoltas_de_convoy</t>
  </si>
  <si>
    <t xml:space="preserve">HSN_aviacion_naval</t>
  </si>
  <si>
    <t xml:space="preserve">Aviación Naval</t>
  </si>
  <si>
    <t xml:space="preserve">HSN_cazadores_de_submarinos</t>
  </si>
  <si>
    <t xml:space="preserve">Cazadores de Submarinos</t>
  </si>
  <si>
    <t xml:space="preserve">HSN_grupos_de_portaaviones</t>
  </si>
  <si>
    <t xml:space="preserve">Grupos de Portaaviones</t>
  </si>
  <si>
    <t xml:space="preserve">HSN_la_armada_de_alta_mar</t>
  </si>
  <si>
    <t xml:space="preserve">La Armada de Alta Mar</t>
  </si>
  <si>
    <t xml:space="preserve">HSN_armada_de_alta_mar</t>
  </si>
  <si>
    <t xml:space="preserve">HSN_dominio_de_las_rutas</t>
  </si>
  <si>
    <t xml:space="preserve">Dominio de las Rutas</t>
  </si>
  <si>
    <t xml:space="preserve">HSN_malaca</t>
  </si>
  <si>
    <t xml:space="preserve">Nodo: Malaca</t>
  </si>
  <si>
    <t xml:space="preserve">HSN_presion -5</t>
  </si>
  <si>
    <t xml:space="preserve">HSN_nodo_sunda</t>
  </si>
  <si>
    <t xml:space="preserve">Nodo: Sunda</t>
  </si>
  <si>
    <t xml:space="preserve">HSN_nodo_manila</t>
  </si>
  <si>
    <t xml:space="preserve">Nodo: Manila</t>
  </si>
  <si>
    <t xml:space="preserve">HSN_nodo_taiwan</t>
  </si>
  <si>
    <t xml:space="preserve">Nodo: Taiwán</t>
  </si>
  <si>
    <t xml:space="preserve">HSN_nodo_hong_kong</t>
  </si>
  <si>
    <t xml:space="preserve">Nodo: Hong Kong</t>
  </si>
  <si>
    <t xml:space="preserve">HSN_nodo_okinawa</t>
  </si>
  <si>
    <t xml:space="preserve">Nodo: Okinawa</t>
  </si>
  <si>
    <t xml:space="preserve">HSN_la_red_de_alta_mar</t>
  </si>
  <si>
    <t xml:space="preserve">La Red de Alta Mar</t>
  </si>
  <si>
    <t xml:space="preserve">HSN_consulados_navales</t>
  </si>
  <si>
    <t xml:space="preserve">Consulados Navales</t>
  </si>
  <si>
    <t xml:space="preserve">HSN_presion -15</t>
  </si>
  <si>
    <t xml:space="preserve">HSN_seguros_para_las_potencias</t>
  </si>
  <si>
    <t xml:space="preserve">Seguros para las Potencias</t>
  </si>
  <si>
    <t xml:space="preserve">HSN_espiritu_seguros_potencias</t>
  </si>
  <si>
    <t xml:space="preserve">HSN_la_flota_de_escolta</t>
  </si>
  <si>
    <t xml:space="preserve">La Flota de Escolta</t>
  </si>
  <si>
    <t xml:space="preserve">HSN_el_tratado_de_libre_paso</t>
  </si>
  <si>
    <t xml:space="preserve">El Tratado de Libre Paso</t>
  </si>
  <si>
    <t xml:space="preserve">HSN_espiritu_libre_paso</t>
  </si>
  <si>
    <t xml:space="preserve">HSN_presion -20</t>
  </si>
  <si>
    <t xml:space="preserve">HSN_el_arbitro_de_los_mares</t>
  </si>
  <si>
    <t xml:space="preserve">El Árbitro de los Mares</t>
  </si>
  <si>
    <t xml:space="preserve">HSN_la_talasocracia</t>
  </si>
  <si>
    <t xml:space="preserve">La Talasocracia</t>
  </si>
  <si>
    <t xml:space="preserve">HSN_espiritu_talasocracia</t>
  </si>
  <si>
    <t xml:space="preserve">NAS_el_sol_de_2100</t>
  </si>
  <si>
    <t xml:space="preserve">El Sol de 2100</t>
  </si>
  <si>
    <t xml:space="preserve">NAS_el_consejo_de_cusco</t>
  </si>
  <si>
    <t xml:space="preserve">El Consejo de Cusco</t>
  </si>
  <si>
    <t xml:space="preserve">NAS_la_coronacion_renovada</t>
  </si>
  <si>
    <t xml:space="preserve">La Coronación Renovada</t>
  </si>
  <si>
    <t xml:space="preserve">NAS_el_inca_rompe_el_silencio</t>
  </si>
  <si>
    <t xml:space="preserve">NAS_los_sacerdotes_del_sol</t>
  </si>
  <si>
    <t xml:space="preserve">Los Sacerdotes del Sol</t>
  </si>
  <si>
    <t xml:space="preserve">NAS_sacerdotes</t>
  </si>
  <si>
    <t xml:space="preserve">NAS_fortalezas_de_la_puna</t>
  </si>
  <si>
    <t xml:space="preserve">Fortalezas de la Puna</t>
  </si>
  <si>
    <t xml:space="preserve">NAS_fortalezas_puna</t>
  </si>
  <si>
    <t xml:space="preserve">NAS_nueva_granada_leal</t>
  </si>
  <si>
    <t xml:space="preserve">Nueva Granada Leal</t>
  </si>
  <si>
    <t xml:space="preserve">NAS_los_llanos_tributarios</t>
  </si>
  <si>
    <t xml:space="preserve">Los Llanos Tributarios</t>
  </si>
  <si>
    <t xml:space="preserve">NAS_el_invierno_nunca_mas</t>
  </si>
  <si>
    <t xml:space="preserve">El Invierno Nunca Más</t>
  </si>
  <si>
    <t xml:space="preserve">NAS_invierno_nunca_mas</t>
  </si>
  <si>
    <t xml:space="preserve">NAS_el_sol_contra_el_directorio</t>
  </si>
  <si>
    <t xml:space="preserve">El Pacto del Mandato</t>
  </si>
  <si>
    <t xml:space="preserve">NAS_el_trono_del_sol</t>
  </si>
  <si>
    <t xml:space="preserve">El Trono del Sol</t>
  </si>
  <si>
    <t xml:space="preserve">NAS_sacerdotes -&gt; NAS_trono_del_sol</t>
  </si>
  <si>
    <t xml:space="preserve">El Inca Rompe el Silencio</t>
  </si>
  <si>
    <t xml:space="preserve">NAS_el_qhapaq_nan</t>
  </si>
  <si>
    <t xml:space="preserve">El Qhapaq Ñan</t>
  </si>
  <si>
    <t xml:space="preserve">- NAS_montanas_aisladas</t>
  </si>
  <si>
    <t xml:space="preserve">NAS_mita_de_guerra</t>
  </si>
  <si>
    <t xml:space="preserve">Mit'a de Guerra</t>
  </si>
  <si>
    <t xml:space="preserve">NAS_espiritu_mita_de_guerra</t>
  </si>
  <si>
    <t xml:space="preserve">NAS_el_cuntisuyu</t>
  </si>
  <si>
    <t xml:space="preserve">El Cuntisuyu</t>
  </si>
  <si>
    <t xml:space="preserve">NAS_el_chinchaysuyu</t>
  </si>
  <si>
    <t xml:space="preserve">El Chinchaysuyu</t>
  </si>
  <si>
    <t xml:space="preserve">NAS_el_antisuyu</t>
  </si>
  <si>
    <t xml:space="preserve">El Antisuyu</t>
  </si>
  <si>
    <t xml:space="preserve">NAS_el_collasuyu</t>
  </si>
  <si>
    <t xml:space="preserve">El Collasuyu</t>
  </si>
  <si>
    <t xml:space="preserve">NAS_la_bajada_de_la_montana</t>
  </si>
  <si>
    <t xml:space="preserve">La Bajada de la Montaña</t>
  </si>
  <si>
    <t xml:space="preserve">NAS_el_tawantinsuyu</t>
  </si>
  <si>
    <t xml:space="preserve">Tawantinsuyu</t>
  </si>
  <si>
    <t xml:space="preserve">NAS_tawantinsuyu</t>
  </si>
  <si>
    <t xml:space="preserve">NAS_el_consejo_de_los_cuatro_suyus</t>
  </si>
  <si>
    <t xml:space="preserve">El Consejo de los Cuatro Suyus</t>
  </si>
  <si>
    <t xml:space="preserve">NAS_la_ley_del_ayni</t>
  </si>
  <si>
    <t xml:space="preserve">La Ley del Ayni</t>
  </si>
  <si>
    <t xml:space="preserve">NAS_ley_del_ayni</t>
  </si>
  <si>
    <t xml:space="preserve">NAS_el_hijo_del_sol</t>
  </si>
  <si>
    <t xml:space="preserve">El Hijo del Sol</t>
  </si>
  <si>
    <t xml:space="preserve">NAS_el_destino_del_sol</t>
  </si>
  <si>
    <t xml:space="preserve">El Destino del Sol</t>
  </si>
  <si>
    <t xml:space="preserve">NAS_el_consejo_del_campo</t>
  </si>
  <si>
    <t xml:space="preserve">El Consejo del Campo</t>
  </si>
  <si>
    <t xml:space="preserve">NAS_las_terrazas</t>
  </si>
  <si>
    <t xml:space="preserve">Las Terrazas</t>
  </si>
  <si>
    <t xml:space="preserve">NAS_terrazas</t>
  </si>
  <si>
    <t xml:space="preserve">NAS_la_mineria_del_cielo</t>
  </si>
  <si>
    <t xml:space="preserve">NAS_la_mita_del_campo</t>
  </si>
  <si>
    <t xml:space="preserve">La Mit'a del Campo</t>
  </si>
  <si>
    <t xml:space="preserve">NAS_graneros_del_altiplano</t>
  </si>
  <si>
    <t xml:space="preserve">Graneros del Altiplano</t>
  </si>
  <si>
    <t xml:space="preserve">NAS_el_reino_de_las_terrazas</t>
  </si>
  <si>
    <t xml:space="preserve">El Reino de las Terrazas</t>
  </si>
  <si>
    <t xml:space="preserve">NAS_terrazas -&gt; NAS_terrazas_2</t>
  </si>
  <si>
    <t xml:space="preserve">NAS_los_andenes_del_sol</t>
  </si>
  <si>
    <t xml:space="preserve">Los Andenes del Sol</t>
  </si>
  <si>
    <t xml:space="preserve">NAS_el_granero_del_mundo</t>
  </si>
  <si>
    <t xml:space="preserve">El Granero del Mundo</t>
  </si>
  <si>
    <t xml:space="preserve">NAS_terrazas_2 -&gt; NAS_granero</t>
  </si>
  <si>
    <t xml:space="preserve">La Minería del Cielo</t>
  </si>
  <si>
    <t xml:space="preserve">NAS_mineria</t>
  </si>
  <si>
    <t xml:space="preserve">NAS_el_salar</t>
  </si>
  <si>
    <t xml:space="preserve">El Salar</t>
  </si>
  <si>
    <t xml:space="preserve">NAS_capital_extranjero</t>
  </si>
  <si>
    <t xml:space="preserve">Capital Extranjero</t>
  </si>
  <si>
    <t xml:space="preserve">NAS_la_montana_de_plata</t>
  </si>
  <si>
    <t xml:space="preserve">La Montaña de Plata</t>
  </si>
  <si>
    <t xml:space="preserve">NAS_mineria -&gt; NAS_mineria_2</t>
  </si>
  <si>
    <t xml:space="preserve">NAS_los_socavones_profundos</t>
  </si>
  <si>
    <t xml:space="preserve">Los Socavones Profundos</t>
  </si>
  <si>
    <t xml:space="preserve">NAS_la_montana_que_devora</t>
  </si>
  <si>
    <t xml:space="preserve">La Montaña que Devora</t>
  </si>
  <si>
    <t xml:space="preserve">NAS_mineria_2 -&gt; NAS_mineria_3</t>
  </si>
  <si>
    <t xml:space="preserve">NAS_talleres_de_altura</t>
  </si>
  <si>
    <t xml:space="preserve">Talleres de Altura</t>
  </si>
  <si>
    <t xml:space="preserve">NAS_hidroelectricas_andinas</t>
  </si>
  <si>
    <t xml:space="preserve">Hidroeléctricas Andinas</t>
  </si>
  <si>
    <t xml:space="preserve">NAS_hidroelectricas</t>
  </si>
  <si>
    <t xml:space="preserve">NAS_el_polo_de_lima</t>
  </si>
  <si>
    <t xml:space="preserve">El Polo de Lima</t>
  </si>
  <si>
    <t xml:space="preserve">NAS_las_minas_de_potosi</t>
  </si>
  <si>
    <t xml:space="preserve">Las Minas de Potosí</t>
  </si>
  <si>
    <t xml:space="preserve">NAS_astilleros_del_callao</t>
  </si>
  <si>
    <t xml:space="preserve">Los Astilleros del Callao</t>
  </si>
  <si>
    <t xml:space="preserve">NAS_observatorio_del_sol</t>
  </si>
  <si>
    <t xml:space="preserve">El Observatorio del Sol</t>
  </si>
  <si>
    <t xml:space="preserve">NAS_guerreros_de_la_puna</t>
  </si>
  <si>
    <t xml:space="preserve">Guerreros de la Puna</t>
  </si>
  <si>
    <t xml:space="preserve">- NAS_ejercito_de_ceremonia</t>
  </si>
  <si>
    <t xml:space="preserve">NAS_aclimatacion</t>
  </si>
  <si>
    <t xml:space="preserve">Aclimatación</t>
  </si>
  <si>
    <t xml:space="preserve">NAS_espiritu_aclimatacion</t>
  </si>
  <si>
    <t xml:space="preserve">NAS_la_guardia_del_inca</t>
  </si>
  <si>
    <t xml:space="preserve">La Guardia del Inca</t>
  </si>
  <si>
    <t xml:space="preserve">NAS_doctrina_de_la_quebrada</t>
  </si>
  <si>
    <t xml:space="preserve">La Doctrina de la Quebrada</t>
  </si>
  <si>
    <t xml:space="preserve">NAS_montaneses_de_elite</t>
  </si>
  <si>
    <t xml:space="preserve">Montañeses de Élite</t>
  </si>
  <si>
    <t xml:space="preserve">NAS_montaneses</t>
  </si>
  <si>
    <t xml:space="preserve">NAS_el_general_del_sol</t>
  </si>
  <si>
    <t xml:space="preserve">El General del Sol</t>
  </si>
  <si>
    <t xml:space="preserve">NAS_alas_del_sol</t>
  </si>
  <si>
    <t xml:space="preserve">Alas del Sol</t>
  </si>
  <si>
    <t xml:space="preserve">NAS_aerodromos_de_altura</t>
  </si>
  <si>
    <t xml:space="preserve">Aeródromos de Altura</t>
  </si>
  <si>
    <t xml:space="preserve">NAS_cazas_del_condor</t>
  </si>
  <si>
    <t xml:space="preserve">Cazas del Cóndor</t>
  </si>
  <si>
    <t xml:space="preserve">NAS_escuela_de_ases</t>
  </si>
  <si>
    <t xml:space="preserve">NAS_transporte_de_montana</t>
  </si>
  <si>
    <t xml:space="preserve">Transporte de Montaña</t>
  </si>
  <si>
    <t xml:space="preserve">NAS_defensa_del_cielo</t>
  </si>
  <si>
    <t xml:space="preserve">Defensa del Cielo</t>
  </si>
  <si>
    <t xml:space="preserve">NAS_el_cielo_cerrado</t>
  </si>
  <si>
    <t xml:space="preserve">NAS_la_flota_del_pacifico</t>
  </si>
  <si>
    <t xml:space="preserve">NAS_granjas_del_sol</t>
  </si>
  <si>
    <t xml:space="preserve">Las Granjas del Sol</t>
  </si>
  <si>
    <t xml:space="preserve">NAS_granjas +1</t>
  </si>
  <si>
    <t xml:space="preserve">NAS_el_gran_raymi</t>
  </si>
  <si>
    <t xml:space="preserve">El Gran Raymi</t>
  </si>
  <si>
    <t xml:space="preserve">NAS_inti +25</t>
  </si>
  <si>
    <t xml:space="preserve">NAS_el_calendario_solar</t>
  </si>
  <si>
    <t xml:space="preserve">El Calendario Solar</t>
  </si>
  <si>
    <t xml:space="preserve">NAS_templos_bateria</t>
  </si>
  <si>
    <t xml:space="preserve">Templos-Batería</t>
  </si>
  <si>
    <t xml:space="preserve">NAS_inti_max +50</t>
  </si>
  <si>
    <t xml:space="preserve">NAS_la_chicha_del_sol</t>
  </si>
  <si>
    <t xml:space="preserve">La Chicha del Sol</t>
  </si>
  <si>
    <t xml:space="preserve">NAS_granjas +1, NAS_inti +15</t>
  </si>
  <si>
    <t xml:space="preserve">NAS_ofrenda_de_luz</t>
  </si>
  <si>
    <t xml:space="preserve">Ofrenda de Luz</t>
  </si>
  <si>
    <t xml:space="preserve">NAS_el_sol_eterno</t>
  </si>
  <si>
    <t xml:space="preserve">El Sol Eterno</t>
  </si>
  <si>
    <t xml:space="preserve">NAS_granjas +1, NAS_inti_max +50</t>
  </si>
  <si>
    <t xml:space="preserve">NAS_inti_nunca_se_pone</t>
  </si>
  <si>
    <t xml:space="preserve">Inti Nunca se Pone</t>
  </si>
  <si>
    <t xml:space="preserve">NAS_el_calendario_de_los_templos</t>
  </si>
  <si>
    <t xml:space="preserve">El Calendario de los Templos</t>
  </si>
  <si>
    <t xml:space="preserve">NAS_inti +20</t>
  </si>
  <si>
    <t xml:space="preserve">NAS_templos_eficientes</t>
  </si>
  <si>
    <t xml:space="preserve">Templos Eficientes</t>
  </si>
  <si>
    <t xml:space="preserve">NAS_espiritu_templos_eficientes</t>
  </si>
  <si>
    <t xml:space="preserve">NAS_nuevas_granjas_del_sol</t>
  </si>
  <si>
    <t xml:space="preserve">Nuevas Granjas del Sol</t>
  </si>
  <si>
    <t xml:space="preserve">NAS_el_observatorio_de_la_luz</t>
  </si>
  <si>
    <t xml:space="preserve">El Observatorio de la Luz</t>
  </si>
  <si>
    <t xml:space="preserve">NAS_la_fiesta_del_inti_raymi</t>
  </si>
  <si>
    <t xml:space="preserve">El Gran Inti Raymi</t>
  </si>
  <si>
    <t xml:space="preserve">NAS_inti -30</t>
  </si>
  <si>
    <t xml:space="preserve">NAS_hijos_del_sol</t>
  </si>
  <si>
    <t xml:space="preserve">Hijos del Sol</t>
  </si>
  <si>
    <t xml:space="preserve">NAS_espiritu_hijos_del_sol</t>
  </si>
  <si>
    <t xml:space="preserve">SHD_el_directorio_de_2100</t>
  </si>
  <si>
    <t xml:space="preserve">El Directorio de 2100</t>
  </si>
  <si>
    <t xml:space="preserve">SHD_la_sesion_tecnica</t>
  </si>
  <si>
    <t xml:space="preserve">La Sesión Técnica</t>
  </si>
  <si>
    <t xml:space="preserve">SHD_ajuste_tecnico_n_1</t>
  </si>
  <si>
    <t xml:space="preserve">Ajuste Técnico nº 1</t>
  </si>
  <si>
    <t xml:space="preserve">SHD_abrir_las_compuertas</t>
  </si>
  <si>
    <t xml:space="preserve">SHD_los_ingenieros_del_orden</t>
  </si>
  <si>
    <t xml:space="preserve">Los Ingenieros del Orden</t>
  </si>
  <si>
    <t xml:space="preserve">SHD_ingenieros_del_orden</t>
  </si>
  <si>
    <t xml:space="preserve">SHD_vigilancia_hidraulica</t>
  </si>
  <si>
    <t xml:space="preserve">Vigilancia Hidráulica</t>
  </si>
  <si>
    <t xml:space="preserve">SHD_vigilancia</t>
  </si>
  <si>
    <t xml:space="preserve">SHD_orden +5</t>
  </si>
  <si>
    <t xml:space="preserve">SHD_el_protectorado_coreano</t>
  </si>
  <si>
    <t xml:space="preserve">El Protectorado Coreano</t>
  </si>
  <si>
    <t xml:space="preserve">SHD_la_estepa_irrigada</t>
  </si>
  <si>
    <t xml:space="preserve">La Estepa Irrigada</t>
  </si>
  <si>
    <t xml:space="preserve">SHD_el_caudal_perfecto</t>
  </si>
  <si>
    <t xml:space="preserve">El Caudal Perfecto</t>
  </si>
  <si>
    <t xml:space="preserve">SHD_vigilancia -&gt; SHD_caudal_perfecto</t>
  </si>
  <si>
    <t xml:space="preserve">SHD_corregir_el_sol</t>
  </si>
  <si>
    <t xml:space="preserve">Ingenieros para el Sol</t>
  </si>
  <si>
    <t xml:space="preserve">Abrir las Compuertas</t>
  </si>
  <si>
    <t xml:space="preserve">- SHD_burocracia_del_caudal</t>
  </si>
  <si>
    <t xml:space="preserve">SHD_pueblo +20</t>
  </si>
  <si>
    <t xml:space="preserve">SHD_el_pueblo_es_el_caudal</t>
  </si>
  <si>
    <t xml:space="preserve">El Pueblo es el Caudal</t>
  </si>
  <si>
    <t xml:space="preserve">SHD_pueblo +10</t>
  </si>
  <si>
    <t xml:space="preserve">SHD_la_movilizacion_del_rio</t>
  </si>
  <si>
    <t xml:space="preserve">La Movilización del Río</t>
  </si>
  <si>
    <t xml:space="preserve">SHD_movilizacion_del_rio</t>
  </si>
  <si>
    <t xml:space="preserve">SHD_oleadas</t>
  </si>
  <si>
    <t xml:space="preserve">Oleadas</t>
  </si>
  <si>
    <t xml:space="preserve">SHD_la_crecida_del_norte</t>
  </si>
  <si>
    <t xml:space="preserve">La Crecida del Norte</t>
  </si>
  <si>
    <t xml:space="preserve">SHD_el_rio_se_desborda</t>
  </si>
  <si>
    <t xml:space="preserve">El Río se Desborda</t>
  </si>
  <si>
    <t xml:space="preserve">SHD_el_rio_desbordado</t>
  </si>
  <si>
    <t xml:space="preserve">El Río Desbordado</t>
  </si>
  <si>
    <t xml:space="preserve">SHD_espiritu_el_rio_desbordado</t>
  </si>
  <si>
    <t xml:space="preserve">SHD_el_gran_consejo_tecnico</t>
  </si>
  <si>
    <t xml:space="preserve">El Gran Consejo Técnico</t>
  </si>
  <si>
    <t xml:space="preserve">SHD_la_ley_del_caudal</t>
  </si>
  <si>
    <t xml:space="preserve">La Ley del Caudal</t>
  </si>
  <si>
    <t xml:space="preserve">SHD_ley_del_caudal</t>
  </si>
  <si>
    <t xml:space="preserve">SHD_el_mandato_armonioso</t>
  </si>
  <si>
    <t xml:space="preserve">El Mandato Armonioso</t>
  </si>
  <si>
    <t xml:space="preserve">SHD_el_destino_del_cielo</t>
  </si>
  <si>
    <t xml:space="preserve">El Destino del Cielo</t>
  </si>
  <si>
    <t xml:space="preserve">SHD_el_consejo_economico</t>
  </si>
  <si>
    <t xml:space="preserve">SHD_produccion +5</t>
  </si>
  <si>
    <t xml:space="preserve">SHD_las_grandes_obras</t>
  </si>
  <si>
    <t xml:space="preserve">Las Grandes Obras</t>
  </si>
  <si>
    <t xml:space="preserve">SHD_grandes_obras</t>
  </si>
  <si>
    <t xml:space="preserve">SHD_la_economia_de_precision</t>
  </si>
  <si>
    <t xml:space="preserve">SHD_el_gran_canal</t>
  </si>
  <si>
    <t xml:space="preserve">El Gran Canal</t>
  </si>
  <si>
    <t xml:space="preserve">SHD_ciudades_nuevas</t>
  </si>
  <si>
    <t xml:space="preserve">Ciudades Nuevas</t>
  </si>
  <si>
    <t xml:space="preserve">SHD_pueblo +5</t>
  </si>
  <si>
    <t xml:space="preserve">SHD_la_era_de_las_obras</t>
  </si>
  <si>
    <t xml:space="preserve">La Era de las Obras</t>
  </si>
  <si>
    <t xml:space="preserve">SHD_grandes_obras -&gt; SHD_grandes_obras_2</t>
  </si>
  <si>
    <t xml:space="preserve">SHD_la_segunda_gran_presa</t>
  </si>
  <si>
    <t xml:space="preserve">La Segunda Gran Presa</t>
  </si>
  <si>
    <t xml:space="preserve">SHD_el_pais_como_obra</t>
  </si>
  <si>
    <t xml:space="preserve">El País como Obra</t>
  </si>
  <si>
    <t xml:space="preserve">SHD_grandes_obras_2 -&gt; SHD_grandes_obras_3</t>
  </si>
  <si>
    <t xml:space="preserve">La Economía de Precisión</t>
  </si>
  <si>
    <t xml:space="preserve">SHD_precision</t>
  </si>
  <si>
    <t xml:space="preserve">SHD_metrologia_nacional</t>
  </si>
  <si>
    <t xml:space="preserve">Metrología Nacional</t>
  </si>
  <si>
    <t xml:space="preserve">SHD_lineas_calibradas</t>
  </si>
  <si>
    <t xml:space="preserve">Líneas Calibradas</t>
  </si>
  <si>
    <t xml:space="preserve">SHD_la_economia_calibrada</t>
  </si>
  <si>
    <t xml:space="preserve">La Economía Calibrada</t>
  </si>
  <si>
    <t xml:space="preserve">SHD_precision -&gt; SHD_precision_2</t>
  </si>
  <si>
    <t xml:space="preserve">SHD_sensores_en_todo</t>
  </si>
  <si>
    <t xml:space="preserve">Sensores en Todo</t>
  </si>
  <si>
    <t xml:space="preserve">SHD_la_economia_exacta</t>
  </si>
  <si>
    <t xml:space="preserve">La Economía Exacta</t>
  </si>
  <si>
    <t xml:space="preserve">SHD_precision_2 -&gt; SHD_precision_3</t>
  </si>
  <si>
    <t xml:space="preserve">SHD_las_tres_gargantas</t>
  </si>
  <si>
    <t xml:space="preserve">Las Tres Gargantas</t>
  </si>
  <si>
    <t xml:space="preserve">SHD_la_red_electrica_nacional</t>
  </si>
  <si>
    <t xml:space="preserve">La Red Eléctrica Nacional</t>
  </si>
  <si>
    <t xml:space="preserve">SHD_red_electrica</t>
  </si>
  <si>
    <t xml:space="preserve">SHD_el_polo_de_shanghai</t>
  </si>
  <si>
    <t xml:space="preserve">El Polo de Shanghái</t>
  </si>
  <si>
    <t xml:space="preserve">SHD_acerias_del_norte</t>
  </si>
  <si>
    <t xml:space="preserve">Las Acerías del Norte</t>
  </si>
  <si>
    <t xml:space="preserve">SHD_astilleros_de_canton</t>
  </si>
  <si>
    <t xml:space="preserve">Los Astilleros de Cantón</t>
  </si>
  <si>
    <t xml:space="preserve">SHD_instituto_del_caudal</t>
  </si>
  <si>
    <t xml:space="preserve">El Instituto del Caudal</t>
  </si>
  <si>
    <t xml:space="preserve">SHD_infanteria_de_masa</t>
  </si>
  <si>
    <t xml:space="preserve">Infantería de Masa</t>
  </si>
  <si>
    <t xml:space="preserve">SHD_espiritu_infanteria_de_masa, - SHD_ejercito_de_papel</t>
  </si>
  <si>
    <t xml:space="preserve">SHD_logistica_fluvial</t>
  </si>
  <si>
    <t xml:space="preserve">Logística Fluvial</t>
  </si>
  <si>
    <t xml:space="preserve">SHD_ingenieros_de_combate</t>
  </si>
  <si>
    <t xml:space="preserve">Ingenieros de Combate</t>
  </si>
  <si>
    <t xml:space="preserve">SHD_defensa_en_profundidad</t>
  </si>
  <si>
    <t xml:space="preserve">Defensa en Profundidad</t>
  </si>
  <si>
    <t xml:space="preserve">SHD_artilleria_del_rio</t>
  </si>
  <si>
    <t xml:space="preserve">Artillería del Río</t>
  </si>
  <si>
    <t xml:space="preserve">SHD_el_general_de_la_crecida</t>
  </si>
  <si>
    <t xml:space="preserve">El General de la Crecida</t>
  </si>
  <si>
    <t xml:space="preserve">SHD_drones_de_vigilancia</t>
  </si>
  <si>
    <t xml:space="preserve">Drones de Vigilancia</t>
  </si>
  <si>
    <t xml:space="preserve">SHD_red_antiaerea</t>
  </si>
  <si>
    <t xml:space="preserve">La Red Antiaérea</t>
  </si>
  <si>
    <t xml:space="preserve">SHD_cazas_del_directorio</t>
  </si>
  <si>
    <t xml:space="preserve">Cazas del Directorio</t>
  </si>
  <si>
    <t xml:space="preserve">SHD_el_cielo_armonioso</t>
  </si>
  <si>
    <t xml:space="preserve">El Cielo Armonioso</t>
  </si>
  <si>
    <t xml:space="preserve">SHD_cielo_armonioso</t>
  </si>
  <si>
    <t xml:space="preserve">SHD_bombarderos_tacticos</t>
  </si>
  <si>
    <t xml:space="preserve">Bombarderos Tácticos</t>
  </si>
  <si>
    <t xml:space="preserve">SHD_la_flota_del_mar_de_china</t>
  </si>
  <si>
    <t xml:space="preserve">La Flota del Mar de China</t>
  </si>
  <si>
    <t xml:space="preserve">SHD_los_tres_caudales</t>
  </si>
  <si>
    <t xml:space="preserve">Los Tres Caudales</t>
  </si>
  <si>
    <t xml:space="preserve">SHD_valvula_de_produccion</t>
  </si>
  <si>
    <t xml:space="preserve">La Válvula de Producción</t>
  </si>
  <si>
    <t xml:space="preserve">SHD_produccion +10</t>
  </si>
  <si>
    <t xml:space="preserve">SHD_valvula_de_orden</t>
  </si>
  <si>
    <t xml:space="preserve">La Válvula de Orden</t>
  </si>
  <si>
    <t xml:space="preserve">SHD_orden +10</t>
  </si>
  <si>
    <t xml:space="preserve">SHD_valvula_del_pueblo</t>
  </si>
  <si>
    <t xml:space="preserve">La Válvula del Pueblo</t>
  </si>
  <si>
    <t xml:space="preserve">SHD_ajuste_fino</t>
  </si>
  <si>
    <t xml:space="preserve">Ajuste Fino</t>
  </si>
  <si>
    <t xml:space="preserve">SHD_presion_controlada</t>
  </si>
  <si>
    <t xml:space="preserve">Presión Controlada</t>
  </si>
  <si>
    <t xml:space="preserve">SHD_el_aliviadero</t>
  </si>
  <si>
    <t xml:space="preserve">El Aliviadero</t>
  </si>
  <si>
    <t xml:space="preserve">SHD_la_armonia_perfecta</t>
  </si>
  <si>
    <t xml:space="preserve">La Armonía Perfecta</t>
  </si>
  <si>
    <t xml:space="preserve">SHD_la_sala_de_control</t>
  </si>
  <si>
    <t xml:space="preserve">La Sala de Control</t>
  </si>
  <si>
    <t xml:space="preserve">SHD_sensores_del_caudal</t>
  </si>
  <si>
    <t xml:space="preserve">Sensores del Caudal</t>
  </si>
  <si>
    <t xml:space="preserve">SHD_espiritu_sensores</t>
  </si>
  <si>
    <t xml:space="preserve">SHD_diques_de_contencion</t>
  </si>
  <si>
    <t xml:space="preserve">Diques de Contención</t>
  </si>
  <si>
    <t xml:space="preserve">SHD_el_modelo_del_rio</t>
  </si>
  <si>
    <t xml:space="preserve">El Modelo del Río</t>
  </si>
  <si>
    <t xml:space="preserve">SHD_espiritu_modelo_del_rio</t>
  </si>
  <si>
    <t xml:space="preserve">SHD_puertos_para_el_directorio</t>
  </si>
  <si>
    <t xml:space="preserve">Puertos para el Directorio</t>
  </si>
  <si>
    <t xml:space="preserve">SHD_el_caudal_eterno</t>
  </si>
  <si>
    <t xml:space="preserve">El Caudal Eterno</t>
  </si>
  <si>
    <t xml:space="preserve">SHD_espiritu_caudal_eterno</t>
  </si>
  <si>
    <t xml:space="preserve">APF_el_congreso_de_2100</t>
  </si>
  <si>
    <t xml:space="preserve">El Congreso de 2100</t>
  </si>
  <si>
    <t xml:space="preserve">APF_la_asamblea_de_lagos</t>
  </si>
  <si>
    <t xml:space="preserve">La Asamblea de Lagos</t>
  </si>
  <si>
    <t xml:space="preserve">- APF_consejos_desorganizados</t>
  </si>
  <si>
    <t xml:space="preserve">APF_mil_consejos</t>
  </si>
  <si>
    <t xml:space="preserve">Mil Consejos</t>
  </si>
  <si>
    <t xml:space="preserve">APF_espiritu_mil_consejos</t>
  </si>
  <si>
    <t xml:space="preserve">APF_los_consejos_se_arman</t>
  </si>
  <si>
    <t xml:space="preserve">APF_el_cabo_se_suma</t>
  </si>
  <si>
    <t xml:space="preserve">El Cabo se Suma</t>
  </si>
  <si>
    <t xml:space="preserve">APF_las_tierras_altas_se_suman</t>
  </si>
  <si>
    <t xml:space="preserve">Las Tierras Altas se Suman</t>
  </si>
  <si>
    <t xml:space="preserve">APF_la_constitucion_continental</t>
  </si>
  <si>
    <t xml:space="preserve">La Constitución Continental</t>
  </si>
  <si>
    <t xml:space="preserve">APF_constitucion_continental</t>
  </si>
  <si>
    <t xml:space="preserve">APF_contra_la_maquina</t>
  </si>
  <si>
    <t xml:space="preserve">Contra la Máquina</t>
  </si>
  <si>
    <t xml:space="preserve">APF_la_federacion_plena</t>
  </si>
  <si>
    <t xml:space="preserve">La Federación Plena</t>
  </si>
  <si>
    <t xml:space="preserve">APF_espiritu_mil_consejos -&gt; APF_federacion_plena</t>
  </si>
  <si>
    <t xml:space="preserve">Los Consejos se Arman</t>
  </si>
  <si>
    <t xml:space="preserve">APF_milicia_popular</t>
  </si>
  <si>
    <t xml:space="preserve">La Milicia Popular</t>
  </si>
  <si>
    <t xml:space="preserve">APF_espiritu_milicia_popular</t>
  </si>
  <si>
    <t xml:space="preserve">APF_la_marcha_al_este</t>
  </si>
  <si>
    <t xml:space="preserve">La Marcha al Este</t>
  </si>
  <si>
    <t xml:space="preserve">APF_liberar_el_sinai</t>
  </si>
  <si>
    <t xml:space="preserve">Liberar el Sinaí</t>
  </si>
  <si>
    <t xml:space="preserve">APF_los_emiratos_caen</t>
  </si>
  <si>
    <t xml:space="preserve">Los Emiratos Caen</t>
  </si>
  <si>
    <t xml:space="preserve">APF_la_federacion_sin_fronteras</t>
  </si>
  <si>
    <t xml:space="preserve">La Federación sin Fronteras</t>
  </si>
  <si>
    <t xml:space="preserve">APF_federacion_sin_fronteras</t>
  </si>
  <si>
    <t xml:space="preserve">APF_la_asamblea_de_los_pueblos</t>
  </si>
  <si>
    <t xml:space="preserve">La Asamblea de los Pueblos</t>
  </si>
  <si>
    <t xml:space="preserve">APF_la_carta_de_ubuntu</t>
  </si>
  <si>
    <t xml:space="preserve">La Carta de Ubuntu</t>
  </si>
  <si>
    <t xml:space="preserve">APF_carta_de_ubuntu</t>
  </si>
  <si>
    <t xml:space="preserve">APF_la_moneda_continental</t>
  </si>
  <si>
    <t xml:space="preserve">La Moneda Continental</t>
  </si>
  <si>
    <t xml:space="preserve">APF_el_destino_del_origen</t>
  </si>
  <si>
    <t xml:space="preserve">El Destino del Origen</t>
  </si>
  <si>
    <t xml:space="preserve">APF_el_consejo_economico</t>
  </si>
  <si>
    <t xml:space="preserve">APF_la_aldea_autosuficiente</t>
  </si>
  <si>
    <t xml:space="preserve">La Aldea Autosuficiente</t>
  </si>
  <si>
    <t xml:space="preserve">APF_aldea</t>
  </si>
  <si>
    <t xml:space="preserve">APF_el_corredor_continental</t>
  </si>
  <si>
    <t xml:space="preserve">APF_bancos_de_granos</t>
  </si>
  <si>
    <t xml:space="preserve">Bancos de Granos</t>
  </si>
  <si>
    <t xml:space="preserve">APF_defensa_comunal</t>
  </si>
  <si>
    <t xml:space="preserve">Defensa Comunal</t>
  </si>
  <si>
    <t xml:space="preserve">APF_el_continente_de_aldeas</t>
  </si>
  <si>
    <t xml:space="preserve">El Continente de Aldeas</t>
  </si>
  <si>
    <t xml:space="preserve">APF_aldea -&gt; APF_aldea_2</t>
  </si>
  <si>
    <t xml:space="preserve">APF_las_milicias_de_aldea</t>
  </si>
  <si>
    <t xml:space="preserve">Las Milicias de Aldea</t>
  </si>
  <si>
    <t xml:space="preserve">APF_la_federacion_de_aldeas</t>
  </si>
  <si>
    <t xml:space="preserve">La Federación de Aldeas</t>
  </si>
  <si>
    <t xml:space="preserve">APF_aldea_2 -&gt; APF_aldea_3</t>
  </si>
  <si>
    <t xml:space="preserve">El Corredor Continental</t>
  </si>
  <si>
    <t xml:space="preserve">APF_corredor, - APF_rutas_rotas</t>
  </si>
  <si>
    <t xml:space="preserve">APF_el_ferrocarril_transafricano</t>
  </si>
  <si>
    <t xml:space="preserve">El Ferrocarril Transafricano</t>
  </si>
  <si>
    <t xml:space="preserve">APF_los_polos_mineros</t>
  </si>
  <si>
    <t xml:space="preserve">Los Polos Mineros</t>
  </si>
  <si>
    <t xml:space="preserve">APF_el_gigante_logistico</t>
  </si>
  <si>
    <t xml:space="preserve">El Gigante Logístico</t>
  </si>
  <si>
    <t xml:space="preserve">APF_corredor -&gt; APF_corredor_2</t>
  </si>
  <si>
    <t xml:space="preserve">APF_los_puertos_del_corredor</t>
  </si>
  <si>
    <t xml:space="preserve">Los Puertos del Corredor</t>
  </si>
  <si>
    <t xml:space="preserve">APF_el_continente_conectado</t>
  </si>
  <si>
    <t xml:space="preserve">El Continente Conectado</t>
  </si>
  <si>
    <t xml:space="preserve">APF_corredor_2 -&gt; APF_corredor_3</t>
  </si>
  <si>
    <t xml:space="preserve">APF_polo_de_lagos</t>
  </si>
  <si>
    <t xml:space="preserve">El Polo de Lagos</t>
  </si>
  <si>
    <t xml:space="preserve">- APF_rutas_rotas</t>
  </si>
  <si>
    <t xml:space="preserve">APF_acerias_de_katanga</t>
  </si>
  <si>
    <t xml:space="preserve">Las Acerías de Katanga</t>
  </si>
  <si>
    <t xml:space="preserve">APF_el_nilo_industrial</t>
  </si>
  <si>
    <t xml:space="preserve">El Nilo Industrial</t>
  </si>
  <si>
    <t xml:space="preserve">APF_despegue_industrial</t>
  </si>
  <si>
    <t xml:space="preserve">Despegue Industrial</t>
  </si>
  <si>
    <t xml:space="preserve">APF_espiritu_despegue_industrial</t>
  </si>
  <si>
    <t xml:space="preserve">APF_astilleros_de_dakar</t>
  </si>
  <si>
    <t xml:space="preserve">Los Astilleros de Dakar</t>
  </si>
  <si>
    <t xml:space="preserve">APF_universidad_continental</t>
  </si>
  <si>
    <t xml:space="preserve">La Universidad Continental</t>
  </si>
  <si>
    <t xml:space="preserve">APF_milicias_regulares</t>
  </si>
  <si>
    <t xml:space="preserve">Milicias Regulares</t>
  </si>
  <si>
    <t xml:space="preserve">- APF_milicias_sin_fusiles</t>
  </si>
  <si>
    <t xml:space="preserve">APF_instructores</t>
  </si>
  <si>
    <t xml:space="preserve">Instructores</t>
  </si>
  <si>
    <t xml:space="preserve">APF_espiritu_instructores</t>
  </si>
  <si>
    <t xml:space="preserve">APF_guerra_de_movimiento</t>
  </si>
  <si>
    <t xml:space="preserve">Guerra de Movimiento</t>
  </si>
  <si>
    <t xml:space="preserve">APF_infanteria_ligera</t>
  </si>
  <si>
    <t xml:space="preserve">Infantería Ligera</t>
  </si>
  <si>
    <t xml:space="preserve">APF_espiritu_infanteria_ligera</t>
  </si>
  <si>
    <t xml:space="preserve">APF_defensa_de_la_aldea</t>
  </si>
  <si>
    <t xml:space="preserve">Defensa de la Aldea</t>
  </si>
  <si>
    <t xml:space="preserve">APF_el_general_del_congreso</t>
  </si>
  <si>
    <t xml:space="preserve">El General del Congreso</t>
  </si>
  <si>
    <t xml:space="preserve">APF_alas_del_continente</t>
  </si>
  <si>
    <t xml:space="preserve">Alas del Continente</t>
  </si>
  <si>
    <t xml:space="preserve">APF_red_de_aerodromos</t>
  </si>
  <si>
    <t xml:space="preserve">La Red de Aeródromos</t>
  </si>
  <si>
    <t xml:space="preserve">APF_apoyo_cercano</t>
  </si>
  <si>
    <t xml:space="preserve">Apoyo Cercano</t>
  </si>
  <si>
    <t xml:space="preserve">APF_cazas_del_sahel</t>
  </si>
  <si>
    <t xml:space="preserve">Cazas del Sahel</t>
  </si>
  <si>
    <t xml:space="preserve">APF_paracaidistas</t>
  </si>
  <si>
    <t xml:space="preserve">Paracaidistas</t>
  </si>
  <si>
    <t xml:space="preserve">APF_la_armada_del_golfo</t>
  </si>
  <si>
    <t xml:space="preserve">La Armada del Golfo</t>
  </si>
  <si>
    <t xml:space="preserve">APF_consejos_locales</t>
  </si>
  <si>
    <t xml:space="preserve">Consejos Locales</t>
  </si>
  <si>
    <t xml:space="preserve">APF_congresos_regionales</t>
  </si>
  <si>
    <t xml:space="preserve">Congresos Regionales</t>
  </si>
  <si>
    <t xml:space="preserve">APF_moneda_comun</t>
  </si>
  <si>
    <t xml:space="preserve">La Moneda Común</t>
  </si>
  <si>
    <t xml:space="preserve">APF_espiritu_moneda_comun</t>
  </si>
  <si>
    <t xml:space="preserve">APF_el_ejercito_federal</t>
  </si>
  <si>
    <t xml:space="preserve">El Ejército Federal</t>
  </si>
  <si>
    <t xml:space="preserve">APF_ciudadania_continental</t>
  </si>
  <si>
    <t xml:space="preserve">Ciudadanía Continental</t>
  </si>
  <si>
    <t xml:space="preserve">APF_integracion_zet +10, APF_integracion_zsa +10</t>
  </si>
  <si>
    <t xml:space="preserve">APF_la_red_de_consejos</t>
  </si>
  <si>
    <t xml:space="preserve">La Red de Consejos</t>
  </si>
  <si>
    <t xml:space="preserve">APF_un_solo_pueblo</t>
  </si>
  <si>
    <t xml:space="preserve">Un Solo Pueblo</t>
  </si>
  <si>
    <t xml:space="preserve">APF_espiritu_un_solo_pueblo</t>
  </si>
  <si>
    <t xml:space="preserve">APF_la_voz_de_los_consejos</t>
  </si>
  <si>
    <t xml:space="preserve">La Voz de los Consejos</t>
  </si>
  <si>
    <t xml:space="preserve">APF_tension -15</t>
  </si>
  <si>
    <t xml:space="preserve">APF_radios_comunitarias</t>
  </si>
  <si>
    <t xml:space="preserve">Radios Comunitarias</t>
  </si>
  <si>
    <t xml:space="preserve">APF_espiritu_radios_comunitarias</t>
  </si>
  <si>
    <t xml:space="preserve">APF_escuelas_de_ingenieros</t>
  </si>
  <si>
    <t xml:space="preserve">Escuelas de Ingenieros</t>
  </si>
  <si>
    <t xml:space="preserve">APF_el_parlamento_de_los_pueblos</t>
  </si>
  <si>
    <t xml:space="preserve">El Parlamento de los Pueblos</t>
  </si>
  <si>
    <t xml:space="preserve">APF_espiritu_parlamento</t>
  </si>
  <si>
    <t xml:space="preserve">APF_el_corredor_del_cabo</t>
  </si>
  <si>
    <t xml:space="preserve">El Corredor del Cabo</t>
  </si>
  <si>
    <t xml:space="preserve">APF_desarrollo_zet +15, APF_desarrollo_zsa +15</t>
  </si>
  <si>
    <t xml:space="preserve">APF_africa_unida</t>
  </si>
  <si>
    <t xml:space="preserve">África Unida</t>
  </si>
  <si>
    <t xml:space="preserve">APF_espiritu_africa_unida</t>
  </si>
  <si>
    <t xml:space="preserve">NRE_la_aclamacion_confirmada</t>
  </si>
  <si>
    <t xml:space="preserve">La Aclamación Confirmada</t>
  </si>
  <si>
    <t xml:space="preserve">NRE_auctoritas +5</t>
  </si>
  <si>
    <t xml:space="preserve">NRE_el_consilium</t>
  </si>
  <si>
    <t xml:space="preserve">El Consilium</t>
  </si>
  <si>
    <t xml:space="preserve">NRE_el_senado_restaurado</t>
  </si>
  <si>
    <t xml:space="preserve">El Senado Restaurado</t>
  </si>
  <si>
    <t xml:space="preserve">NRE_senado, - NRE_senado_corrupto</t>
  </si>
  <si>
    <t xml:space="preserve">NRE_la_legion_decide</t>
  </si>
  <si>
    <t xml:space="preserve">NRE_las_vias_imperiales</t>
  </si>
  <si>
    <t xml:space="preserve">Las Vías Imperiales</t>
  </si>
  <si>
    <t xml:space="preserve">NRE_el_cursus_honorum</t>
  </si>
  <si>
    <t xml:space="preserve">El Cursus Honorum</t>
  </si>
  <si>
    <t xml:space="preserve">NRE_cursus_honorum</t>
  </si>
  <si>
    <t xml:space="preserve">NRE_hispania_provincia</t>
  </si>
  <si>
    <t xml:space="preserve">Hispania Provincia</t>
  </si>
  <si>
    <t xml:space="preserve">NRE_dacia_provincia</t>
  </si>
  <si>
    <t xml:space="preserve">Dacia Provincia</t>
  </si>
  <si>
    <t xml:space="preserve">NRE_el_equilibrio_de_varro</t>
  </si>
  <si>
    <t xml:space="preserve">El Equilibrio de Varro</t>
  </si>
  <si>
    <t xml:space="preserve">NRE_senado -&gt; NRE_equilibrio</t>
  </si>
  <si>
    <t xml:space="preserve">NRE_pax_romana</t>
  </si>
  <si>
    <t xml:space="preserve">Pax Romana</t>
  </si>
  <si>
    <t xml:space="preserve">NRE_espiritu_pax_romana</t>
  </si>
  <si>
    <t xml:space="preserve">NRE_roma_contra_la_tierra</t>
  </si>
  <si>
    <t xml:space="preserve">Roma contra la Tierra</t>
  </si>
  <si>
    <t xml:space="preserve">La Legión Decide</t>
  </si>
  <si>
    <t xml:space="preserve">- NRE_senado_corrupto</t>
  </si>
  <si>
    <t xml:space="preserve">NRE_prestigio_italica +10, NRE_auctoritas +15</t>
  </si>
  <si>
    <t xml:space="preserve">NRE_la_guardia_pretoriana</t>
  </si>
  <si>
    <t xml:space="preserve">La Guardia Pretoriana</t>
  </si>
  <si>
    <t xml:space="preserve">NRE_guardia_pretoriana</t>
  </si>
  <si>
    <t xml:space="preserve">NRE_auctoritas +10</t>
  </si>
  <si>
    <t xml:space="preserve">NRE_los_donativos</t>
  </si>
  <si>
    <t xml:space="preserve">Los Donativos</t>
  </si>
  <si>
    <t xml:space="preserve">NRE_ave_imperator</t>
  </si>
  <si>
    <t xml:space="preserve">Ave Imperator</t>
  </si>
  <si>
    <t xml:space="preserve">NRE_auctoritas +15</t>
  </si>
  <si>
    <t xml:space="preserve">NRE_el_ano_de_los_cuatro</t>
  </si>
  <si>
    <t xml:space="preserve">El Año de los Cuatro</t>
  </si>
  <si>
    <t xml:space="preserve">NRE_ano_de_los_cuatro</t>
  </si>
  <si>
    <t xml:space="preserve">NRE_la_marcha_al_norte</t>
  </si>
  <si>
    <t xml:space="preserve">La Marcha al Norte</t>
  </si>
  <si>
    <t xml:space="preserve">NRE_el_imperio_de_las_legiones</t>
  </si>
  <si>
    <t xml:space="preserve">El Imperio de las Legiones</t>
  </si>
  <si>
    <t xml:space="preserve">NRE_ano_de_los_cuatro -&gt; NRE_imperio_de_las_legiones</t>
  </si>
  <si>
    <t xml:space="preserve">NRE_auctoritas +20</t>
  </si>
  <si>
    <t xml:space="preserve">NRE_la_lex_imperii</t>
  </si>
  <si>
    <t xml:space="preserve">La Lex Imperii</t>
  </si>
  <si>
    <t xml:space="preserve">NRE_el_culto_imperial</t>
  </si>
  <si>
    <t xml:space="preserve">El Culto Imperial</t>
  </si>
  <si>
    <t xml:space="preserve">NRE_culto_imperial</t>
  </si>
  <si>
    <t xml:space="preserve">NRE_los_juegos_de_la_victoria</t>
  </si>
  <si>
    <t xml:space="preserve">Los Juegos de la Victoria</t>
  </si>
  <si>
    <t xml:space="preserve">NRE_el_destino_de_roma</t>
  </si>
  <si>
    <t xml:space="preserve">El Destino de Roma</t>
  </si>
  <si>
    <t xml:space="preserve">NRE_el_erario</t>
  </si>
  <si>
    <t xml:space="preserve">El Erario</t>
  </si>
  <si>
    <t xml:space="preserve">NRE_la_annona</t>
  </si>
  <si>
    <t xml:space="preserve">La Annona</t>
  </si>
  <si>
    <t xml:space="preserve">NRE_annona, - NRE_graneros_vacios</t>
  </si>
  <si>
    <t xml:space="preserve">NRE_el_tributo</t>
  </si>
  <si>
    <t xml:space="preserve">NRE_pan_y_circo</t>
  </si>
  <si>
    <t xml:space="preserve">Pan y Circo</t>
  </si>
  <si>
    <t xml:space="preserve">NRE_los_graneros_imperiales</t>
  </si>
  <si>
    <t xml:space="preserve">Los Graneros Imperiales</t>
  </si>
  <si>
    <t xml:space="preserve">NRE_annona -&gt; NRE_annona_2</t>
  </si>
  <si>
    <t xml:space="preserve">El Tributo</t>
  </si>
  <si>
    <t xml:space="preserve">NRE_tributo</t>
  </si>
  <si>
    <t xml:space="preserve">NRE_las_provincias_pagan</t>
  </si>
  <si>
    <t xml:space="preserve">Las Provincias Pagan</t>
  </si>
  <si>
    <t xml:space="preserve">NRE_el_fisco_imperial</t>
  </si>
  <si>
    <t xml:space="preserve">El Fisco Imperial</t>
  </si>
  <si>
    <t xml:space="preserve">NRE_tributo -&gt; NRE_fisco</t>
  </si>
  <si>
    <t xml:space="preserve">NRE_el_nuevo_aureus</t>
  </si>
  <si>
    <t xml:space="preserve">El Nuevo Aureus</t>
  </si>
  <si>
    <t xml:space="preserve">NRE_aureus</t>
  </si>
  <si>
    <t xml:space="preserve">NRE_los_acueductos_de_roma</t>
  </si>
  <si>
    <t xml:space="preserve">Los Acueductos de Roma</t>
  </si>
  <si>
    <t xml:space="preserve">NRE_la_ciudad_alimentada</t>
  </si>
  <si>
    <t xml:space="preserve">La Ciudad Alimentada</t>
  </si>
  <si>
    <t xml:space="preserve">NRE_annona_2 -&gt; NRE_annona_3</t>
  </si>
  <si>
    <t xml:space="preserve">NRE_los_publicanos</t>
  </si>
  <si>
    <t xml:space="preserve">Los Publicanos</t>
  </si>
  <si>
    <t xml:space="preserve">NRE_el_tesoro_de_saturno</t>
  </si>
  <si>
    <t xml:space="preserve">El Tesoro de Saturno</t>
  </si>
  <si>
    <t xml:space="preserve">NRE_fisco -&gt; NRE_fisco_2</t>
  </si>
  <si>
    <t xml:space="preserve">NRE_las_forjas_imperiales</t>
  </si>
  <si>
    <t xml:space="preserve">Las Forjas Imperiales</t>
  </si>
  <si>
    <t xml:space="preserve">NRE_el_polo_de_milan</t>
  </si>
  <si>
    <t xml:space="preserve">El Polo de Milán</t>
  </si>
  <si>
    <t xml:space="preserve">NRE_las_acerias_de_anatolia</t>
  </si>
  <si>
    <t xml:space="preserve">Las Acerías de Anatolia</t>
  </si>
  <si>
    <t xml:space="preserve">NRE_los_nuevos_acueductos</t>
  </si>
  <si>
    <t xml:space="preserve">Los Nuevos Acueductos</t>
  </si>
  <si>
    <t xml:space="preserve">NRE_astilleros_de_ostia</t>
  </si>
  <si>
    <t xml:space="preserve">Astilleros de Ostia</t>
  </si>
  <si>
    <t xml:space="preserve">NRE_la_fabrica_del_imperio</t>
  </si>
  <si>
    <t xml:space="preserve">La Fábrica del Imperio</t>
  </si>
  <si>
    <t xml:space="preserve">NRE_el_arsenal_de_roma</t>
  </si>
  <si>
    <t xml:space="preserve">El Arsenal de Roma</t>
  </si>
  <si>
    <t xml:space="preserve">NRE_la_economia_de_guerra</t>
  </si>
  <si>
    <t xml:space="preserve">La Economía de Guerra Imperial</t>
  </si>
  <si>
    <t xml:space="preserve">NRE_economia_de_guerra</t>
  </si>
  <si>
    <t xml:space="preserve">NRE_las_legiones</t>
  </si>
  <si>
    <t xml:space="preserve">Las Legiones</t>
  </si>
  <si>
    <t xml:space="preserve">NRE_legio_i_italica</t>
  </si>
  <si>
    <t xml:space="preserve">Legio I Italica</t>
  </si>
  <si>
    <t xml:space="preserve">NRE_prestigio_italica +15, NRE_auctoritas +10</t>
  </si>
  <si>
    <t xml:space="preserve">NRE_legio_v_macedonica</t>
  </si>
  <si>
    <t xml:space="preserve">Legio V Macedonica</t>
  </si>
  <si>
    <t xml:space="preserve">NRE_prestigio_macedonica +15</t>
  </si>
  <si>
    <t xml:space="preserve">NRE_legio_xii_fulminata</t>
  </si>
  <si>
    <t xml:space="preserve">Legio XII Fulminata</t>
  </si>
  <si>
    <t xml:space="preserve">NRE_prestigio_fulminata +15</t>
  </si>
  <si>
    <t xml:space="preserve">NRE_disciplina_de_hierro</t>
  </si>
  <si>
    <t xml:space="preserve">Disciplina de Hierro</t>
  </si>
  <si>
    <t xml:space="preserve">NRE_espiritu_disciplina_de_hierro, - NRE_legiones_indisciplinadas</t>
  </si>
  <si>
    <t xml:space="preserve">NRE_el_aquila_de_oro</t>
  </si>
  <si>
    <t xml:space="preserve">El Águila de Oro</t>
  </si>
  <si>
    <t xml:space="preserve">NRE_aquila_de_oro</t>
  </si>
  <si>
    <t xml:space="preserve">NRE_los_blindados_del_rayo</t>
  </si>
  <si>
    <t xml:space="preserve">Los Blindados del Rayo</t>
  </si>
  <si>
    <t xml:space="preserve">NRE_el_ejercito_de_las_provincias</t>
  </si>
  <si>
    <t xml:space="preserve">El Ejército de las Provincias</t>
  </si>
  <si>
    <t xml:space="preserve">NRE_prestigio_italica +10, NRE_prestigio_macedonica +10, NRE_prestigio_fulminata +10</t>
  </si>
  <si>
    <t xml:space="preserve">NRE_mare_nostrum</t>
  </si>
  <si>
    <t xml:space="preserve">Mare Nostrum</t>
  </si>
  <si>
    <t xml:space="preserve">NRE_mare_nostrum_idea</t>
  </si>
  <si>
    <t xml:space="preserve">NRE_la_flota_del_tirreno</t>
  </si>
  <si>
    <t xml:space="preserve">La Flota del Tirreno</t>
  </si>
  <si>
    <t xml:space="preserve">NRE_las_aguilas_del_cielo</t>
  </si>
  <si>
    <t xml:space="preserve">Las Águilas del Cielo</t>
  </si>
  <si>
    <t xml:space="preserve">NRE_la_aeronautica_imperial</t>
  </si>
  <si>
    <t xml:space="preserve">La Aeronáutica Imperial</t>
  </si>
  <si>
    <t xml:space="preserve">NRE_el_cielo_de_roma</t>
  </si>
  <si>
    <t xml:space="preserve">El Cielo de Roma</t>
  </si>
  <si>
    <t xml:space="preserve">NRE_el_mediterraneo_romano</t>
  </si>
  <si>
    <t xml:space="preserve">El Mediterráneo Romano</t>
  </si>
  <si>
    <t xml:space="preserve">NRE_mare_nostrum_idea -&gt; NRE_mediterraneo_romano</t>
  </si>
  <si>
    <t xml:space="preserve">NRE_legiones_y_oficiales</t>
  </si>
  <si>
    <t xml:space="preserve">Legiones y Oficiales</t>
  </si>
  <si>
    <t xml:space="preserve">NRE_los_tribunos</t>
  </si>
  <si>
    <t xml:space="preserve">Los Tribunos Militares</t>
  </si>
  <si>
    <t xml:space="preserve">NRE_tribunos</t>
  </si>
  <si>
    <t xml:space="preserve">NRE_los_centuriones</t>
  </si>
  <si>
    <t xml:space="preserve">Los Centuriones</t>
  </si>
  <si>
    <t xml:space="preserve">NRE_los_veteranos</t>
  </si>
  <si>
    <t xml:space="preserve">Los Veteranos</t>
  </si>
  <si>
    <t xml:space="preserve">NRE_auctoritas +10, NRE_prestigio_italica +10, NRE_prestigio_macedonica +10, NRE_prestigio_fulminata +10</t>
  </si>
  <si>
    <t xml:space="preserve">NRE_el_triunfo</t>
  </si>
  <si>
    <t xml:space="preserve">El Triunfo</t>
  </si>
  <si>
    <t xml:space="preserve">NRE_spqr</t>
  </si>
  <si>
    <t xml:space="preserve">SPQR</t>
  </si>
  <si>
    <t xml:space="preserve">NRE_spqr_idea</t>
  </si>
  <si>
    <t xml:space="preserve">NRE_auctoritas +25</t>
  </si>
  <si>
    <t xml:space="preserve">NRE_el_limes</t>
  </si>
  <si>
    <t xml:space="preserve">El Limes</t>
  </si>
  <si>
    <t xml:space="preserve">NRE_colonias_de_veteranos</t>
  </si>
  <si>
    <t xml:space="preserve">Colonias de Veteranos</t>
  </si>
  <si>
    <t xml:space="preserve">NRE_espiritu_colonias_veteranos</t>
  </si>
  <si>
    <t xml:space="preserve">NRE_los_castra</t>
  </si>
  <si>
    <t xml:space="preserve">Los Castra</t>
  </si>
  <si>
    <t xml:space="preserve">NRE_la_disciplina_del_limes</t>
  </si>
  <si>
    <t xml:space="preserve">La Disciplina del Limes</t>
  </si>
  <si>
    <t xml:space="preserve">NRE_espiritu_disciplina_limes</t>
  </si>
  <si>
    <t xml:space="preserve">NRE_los_juegos_del_coliseo</t>
  </si>
  <si>
    <t xml:space="preserve">Los Juegos del Coliseo</t>
  </si>
  <si>
    <t xml:space="preserve">NRE_prestigio_italica +5, NRE_prestigio_macedonica +5, NRE_prestigio_fulminata +5, NRE_auctoritas +5</t>
  </si>
  <si>
    <t xml:space="preserve">NRE_roma_aeterna</t>
  </si>
  <si>
    <t xml:space="preserve">Roma Aeterna</t>
  </si>
  <si>
    <t xml:space="preserve">ZWB_foco_1_we_survived</t>
  </si>
  <si>
    <t xml:space="preserve">Sobrevivimos</t>
  </si>
  <si>
    <t xml:space="preserve">ZWB_resistencia_1</t>
  </si>
  <si>
    <t xml:space="preserve">ZWB_foco_2_the_river_paths</t>
  </si>
  <si>
    <t xml:space="preserve">Los Caminos del Río</t>
  </si>
  <si>
    <t xml:space="preserve">ZWB_resistencia_1 -&gt; ZWB_resistencia_2</t>
  </si>
  <si>
    <t xml:space="preserve">ZWB_foco_3_poisoned_trails</t>
  </si>
  <si>
    <t xml:space="preserve">Senderos Envenenados</t>
  </si>
  <si>
    <t xml:space="preserve">ZWB_resistencia_2 -&gt; ZWB_resistencia_3</t>
  </si>
  <si>
    <t xml:space="preserve">ZWB_foco_4_the_villages_rise</t>
  </si>
  <si>
    <t xml:space="preserve">Los Pueblos se Levantan</t>
  </si>
  <si>
    <t xml:space="preserve">ZWB_resistencia_3 -&gt; ZWB_resistencia_4</t>
  </si>
  <si>
    <t xml:space="preserve">ZWB_foco_5_masters_of_the_canopy</t>
  </si>
  <si>
    <t xml:space="preserve">Dueños del Dosel</t>
  </si>
  <si>
    <t xml:space="preserve">ZWB_resistencia_4 -&gt; ZWB_resistencia_5</t>
  </si>
  <si>
    <t xml:space="preserve">ZWB_foco_6_the_green_wall</t>
  </si>
  <si>
    <t xml:space="preserve">El Muro Verde</t>
  </si>
  <si>
    <t xml:space="preserve">ZWB_resistencia_5 -&gt; ZWB_resistencia_6</t>
  </si>
  <si>
    <t xml:space="preserve">ZWB_foco_7_the_jungle_closes_its_gates</t>
  </si>
  <si>
    <t xml:space="preserve">La Selva Cierra sus Puertas</t>
  </si>
  <si>
    <t xml:space="preserve">- ZWB_resistencia_6, ZWB_la_selva_inviolable</t>
  </si>
  <si>
    <t xml:space="preserve">ZWE_foco_1_we_survived</t>
  </si>
  <si>
    <t xml:space="preserve">ZWE_resistencia_1</t>
  </si>
  <si>
    <t xml:space="preserve">ZWE_foco_2_the_atamans_council</t>
  </si>
  <si>
    <t xml:space="preserve">El Consejo de los Atamanes</t>
  </si>
  <si>
    <t xml:space="preserve">ZWE_resistencia_1 -&gt; ZWE_resistencia_2</t>
  </si>
  <si>
    <t xml:space="preserve">ZWE_foco_3_grain_and_rifles</t>
  </si>
  <si>
    <t xml:space="preserve">Trigo y Fusiles</t>
  </si>
  <si>
    <t xml:space="preserve">ZWE_resistencia_2 -&gt; ZWE_resistencia_3</t>
  </si>
  <si>
    <t xml:space="preserve">ZWE_foco_4_the_rail_raiders</t>
  </si>
  <si>
    <t xml:space="preserve">Los Asaltantes del Tren</t>
  </si>
  <si>
    <t xml:space="preserve">ZWE_resistencia_3 -&gt; ZWE_resistencia_4</t>
  </si>
  <si>
    <t xml:space="preserve">ZWE_foco_5_the_winter_host</t>
  </si>
  <si>
    <t xml:space="preserve">La Hueste del Invierno</t>
  </si>
  <si>
    <t xml:space="preserve">ZWE_resistencia_4 -&gt; ZWE_resistencia_5</t>
  </si>
  <si>
    <t xml:space="preserve">ZWE_foco_6_the_great_muster</t>
  </si>
  <si>
    <t xml:space="preserve">La Gran Leva</t>
  </si>
  <si>
    <t xml:space="preserve">ZWE_resistencia_5 -&gt; ZWE_resistencia_6</t>
  </si>
  <si>
    <t xml:space="preserve">ZWE_foco_7_the_eternal_horde</t>
  </si>
  <si>
    <t xml:space="preserve">La Horda Eterna</t>
  </si>
  <si>
    <t xml:space="preserve">- ZWE_resistencia_6, ZWE_la_culminacion</t>
  </si>
  <si>
    <t xml:space="preserve">ZWI_foco_1_we_survived</t>
  </si>
  <si>
    <t xml:space="preserve">ZWI_resistencia_1</t>
  </si>
  <si>
    <t xml:space="preserve">ZWI_foco_2_the_durbar_of_warlords</t>
  </si>
  <si>
    <t xml:space="preserve">El Durbar de los Señores</t>
  </si>
  <si>
    <t xml:space="preserve">ZWI_resistencia_1 -&gt; ZWI_resistencia_2</t>
  </si>
  <si>
    <t xml:space="preserve">ZWI_foco_3_monsoon_armies</t>
  </si>
  <si>
    <t xml:space="preserve">Ejércitos del Monzón</t>
  </si>
  <si>
    <t xml:space="preserve">ZWI_resistencia_2 -&gt; ZWI_resistencia_3</t>
  </si>
  <si>
    <t xml:space="preserve">ZWI_foco_4_the_countless_levy</t>
  </si>
  <si>
    <t xml:space="preserve">La Leva Incontable</t>
  </si>
  <si>
    <t xml:space="preserve">ZWI_resistencia_3 -&gt; ZWI_resistencia_4</t>
  </si>
  <si>
    <t xml:space="preserve">ZWI_foco_5_fortress_temples</t>
  </si>
  <si>
    <t xml:space="preserve">Templos Fortaleza</t>
  </si>
  <si>
    <t xml:space="preserve">ZWI_resistencia_4 -&gt; ZWI_resistencia_5</t>
  </si>
  <si>
    <t xml:space="preserve">ZWI_foco_6_the_rivers_of_india</t>
  </si>
  <si>
    <t xml:space="preserve">Los Ríos de la India</t>
  </si>
  <si>
    <t xml:space="preserve">ZWI_resistencia_5 -&gt; ZWI_resistencia_6</t>
  </si>
  <si>
    <t xml:space="preserve">ZWI_foco_7_the_raj_of_a_thousand_kings</t>
  </si>
  <si>
    <t xml:space="preserve">El Raj de los Mil Reyes</t>
  </si>
  <si>
    <t xml:space="preserve">- ZWI_resistencia_6, ZWI_la_culminacion</t>
  </si>
  <si>
    <t xml:space="preserve">ZWM_foco_1_we_survived</t>
  </si>
  <si>
    <t xml:space="preserve">ZWM_resistencia_1</t>
  </si>
  <si>
    <t xml:space="preserve">ZWM_foco_2_the_oases_council</t>
  </si>
  <si>
    <t xml:space="preserve">El Consejo de los Oasis</t>
  </si>
  <si>
    <t xml:space="preserve">ZWM_resistencia_1 -&gt; ZWM_resistencia_2</t>
  </si>
  <si>
    <t xml:space="preserve">ZWM_foco_3_oil_for_rifles</t>
  </si>
  <si>
    <t xml:space="preserve">Petróleo por Fusiles</t>
  </si>
  <si>
    <t xml:space="preserve">ZWM_resistencia_2 -&gt; ZWM_resistencia_3</t>
  </si>
  <si>
    <t xml:space="preserve">ZWM_foco_4_the_dune_riders</t>
  </si>
  <si>
    <t xml:space="preserve">Los Jinetes de las Dunas</t>
  </si>
  <si>
    <t xml:space="preserve">ZWM_resistencia_3 -&gt; ZWM_resistencia_4</t>
  </si>
  <si>
    <t xml:space="preserve">ZWM_foco_5_mirage_warfare</t>
  </si>
  <si>
    <t xml:space="preserve">La Guerra del Espejismo</t>
  </si>
  <si>
    <t xml:space="preserve">ZWM_resistencia_4 -&gt; ZWM_resistencia_5</t>
  </si>
  <si>
    <t xml:space="preserve">ZWM_foco_6_the_sandstorm_levy</t>
  </si>
  <si>
    <t xml:space="preserve">La Leva de la Tormenta</t>
  </si>
  <si>
    <t xml:space="preserve">ZWM_resistencia_5 -&gt; ZWM_resistencia_6</t>
  </si>
  <si>
    <t xml:space="preserve">ZWM_foco_7_the_caliphate_of_the_sands</t>
  </si>
  <si>
    <t xml:space="preserve">El Califato de las Arenas</t>
  </si>
  <si>
    <t xml:space="preserve">- ZWM_resistencia_6, ZWM_la_culminacion</t>
  </si>
  <si>
    <t xml:space="preserve">ZAN_foco_1_the_frontier_counts_itself</t>
  </si>
  <si>
    <t xml:space="preserve">La Frontera se Cuenta</t>
  </si>
  <si>
    <t xml:space="preserve">ZAN_foco_2_frontier_towns</t>
  </si>
  <si>
    <t xml:space="preserve">Pueblos de Frontera</t>
  </si>
  <si>
    <t xml:space="preserve">ZAN_foco_3_the_frontier_pact</t>
  </si>
  <si>
    <t xml:space="preserve">El Pacto de la Frontera</t>
  </si>
  <si>
    <t xml:space="preserve">ZAN_foco_4_forts_on_every_road</t>
  </si>
  <si>
    <t xml:space="preserve">Fuertes en Cada Camino</t>
  </si>
  <si>
    <t xml:space="preserve">ZAN_foco_5_settle_the_score_with_the_un</t>
  </si>
  <si>
    <t xml:space="preserve">Ajustar Cuentas con la Unión</t>
  </si>
  <si>
    <t xml:space="preserve">ZAN_la_gran_ofensiva (temporal)</t>
  </si>
  <si>
    <t xml:space="preserve">ZAN_foco_6_against_the_world</t>
  </si>
  <si>
    <t xml:space="preserve">Contra el Mundo</t>
  </si>
  <si>
    <t xml:space="preserve">ZAN_contra_el_mundo (temporal)</t>
  </si>
  <si>
    <t xml:space="preserve">ZAN_foco_7_the_triumphant_frontier</t>
  </si>
  <si>
    <t xml:space="preserve">La Frontera Triunfante</t>
  </si>
  <si>
    <t xml:space="preserve">ZAN_la_frontera_triunfante</t>
  </si>
  <si>
    <t xml:space="preserve">JUNTA_estado_de_sitio</t>
  </si>
  <si>
    <t xml:space="preserve">La Vigilia del Sol Negro</t>
  </si>
  <si>
    <t xml:space="preserve">MEGANATIONS_junta_sitio</t>
  </si>
  <si>
    <t xml:space="preserve">JUNTA_fabricas_del_cuartel</t>
  </si>
  <si>
    <t xml:space="preserve">Los Talleres de la Montaña Hueca</t>
  </si>
  <si>
    <t xml:space="preserve">MEGANATIONS_junta_cuartel</t>
  </si>
  <si>
    <t xml:space="preserve">JUNTA_el_orden_de_hierro</t>
  </si>
  <si>
    <t xml:space="preserve">La Purga de los Impuros</t>
  </si>
  <si>
    <t xml:space="preserve">MEGANATIONS_junta_orden</t>
  </si>
  <si>
    <t xml:space="preserve">JUNTA_la_nacion_en_armas</t>
  </si>
  <si>
    <t xml:space="preserve">El Pueblo del Sol Negro en Armas</t>
  </si>
  <si>
    <t xml:space="preserve">MEGANATIONS_junta_nacion</t>
  </si>
  <si>
    <t xml:space="preserve">JUNTA_la_fortaleza_inexpugnable</t>
  </si>
  <si>
    <t xml:space="preserve">La Ciudadela de la Montaña Hueca</t>
  </si>
  <si>
    <t xml:space="preserve">MEGANATIONS_junta_fortaleza</t>
  </si>
  <si>
    <t xml:space="preserve">JUNTA_el_ejercito_manda</t>
  </si>
  <si>
    <t xml:space="preserve">El Ejército de los Iniciados</t>
  </si>
  <si>
    <t xml:space="preserve">MEGANATIONS_junta_ofensiva</t>
  </si>
  <si>
    <t xml:space="preserve">JUNTA_los_arsenales_abiertos</t>
  </si>
  <si>
    <t xml:space="preserve">Las Armas de los Templos Sellados</t>
  </si>
  <si>
    <t xml:space="preserve">JUNTA_la_leva_de_los_generales</t>
  </si>
  <si>
    <t xml:space="preserve">La Leva de la Profecía</t>
  </si>
  <si>
    <t xml:space="preserve">MEGANATIONS_junta_furia (temporal)</t>
  </si>
  <si>
    <t xml:space="preserve">JUNTA_blindados_al_frente</t>
  </si>
  <si>
    <t xml:space="preserve">Los Carros del Eclipse</t>
  </si>
  <si>
    <t xml:space="preserve">MEGANATIONS_junta_blindados</t>
  </si>
  <si>
    <t xml:space="preserve">JUNTA_el_golpe_de_gracia</t>
  </si>
  <si>
    <t xml:space="preserve">El Eclipse Total</t>
  </si>
  <si>
    <t xml:space="preserve">MEGANATIONS_junta_golpe (temporal)</t>
  </si>
  <si>
    <t xml:space="preserve">JUNTA_el_mando_supremo</t>
  </si>
  <si>
    <t xml:space="preserve">La Orden del Sol Negro</t>
  </si>
  <si>
    <t xml:space="preserve">MEGANATIONS_junta_mando_supremo (temporal)</t>
  </si>
  <si>
    <t xml:space="preserve">Modificador</t>
  </si>
  <si>
    <t xml:space="preserve">Peso (por +100%)</t>
  </si>
  <si>
    <t xml:space="preserve">air_ace_bonuses_factor</t>
  </si>
  <si>
    <t xml:space="preserve">air_ace_generation_chance_factor</t>
  </si>
  <si>
    <t xml:space="preserve">air_agility_factor</t>
  </si>
  <si>
    <t xml:space="preserve">air_attack_factor</t>
  </si>
  <si>
    <t xml:space="preserve">air_defence_factor</t>
  </si>
  <si>
    <t xml:space="preserve">air_interception_detect_factor</t>
  </si>
  <si>
    <t xml:space="preserve">air_superiority_efficiency</t>
  </si>
  <si>
    <t xml:space="preserve">army_armor_attack_factor</t>
  </si>
  <si>
    <t xml:space="preserve">army_armor_defence_factor</t>
  </si>
  <si>
    <t xml:space="preserve">army_attack_factor</t>
  </si>
  <si>
    <t xml:space="preserve">army_defence_factor</t>
  </si>
  <si>
    <t xml:space="preserve">army_org_factor</t>
  </si>
  <si>
    <t xml:space="preserve">attrition</t>
  </si>
  <si>
    <t xml:space="preserve">consumer_goods_factor</t>
  </si>
  <si>
    <t xml:space="preserve">democratic_drift</t>
  </si>
  <si>
    <t xml:space="preserve">enemy_justify_war_goal_time</t>
  </si>
  <si>
    <t xml:space="preserve">experience_gain_air</t>
  </si>
  <si>
    <t xml:space="preserve">experience_gain_army</t>
  </si>
  <si>
    <t xml:space="preserve">industrial_capacity_dockyard</t>
  </si>
  <si>
    <t xml:space="preserve">industrial_capacity_factory</t>
  </si>
  <si>
    <t xml:space="preserve">local_resources_factor</t>
  </si>
  <si>
    <t xml:space="preserve">monthly_population</t>
  </si>
  <si>
    <t xml:space="preserve">navy_org_factor</t>
  </si>
  <si>
    <t xml:space="preserve">political_power_gain</t>
  </si>
  <si>
    <t xml:space="preserve">production_speed_arms_factory_factor</t>
  </si>
  <si>
    <t xml:space="preserve">production_speed_buildings_factor</t>
  </si>
  <si>
    <t xml:space="preserve">production_speed_infrastructure_factor</t>
  </si>
  <si>
    <t xml:space="preserve">recruitable_population_factor</t>
  </si>
  <si>
    <t xml:space="preserve">research_speed_factor</t>
  </si>
  <si>
    <t xml:space="preserve">stability_factor</t>
  </si>
  <si>
    <t xml:space="preserve">supply_consumption_factor</t>
  </si>
  <si>
    <t xml:space="preserve">trade_opinion_factor</t>
  </si>
  <si>
    <t xml:space="preserve">war_support_factor</t>
  </si>
  <si>
    <t xml:space="preserve">Puntaje de espíritus</t>
  </si>
  <si>
    <t xml:space="preserve">Beneficio</t>
  </si>
  <si>
    <t xml:space="preserve">Peso (puntos por unidad)</t>
  </si>
  <si>
    <t xml:space="preserve">Qué significa</t>
  </si>
  <si>
    <t xml:space="preserve">0: los días no suman puntos</t>
  </si>
  <si>
    <t xml:space="preserve">1 punto por cada poder político</t>
  </si>
  <si>
    <t xml:space="preserve">por cada 1% de estabilidad</t>
  </si>
  <si>
    <t xml:space="preserve">por cada 1% de apoyo a la guerra</t>
  </si>
  <si>
    <t xml:space="preserve">por cada hombre (500 hombres = 1 punto)</t>
  </si>
  <si>
    <t xml:space="preserve">por cada casilla de investigación</t>
  </si>
  <si>
    <t xml:space="preserve">por cada uso de bono de tecnología</t>
  </si>
  <si>
    <t xml:space="preserve">por cada fábrica civil</t>
  </si>
  <si>
    <t xml:space="preserve">por cada fábrica militar</t>
  </si>
  <si>
    <t xml:space="preserve">por cada astillero</t>
  </si>
  <si>
    <t xml:space="preserve">por cada unidad de equipo (50 = 1 punto)</t>
  </si>
  <si>
    <t xml:space="preserve">por cada división</t>
  </si>
  <si>
    <t xml:space="preserve">por cada caza</t>
  </si>
  <si>
    <t xml:space="preserve">0: los espíritus se valoran por sus efectos, con los pesos de la hoja Espíritus</t>
  </si>
  <si>
    <t xml:space="preserve">Cómo se cuenta (generado por tools/focos_balance.py desde spec/07_focus_trees.yaml):</t>
  </si>
  <si>
    <t xml:space="preserve">- Se suman TODOS los focos de cada árbol, aunque algunos sean excluyentes (columna 'Excluye a').</t>
  </si>
  <si>
    <t xml:space="preserve">- 'Estabilidad' y 'Apoyo a la guerra' son los puntos que se suman en el acto (no los de los espíritus).</t>
  </si>
  <si>
    <t xml:space="preserve">- Un 'states' al azar cuenta como 1 región; dentro de un 'if' cuenta solo lo de 'then'.</t>
  </si>
  <si>
    <t xml:space="preserve">- Un 'random' cuenta el promedio pesado de sus opciones.</t>
  </si>
  <si>
    <t xml:space="preserve">- 'Espíritus' (hoja) es la suma neta de modificadores de los espíritus permanentes que dejan los focos:</t>
  </si>
  <si>
    <t xml:space="preserve">  agregados menos quitados (los reemplazos por nivel cuentan solo el último). Los temporales no suman.</t>
  </si>
  <si>
    <t xml:space="preserve">- Los espíritus vivos que dependen de una variable de la mecánica no tienen valor fijo: no suman.</t>
  </si>
  <si>
    <t xml:space="preserve">- No incluye la repoblación (depende del mapa instalado) ni lo que dan los eventos que disparan los focos.</t>
  </si>
  <si>
    <t xml:space="preserve">- 'Puntaje en el acto' = suma de cada beneficio por su peso de la hoja Pesos (celdas amarillas, editables).</t>
  </si>
  <si>
    <t xml:space="preserve">- 'Puntaje de espíritus' = cada modificador neto por su peso de la hoja Espíritus (columna B, amarilla).</t>
  </si>
  <si>
    <t xml:space="preserve">- Los pesos son inventados para comparar con una misma vara; no salen del juego. Cambialos a gusto.</t>
  </si>
  <si>
    <t xml:space="preserve">- 'Total vs promedio' compara el total con el promedio de las 8 potencias (filas 2 a 9).</t>
  </si>
  <si>
    <t xml:space="preserve">- Las anarquías, las Tierras Sin Ley (ZAN) y la Junta tienen árboles cortos: no se comparan con las potencias.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</si>
</sst>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;\-0%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3EA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7" min="1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27</v>
      </c>
      <c r="B2" s="2" t="n">
        <f aca="false">COUNTIF('Por foco'!$A$2:$A$579,$A2)</f>
        <v>70</v>
      </c>
      <c r="C2" s="2" t="n">
        <f aca="false">SUMIFS('Por foco'!$E$2:$E$579,'Por foco'!$A$2:$A$579,$A2)</f>
        <v>4487</v>
      </c>
      <c r="D2" s="2" t="n">
        <f aca="false">SUMIFS('Por foco'!$F$2:$F$579,'Por foco'!$A$2:$A$579,$A2)</f>
        <v>1470</v>
      </c>
      <c r="E2" s="2" t="n">
        <f aca="false">SUMIFS('Por foco'!$G$2:$G$579,'Por foco'!$A$2:$A$579,$A2)</f>
        <v>0</v>
      </c>
      <c r="F2" s="2" t="n">
        <f aca="false">SUMIFS('Por foco'!$H$2:$H$579,'Por foco'!$A$2:$A$579,$A2)</f>
        <v>15</v>
      </c>
      <c r="G2" s="2" t="n">
        <f aca="false">SUMIFS('Por foco'!$I$2:$I$579,'Por foco'!$A$2:$A$579,$A2)</f>
        <v>80000</v>
      </c>
      <c r="H2" s="2" t="n">
        <f aca="false">SUMIFS('Por foco'!$J$2:$J$579,'Por foco'!$A$2:$A$579,$A2)</f>
        <v>100</v>
      </c>
      <c r="I2" s="2" t="n">
        <f aca="false">SUMIFS('Por foco'!$K$2:$K$579,'Por foco'!$A$2:$A$579,$A2)</f>
        <v>0</v>
      </c>
      <c r="J2" s="2" t="n">
        <f aca="false">SUMIFS('Por foco'!$L$2:$L$579,'Por foco'!$A$2:$A$579,$A2)</f>
        <v>75</v>
      </c>
      <c r="K2" s="2" t="n">
        <f aca="false">SUMIFS('Por foco'!$M$2:$M$579,'Por foco'!$A$2:$A$579,$A2)</f>
        <v>2</v>
      </c>
      <c r="L2" s="2" t="n">
        <f aca="false">SUMIFS('Por foco'!$N$2:$N$579,'Por foco'!$A$2:$A$579,$A2)</f>
        <v>16</v>
      </c>
      <c r="M2" s="2" t="n">
        <f aca="false">SUMIFS('Por foco'!$O$2:$O$579,'Por foco'!$A$2:$A$579,$A2)</f>
        <v>17</v>
      </c>
      <c r="N2" s="2" t="n">
        <f aca="false">SUMIFS('Por foco'!$P$2:$P$579,'Por foco'!$A$2:$A$579,$A2)</f>
        <v>7</v>
      </c>
      <c r="O2" s="2" t="n">
        <f aca="false">SUMIFS('Por foco'!$Q$2:$Q$579,'Por foco'!$A$2:$A$579,$A2)</f>
        <v>4</v>
      </c>
      <c r="P2" s="2" t="n">
        <f aca="false">SUMIFS('Por foco'!$R$2:$R$579,'Por foco'!$A$2:$A$579,$A2)</f>
        <v>0</v>
      </c>
      <c r="Q2" s="2" t="n">
        <f aca="false">SUMIFS('Por foco'!$S$2:$S$579,'Por foco'!$A$2:$A$579,$A2)</f>
        <v>2</v>
      </c>
      <c r="R2" s="2" t="n">
        <f aca="false">SUMIFS('Por foco'!$T$2:$T$579,'Por foco'!$A$2:$A$579,$A2)</f>
        <v>0</v>
      </c>
      <c r="S2" s="2" t="n">
        <f aca="false">SUMIFS('Por foco'!$U$2:$U$579,'Por foco'!$A$2:$A$579,$A2)</f>
        <v>0</v>
      </c>
      <c r="T2" s="2" t="n">
        <f aca="false">SUMIFS('Por foco'!$V$2:$V$579,'Por foco'!$A$2:$A$579,$A2)</f>
        <v>150</v>
      </c>
      <c r="U2" s="2" t="n">
        <f aca="false">SUMIFS('Por foco'!$W$2:$W$579,'Por foco'!$A$2:$A$579,$A2)</f>
        <v>11</v>
      </c>
      <c r="V2" s="2" t="n">
        <f aca="false">SUMIFS('Por foco'!$X$2:$X$579,'Por foco'!$A$2:$A$579,$A2)</f>
        <v>29</v>
      </c>
      <c r="W2" s="3" t="n">
        <f aca="false">C2*Pesos!$B$2+D2*Pesos!$B$3+E2*Pesos!$B$4+F2*Pesos!$B$5+G2*Pesos!$B$6+H2*Pesos!$B$7+I2*Pesos!$B$8+J2*Pesos!$B$9+K2*Pesos!$B$10+L2*Pesos!$B$11+M2*Pesos!$B$12+N2*Pesos!$B$13+O2*Pesos!$B$14+P2*Pesos!$B$15+Q2*Pesos!$B$16+R2*Pesos!$B$17+S2*Pesos!$B$18+T2*Pesos!$B$19+U2*Pesos!$B$20+V2*Pesos!$B$21</f>
        <v>5740</v>
      </c>
      <c r="X2" s="3" t="n">
        <f aca="false">Espíritus!C35</f>
        <v>4826</v>
      </c>
      <c r="Y2" s="3" t="n">
        <f aca="false">W2+X2</f>
        <v>10566</v>
      </c>
      <c r="Z2" s="4" t="n">
        <f aca="false">IF($Y$16=0,0,Y2/$Y$16-1)</f>
        <v>-0.0534484496254242</v>
      </c>
      <c r="AA2" s="2" t="n">
        <f aca="false">COUNTIFS('Por foco'!$A$2:$A$579,$A2,'Por foco'!$AA$2:$AA$579,"?*")</f>
        <v>4</v>
      </c>
    </row>
    <row r="3" customFormat="false" ht="15" hidden="false" customHeight="false" outlineLevel="0" collapsed="false">
      <c r="A3" s="2" t="s">
        <v>28</v>
      </c>
      <c r="B3" s="2" t="n">
        <f aca="false">COUNTIF('Por foco'!$A$2:$A$579,$A3)</f>
        <v>69</v>
      </c>
      <c r="C3" s="2" t="n">
        <f aca="false">SUMIFS('Por foco'!$E$2:$E$579,'Por foco'!$A$2:$A$579,$A3)</f>
        <v>4466</v>
      </c>
      <c r="D3" s="2" t="n">
        <f aca="false">SUMIFS('Por foco'!$F$2:$F$579,'Por foco'!$A$2:$A$579,$A3)</f>
        <v>1270</v>
      </c>
      <c r="E3" s="2" t="n">
        <f aca="false">SUMIFS('Por foco'!$G$2:$G$579,'Por foco'!$A$2:$A$579,$A3)</f>
        <v>5</v>
      </c>
      <c r="F3" s="2" t="n">
        <f aca="false">SUMIFS('Por foco'!$H$2:$H$579,'Por foco'!$A$2:$A$579,$A3)</f>
        <v>15</v>
      </c>
      <c r="G3" s="2" t="n">
        <f aca="false">SUMIFS('Por foco'!$I$2:$I$579,'Por foco'!$A$2:$A$579,$A3)</f>
        <v>100000</v>
      </c>
      <c r="H3" s="2" t="n">
        <f aca="false">SUMIFS('Por foco'!$J$2:$J$579,'Por foco'!$A$2:$A$579,$A3)</f>
        <v>75</v>
      </c>
      <c r="I3" s="2" t="n">
        <f aca="false">SUMIFS('Por foco'!$K$2:$K$579,'Por foco'!$A$2:$A$579,$A3)</f>
        <v>0</v>
      </c>
      <c r="J3" s="2" t="n">
        <f aca="false">SUMIFS('Por foco'!$L$2:$L$579,'Por foco'!$A$2:$A$579,$A3)</f>
        <v>0</v>
      </c>
      <c r="K3" s="2" t="n">
        <f aca="false">SUMIFS('Por foco'!$M$2:$M$579,'Por foco'!$A$2:$A$579,$A3)</f>
        <v>5</v>
      </c>
      <c r="L3" s="2" t="n">
        <f aca="false">SUMIFS('Por foco'!$N$2:$N$579,'Por foco'!$A$2:$A$579,$A3)</f>
        <v>12</v>
      </c>
      <c r="M3" s="2" t="n">
        <f aca="false">SUMIFS('Por foco'!$O$2:$O$579,'Por foco'!$A$2:$A$579,$A3)</f>
        <v>11</v>
      </c>
      <c r="N3" s="2" t="n">
        <f aca="false">SUMIFS('Por foco'!$P$2:$P$579,'Por foco'!$A$2:$A$579,$A3)</f>
        <v>6</v>
      </c>
      <c r="O3" s="2" t="n">
        <f aca="false">SUMIFS('Por foco'!$Q$2:$Q$579,'Por foco'!$A$2:$A$579,$A3)</f>
        <v>7</v>
      </c>
      <c r="P3" s="2" t="n">
        <f aca="false">SUMIFS('Por foco'!$R$2:$R$579,'Por foco'!$A$2:$A$579,$A3)</f>
        <v>1</v>
      </c>
      <c r="Q3" s="2" t="n">
        <f aca="false">SUMIFS('Por foco'!$S$2:$S$579,'Por foco'!$A$2:$A$579,$A3)</f>
        <v>0</v>
      </c>
      <c r="R3" s="2" t="n">
        <f aca="false">SUMIFS('Por foco'!$T$2:$T$579,'Por foco'!$A$2:$A$579,$A3)</f>
        <v>0</v>
      </c>
      <c r="S3" s="2" t="n">
        <f aca="false">SUMIFS('Por foco'!$U$2:$U$579,'Por foco'!$A$2:$A$579,$A3)</f>
        <v>0</v>
      </c>
      <c r="T3" s="2" t="n">
        <f aca="false">SUMIFS('Por foco'!$V$2:$V$579,'Por foco'!$A$2:$A$579,$A3)</f>
        <v>100</v>
      </c>
      <c r="U3" s="2" t="n">
        <f aca="false">SUMIFS('Por foco'!$W$2:$W$579,'Por foco'!$A$2:$A$579,$A3)</f>
        <v>8</v>
      </c>
      <c r="V3" s="2" t="n">
        <f aca="false">SUMIFS('Por foco'!$X$2:$X$579,'Por foco'!$A$2:$A$579,$A3)</f>
        <v>19</v>
      </c>
      <c r="W3" s="3" t="n">
        <f aca="false">C3*Pesos!$B$2+D3*Pesos!$B$3+E3*Pesos!$B$4+F3*Pesos!$B$5+G3*Pesos!$B$6+H3*Pesos!$B$7+I3*Pesos!$B$8+J3*Pesos!$B$9+K3*Pesos!$B$10+L3*Pesos!$B$11+M3*Pesos!$B$12+N3*Pesos!$B$13+O3*Pesos!$B$14+P3*Pesos!$B$15+Q3*Pesos!$B$16+R3*Pesos!$B$17+S3*Pesos!$B$18+T3*Pesos!$B$19+U3*Pesos!$B$20+V3*Pesos!$B$21</f>
        <v>5740</v>
      </c>
      <c r="X3" s="3" t="n">
        <f aca="false">Espíritus!D35</f>
        <v>5590.5</v>
      </c>
      <c r="Y3" s="3" t="n">
        <f aca="false">W3+X3</f>
        <v>11330.5</v>
      </c>
      <c r="Z3" s="4" t="n">
        <f aca="false">IF($Y$16=0,0,Y3/$Y$16-1)</f>
        <v>0.0150390253188655</v>
      </c>
      <c r="AA3" s="2" t="n">
        <f aca="false">COUNTIFS('Por foco'!$A$2:$A$579,$A3,'Por foco'!$AA$2:$AA$579,"?*")</f>
        <v>4</v>
      </c>
    </row>
    <row r="4" customFormat="false" ht="15" hidden="false" customHeight="false" outlineLevel="0" collapsed="false">
      <c r="A4" s="2" t="s">
        <v>29</v>
      </c>
      <c r="B4" s="2" t="n">
        <f aca="false">COUNTIF('Por foco'!$A$2:$A$579,$A4)</f>
        <v>67</v>
      </c>
      <c r="C4" s="2" t="n">
        <f aca="false">SUMIFS('Por foco'!$E$2:$E$579,'Por foco'!$A$2:$A$579,$A4)</f>
        <v>4221</v>
      </c>
      <c r="D4" s="2" t="n">
        <f aca="false">SUMIFS('Por foco'!$F$2:$F$579,'Por foco'!$A$2:$A$579,$A4)</f>
        <v>1570</v>
      </c>
      <c r="E4" s="2" t="n">
        <f aca="false">SUMIFS('Por foco'!$G$2:$G$579,'Por foco'!$A$2:$A$579,$A4)</f>
        <v>15</v>
      </c>
      <c r="F4" s="2" t="n">
        <f aca="false">SUMIFS('Por foco'!$H$2:$H$579,'Por foco'!$A$2:$A$579,$A4)</f>
        <v>15</v>
      </c>
      <c r="G4" s="2" t="n">
        <f aca="false">SUMIFS('Por foco'!$I$2:$I$579,'Por foco'!$A$2:$A$579,$A4)</f>
        <v>100000</v>
      </c>
      <c r="H4" s="2" t="n">
        <f aca="false">SUMIFS('Por foco'!$J$2:$J$579,'Por foco'!$A$2:$A$579,$A4)</f>
        <v>75</v>
      </c>
      <c r="I4" s="2" t="n">
        <f aca="false">SUMIFS('Por foco'!$K$2:$K$579,'Por foco'!$A$2:$A$579,$A4)</f>
        <v>50</v>
      </c>
      <c r="J4" s="2" t="n">
        <f aca="false">SUMIFS('Por foco'!$L$2:$L$579,'Por foco'!$A$2:$A$579,$A4)</f>
        <v>0</v>
      </c>
      <c r="K4" s="2" t="n">
        <f aca="false">SUMIFS('Por foco'!$M$2:$M$579,'Por foco'!$A$2:$A$579,$A4)</f>
        <v>2</v>
      </c>
      <c r="L4" s="2" t="n">
        <f aca="false">SUMIFS('Por foco'!$N$2:$N$579,'Por foco'!$A$2:$A$579,$A4)</f>
        <v>10</v>
      </c>
      <c r="M4" s="2" t="n">
        <f aca="false">SUMIFS('Por foco'!$O$2:$O$579,'Por foco'!$A$2:$A$579,$A4)</f>
        <v>16</v>
      </c>
      <c r="N4" s="2" t="n">
        <f aca="false">SUMIFS('Por foco'!$P$2:$P$579,'Por foco'!$A$2:$A$579,$A4)</f>
        <v>8</v>
      </c>
      <c r="O4" s="2" t="n">
        <f aca="false">SUMIFS('Por foco'!$Q$2:$Q$579,'Por foco'!$A$2:$A$579,$A4)</f>
        <v>9</v>
      </c>
      <c r="P4" s="2" t="n">
        <f aca="false">SUMIFS('Por foco'!$R$2:$R$579,'Por foco'!$A$2:$A$579,$A4)</f>
        <v>4</v>
      </c>
      <c r="Q4" s="2" t="n">
        <f aca="false">SUMIFS('Por foco'!$S$2:$S$579,'Por foco'!$A$2:$A$579,$A4)</f>
        <v>0</v>
      </c>
      <c r="R4" s="2" t="n">
        <f aca="false">SUMIFS('Por foco'!$T$2:$T$579,'Por foco'!$A$2:$A$579,$A4)</f>
        <v>0</v>
      </c>
      <c r="S4" s="2" t="n">
        <f aca="false">SUMIFS('Por foco'!$U$2:$U$579,'Por foco'!$A$2:$A$579,$A4)</f>
        <v>0</v>
      </c>
      <c r="T4" s="2" t="n">
        <f aca="false">SUMIFS('Por foco'!$V$2:$V$579,'Por foco'!$A$2:$A$579,$A4)</f>
        <v>120</v>
      </c>
      <c r="U4" s="2" t="n">
        <f aca="false">SUMIFS('Por foco'!$W$2:$W$579,'Por foco'!$A$2:$A$579,$A4)</f>
        <v>7</v>
      </c>
      <c r="V4" s="2" t="n">
        <f aca="false">SUMIFS('Por foco'!$X$2:$X$579,'Por foco'!$A$2:$A$579,$A4)</f>
        <v>23</v>
      </c>
      <c r="W4" s="3" t="n">
        <f aca="false">C4*Pesos!$B$2+D4*Pesos!$B$3+E4*Pesos!$B$4+F4*Pesos!$B$5+G4*Pesos!$B$6+H4*Pesos!$B$7+I4*Pesos!$B$8+J4*Pesos!$B$9+K4*Pesos!$B$10+L4*Pesos!$B$11+M4*Pesos!$B$12+N4*Pesos!$B$13+O4*Pesos!$B$14+P4*Pesos!$B$15+Q4*Pesos!$B$16+R4*Pesos!$B$17+S4*Pesos!$B$18+T4*Pesos!$B$19+U4*Pesos!$B$20+V4*Pesos!$B$21</f>
        <v>6055</v>
      </c>
      <c r="X4" s="3" t="n">
        <f aca="false">Espíritus!E35</f>
        <v>4468.5</v>
      </c>
      <c r="Y4" s="3" t="n">
        <f aca="false">W4+X4</f>
        <v>10523.5</v>
      </c>
      <c r="Z4" s="4" t="n">
        <f aca="false">IF($Y$16=0,0,Y4/$Y$16-1)</f>
        <v>-0.0572557978074154</v>
      </c>
      <c r="AA4" s="2" t="n">
        <f aca="false">COUNTIFS('Por foco'!$A$2:$A$579,$A4,'Por foco'!$AA$2:$AA$579,"?*")</f>
        <v>6</v>
      </c>
    </row>
    <row r="5" customFormat="false" ht="15" hidden="false" customHeight="false" outlineLevel="0" collapsed="false">
      <c r="A5" s="2" t="s">
        <v>30</v>
      </c>
      <c r="B5" s="2" t="n">
        <f aca="false">COUNTIF('Por foco'!$A$2:$A$579,$A5)</f>
        <v>64</v>
      </c>
      <c r="C5" s="2" t="n">
        <f aca="false">SUMIFS('Por foco'!$E$2:$E$579,'Por foco'!$A$2:$A$579,$A5)</f>
        <v>4137</v>
      </c>
      <c r="D5" s="2" t="n">
        <f aca="false">SUMIFS('Por foco'!$F$2:$F$579,'Por foco'!$A$2:$A$579,$A5)</f>
        <v>1720</v>
      </c>
      <c r="E5" s="2" t="n">
        <f aca="false">SUMIFS('Por foco'!$G$2:$G$579,'Por foco'!$A$2:$A$579,$A5)</f>
        <v>5</v>
      </c>
      <c r="F5" s="2" t="n">
        <f aca="false">SUMIFS('Por foco'!$H$2:$H$579,'Por foco'!$A$2:$A$579,$A5)</f>
        <v>15</v>
      </c>
      <c r="G5" s="2" t="n">
        <f aca="false">SUMIFS('Por foco'!$I$2:$I$579,'Por foco'!$A$2:$A$579,$A5)</f>
        <v>75000</v>
      </c>
      <c r="H5" s="2" t="n">
        <f aca="false">SUMIFS('Por foco'!$J$2:$J$579,'Por foco'!$A$2:$A$579,$A5)</f>
        <v>150</v>
      </c>
      <c r="I5" s="2" t="n">
        <f aca="false">SUMIFS('Por foco'!$K$2:$K$579,'Por foco'!$A$2:$A$579,$A5)</f>
        <v>255</v>
      </c>
      <c r="J5" s="2" t="n">
        <f aca="false">SUMIFS('Por foco'!$L$2:$L$579,'Por foco'!$A$2:$A$579,$A5)</f>
        <v>0</v>
      </c>
      <c r="K5" s="2" t="n">
        <f aca="false">SUMIFS('Por foco'!$M$2:$M$579,'Por foco'!$A$2:$A$579,$A5)</f>
        <v>2</v>
      </c>
      <c r="L5" s="2" t="n">
        <f aca="false">SUMIFS('Por foco'!$N$2:$N$579,'Por foco'!$A$2:$A$579,$A5)</f>
        <v>7</v>
      </c>
      <c r="M5" s="2" t="n">
        <f aca="false">SUMIFS('Por foco'!$O$2:$O$579,'Por foco'!$A$2:$A$579,$A5)</f>
        <v>9</v>
      </c>
      <c r="N5" s="2" t="n">
        <f aca="false">SUMIFS('Por foco'!$P$2:$P$579,'Por foco'!$A$2:$A$579,$A5)</f>
        <v>3</v>
      </c>
      <c r="O5" s="2" t="n">
        <f aca="false">SUMIFS('Por foco'!$Q$2:$Q$579,'Por foco'!$A$2:$A$579,$A5)</f>
        <v>21</v>
      </c>
      <c r="P5" s="2" t="n">
        <f aca="false">SUMIFS('Por foco'!$R$2:$R$579,'Por foco'!$A$2:$A$579,$A5)</f>
        <v>7</v>
      </c>
      <c r="Q5" s="2" t="n">
        <f aca="false">SUMIFS('Por foco'!$S$2:$S$579,'Por foco'!$A$2:$A$579,$A5)</f>
        <v>3</v>
      </c>
      <c r="R5" s="2" t="n">
        <f aca="false">SUMIFS('Por foco'!$T$2:$T$579,'Por foco'!$A$2:$A$579,$A5)</f>
        <v>0</v>
      </c>
      <c r="S5" s="2" t="n">
        <f aca="false">SUMIFS('Por foco'!$U$2:$U$579,'Por foco'!$A$2:$A$579,$A5)</f>
        <v>0</v>
      </c>
      <c r="T5" s="2" t="n">
        <f aca="false">SUMIFS('Por foco'!$V$2:$V$579,'Por foco'!$A$2:$A$579,$A5)</f>
        <v>80</v>
      </c>
      <c r="U5" s="2" t="n">
        <f aca="false">SUMIFS('Por foco'!$W$2:$W$579,'Por foco'!$A$2:$A$579,$A5)</f>
        <v>12</v>
      </c>
      <c r="V5" s="2" t="n">
        <f aca="false">SUMIFS('Por foco'!$X$2:$X$579,'Por foco'!$A$2:$A$579,$A5)</f>
        <v>16</v>
      </c>
      <c r="W5" s="3" t="n">
        <f aca="false">C5*Pesos!$B$2+D5*Pesos!$B$3+E5*Pesos!$B$4+F5*Pesos!$B$5+G5*Pesos!$B$6+H5*Pesos!$B$7+I5*Pesos!$B$8+J5*Pesos!$B$9+K5*Pesos!$B$10+L5*Pesos!$B$11+M5*Pesos!$B$12+N5*Pesos!$B$13+O5*Pesos!$B$14+P5*Pesos!$B$15+Q5*Pesos!$B$16+R5*Pesos!$B$17+S5*Pesos!$B$18+T5*Pesos!$B$19+U5*Pesos!$B$20+V5*Pesos!$B$21</f>
        <v>6035</v>
      </c>
      <c r="X5" s="3" t="n">
        <f aca="false">Espíritus!F35</f>
        <v>3207.5</v>
      </c>
      <c r="Y5" s="3" t="n">
        <f aca="false">W5+X5</f>
        <v>9242.5</v>
      </c>
      <c r="Z5" s="4" t="n">
        <f aca="false">IF($Y$16=0,0,Y5/$Y$16-1)</f>
        <v>-0.172013751245787</v>
      </c>
      <c r="AA5" s="2" t="n">
        <f aca="false">COUNTIFS('Por foco'!$A$2:$A$579,$A5,'Por foco'!$AA$2:$AA$579,"?*")</f>
        <v>4</v>
      </c>
    </row>
    <row r="6" customFormat="false" ht="15" hidden="false" customHeight="false" outlineLevel="0" collapsed="false">
      <c r="A6" s="2" t="s">
        <v>31</v>
      </c>
      <c r="B6" s="2" t="n">
        <f aca="false">COUNTIF('Por foco'!$A$2:$A$579,$A6)</f>
        <v>68</v>
      </c>
      <c r="C6" s="2" t="n">
        <f aca="false">SUMIFS('Por foco'!$E$2:$E$579,'Por foco'!$A$2:$A$579,$A6)</f>
        <v>4417</v>
      </c>
      <c r="D6" s="2" t="n">
        <f aca="false">SUMIFS('Por foco'!$F$2:$F$579,'Por foco'!$A$2:$A$579,$A6)</f>
        <v>1170</v>
      </c>
      <c r="E6" s="2" t="n">
        <f aca="false">SUMIFS('Por foco'!$G$2:$G$579,'Por foco'!$A$2:$A$579,$A6)</f>
        <v>38</v>
      </c>
      <c r="F6" s="2" t="n">
        <f aca="false">SUMIFS('Por foco'!$H$2:$H$579,'Por foco'!$A$2:$A$579,$A6)</f>
        <v>25</v>
      </c>
      <c r="G6" s="2" t="n">
        <f aca="false">SUMIFS('Por foco'!$I$2:$I$579,'Por foco'!$A$2:$A$579,$A6)</f>
        <v>80000</v>
      </c>
      <c r="H6" s="2" t="n">
        <f aca="false">SUMIFS('Por foco'!$J$2:$J$579,'Por foco'!$A$2:$A$579,$A6)</f>
        <v>325</v>
      </c>
      <c r="I6" s="2" t="n">
        <f aca="false">SUMIFS('Por foco'!$K$2:$K$579,'Por foco'!$A$2:$A$579,$A6)</f>
        <v>25</v>
      </c>
      <c r="J6" s="2" t="n">
        <f aca="false">SUMIFS('Por foco'!$L$2:$L$579,'Por foco'!$A$2:$A$579,$A6)</f>
        <v>50</v>
      </c>
      <c r="K6" s="2" t="n">
        <f aca="false">SUMIFS('Por foco'!$M$2:$M$579,'Por foco'!$A$2:$A$579,$A6)</f>
        <v>4</v>
      </c>
      <c r="L6" s="2" t="n">
        <f aca="false">SUMIFS('Por foco'!$N$2:$N$579,'Por foco'!$A$2:$A$579,$A6)</f>
        <v>16</v>
      </c>
      <c r="M6" s="2" t="n">
        <f aca="false">SUMIFS('Por foco'!$O$2:$O$579,'Por foco'!$A$2:$A$579,$A6)</f>
        <v>16</v>
      </c>
      <c r="N6" s="2" t="n">
        <f aca="false">SUMIFS('Por foco'!$P$2:$P$579,'Por foco'!$A$2:$A$579,$A6)</f>
        <v>2</v>
      </c>
      <c r="O6" s="2" t="n">
        <f aca="false">SUMIFS('Por foco'!$Q$2:$Q$579,'Por foco'!$A$2:$A$579,$A6)</f>
        <v>4</v>
      </c>
      <c r="P6" s="2" t="n">
        <f aca="false">SUMIFS('Por foco'!$R$2:$R$579,'Por foco'!$A$2:$A$579,$A6)</f>
        <v>2</v>
      </c>
      <c r="Q6" s="2" t="n">
        <f aca="false">SUMIFS('Por foco'!$S$2:$S$579,'Por foco'!$A$2:$A$579,$A6)</f>
        <v>5</v>
      </c>
      <c r="R6" s="2" t="n">
        <f aca="false">SUMIFS('Por foco'!$T$2:$T$579,'Por foco'!$A$2:$A$579,$A6)</f>
        <v>0</v>
      </c>
      <c r="S6" s="2" t="n">
        <f aca="false">SUMIFS('Por foco'!$U$2:$U$579,'Por foco'!$A$2:$A$579,$A6)</f>
        <v>0</v>
      </c>
      <c r="T6" s="2" t="n">
        <f aca="false">SUMIFS('Por foco'!$V$2:$V$579,'Por foco'!$A$2:$A$579,$A6)</f>
        <v>300</v>
      </c>
      <c r="U6" s="2" t="n">
        <f aca="false">SUMIFS('Por foco'!$W$2:$W$579,'Por foco'!$A$2:$A$579,$A6)</f>
        <v>22</v>
      </c>
      <c r="V6" s="2" t="n">
        <f aca="false">SUMIFS('Por foco'!$X$2:$X$579,'Por foco'!$A$2:$A$579,$A6)</f>
        <v>20</v>
      </c>
      <c r="W6" s="3" t="n">
        <f aca="false">C6*Pesos!$B$2+D6*Pesos!$B$3+E6*Pesos!$B$4+F6*Pesos!$B$5+G6*Pesos!$B$6+H6*Pesos!$B$7+I6*Pesos!$B$8+J6*Pesos!$B$9+K6*Pesos!$B$10+L6*Pesos!$B$11+M6*Pesos!$B$12+N6*Pesos!$B$13+O6*Pesos!$B$14+P6*Pesos!$B$15+Q6*Pesos!$B$16+R6*Pesos!$B$17+S6*Pesos!$B$18+T6*Pesos!$B$19+U6*Pesos!$B$20+V6*Pesos!$B$21</f>
        <v>6580</v>
      </c>
      <c r="X6" s="3" t="n">
        <f aca="false">Espíritus!G35</f>
        <v>5172.5</v>
      </c>
      <c r="Y6" s="3" t="n">
        <f aca="false">W6+X6</f>
        <v>11752.5</v>
      </c>
      <c r="Z6" s="4" t="n">
        <f aca="false">IF($Y$16=0,0,Y6/$Y$16-1)</f>
        <v>0.0528437531494608</v>
      </c>
      <c r="AA6" s="2" t="n">
        <f aca="false">COUNTIFS('Por foco'!$A$2:$A$579,$A6,'Por foco'!$AA$2:$AA$579,"?*")</f>
        <v>4</v>
      </c>
    </row>
    <row r="7" customFormat="false" ht="15" hidden="false" customHeight="false" outlineLevel="0" collapsed="false">
      <c r="A7" s="2" t="s">
        <v>32</v>
      </c>
      <c r="B7" s="2" t="n">
        <f aca="false">COUNTIF('Por foco'!$A$2:$A$579,$A7)</f>
        <v>65</v>
      </c>
      <c r="C7" s="2" t="n">
        <f aca="false">SUMIFS('Por foco'!$E$2:$E$579,'Por foco'!$A$2:$A$579,$A7)</f>
        <v>4123</v>
      </c>
      <c r="D7" s="2" t="n">
        <f aca="false">SUMIFS('Por foco'!$F$2:$F$579,'Por foco'!$A$2:$A$579,$A7)</f>
        <v>1120</v>
      </c>
      <c r="E7" s="2" t="n">
        <f aca="false">SUMIFS('Por foco'!$G$2:$G$579,'Por foco'!$A$2:$A$579,$A7)</f>
        <v>18</v>
      </c>
      <c r="F7" s="2" t="n">
        <f aca="false">SUMIFS('Por foco'!$H$2:$H$579,'Por foco'!$A$2:$A$579,$A7)</f>
        <v>15</v>
      </c>
      <c r="G7" s="2" t="n">
        <f aca="false">SUMIFS('Por foco'!$I$2:$I$579,'Por foco'!$A$2:$A$579,$A7)</f>
        <v>300000</v>
      </c>
      <c r="H7" s="2" t="n">
        <f aca="false">SUMIFS('Por foco'!$J$2:$J$579,'Por foco'!$A$2:$A$579,$A7)</f>
        <v>375</v>
      </c>
      <c r="I7" s="2" t="n">
        <f aca="false">SUMIFS('Por foco'!$K$2:$K$579,'Por foco'!$A$2:$A$579,$A7)</f>
        <v>25</v>
      </c>
      <c r="J7" s="2" t="n">
        <f aca="false">SUMIFS('Por foco'!$L$2:$L$579,'Por foco'!$A$2:$A$579,$A7)</f>
        <v>50</v>
      </c>
      <c r="K7" s="2" t="n">
        <f aca="false">SUMIFS('Por foco'!$M$2:$M$579,'Por foco'!$A$2:$A$579,$A7)</f>
        <v>4</v>
      </c>
      <c r="L7" s="2" t="n">
        <f aca="false">SUMIFS('Por foco'!$N$2:$N$579,'Por foco'!$A$2:$A$579,$A7)</f>
        <v>20</v>
      </c>
      <c r="M7" s="2" t="n">
        <f aca="false">SUMIFS('Por foco'!$O$2:$O$579,'Por foco'!$A$2:$A$579,$A7)</f>
        <v>17</v>
      </c>
      <c r="N7" s="2" t="n">
        <f aca="false">SUMIFS('Por foco'!$P$2:$P$579,'Por foco'!$A$2:$A$579,$A7)</f>
        <v>4</v>
      </c>
      <c r="O7" s="2" t="n">
        <f aca="false">SUMIFS('Por foco'!$Q$2:$Q$579,'Por foco'!$A$2:$A$579,$A7)</f>
        <v>4</v>
      </c>
      <c r="P7" s="2" t="n">
        <f aca="false">SUMIFS('Por foco'!$R$2:$R$579,'Por foco'!$A$2:$A$579,$A7)</f>
        <v>5</v>
      </c>
      <c r="Q7" s="2" t="n">
        <f aca="false">SUMIFS('Por foco'!$S$2:$S$579,'Por foco'!$A$2:$A$579,$A7)</f>
        <v>2</v>
      </c>
      <c r="R7" s="2" t="n">
        <f aca="false">SUMIFS('Por foco'!$T$2:$T$579,'Por foco'!$A$2:$A$579,$A7)</f>
        <v>0</v>
      </c>
      <c r="S7" s="2" t="n">
        <f aca="false">SUMIFS('Por foco'!$U$2:$U$579,'Por foco'!$A$2:$A$579,$A7)</f>
        <v>0</v>
      </c>
      <c r="T7" s="2" t="n">
        <f aca="false">SUMIFS('Por foco'!$V$2:$V$579,'Por foco'!$A$2:$A$579,$A7)</f>
        <v>100</v>
      </c>
      <c r="U7" s="2" t="n">
        <f aca="false">SUMIFS('Por foco'!$W$2:$W$579,'Por foco'!$A$2:$A$579,$A7)</f>
        <v>10</v>
      </c>
      <c r="V7" s="2" t="n">
        <f aca="false">SUMIFS('Por foco'!$X$2:$X$579,'Por foco'!$A$2:$A$579,$A7)</f>
        <v>18</v>
      </c>
      <c r="W7" s="3" t="n">
        <f aca="false">C7*Pesos!$B$2+D7*Pesos!$B$3+E7*Pesos!$B$4+F7*Pesos!$B$5+G7*Pesos!$B$6+H7*Pesos!$B$7+I7*Pesos!$B$8+J7*Pesos!$B$9+K7*Pesos!$B$10+L7*Pesos!$B$11+M7*Pesos!$B$12+N7*Pesos!$B$13+O7*Pesos!$B$14+P7*Pesos!$B$15+Q7*Pesos!$B$16+R7*Pesos!$B$17+S7*Pesos!$B$18+T7*Pesos!$B$19+U7*Pesos!$B$20+V7*Pesos!$B$21</f>
        <v>6775</v>
      </c>
      <c r="X7" s="3" t="n">
        <f aca="false">Espíritus!H35</f>
        <v>4694.5</v>
      </c>
      <c r="Y7" s="3" t="n">
        <f aca="false">W7+X7</f>
        <v>11469.5</v>
      </c>
      <c r="Z7" s="4" t="n">
        <f aca="false">IF($Y$16=0,0,Y7/$Y$16-1)</f>
        <v>0.0274912934905545</v>
      </c>
      <c r="AA7" s="2" t="n">
        <f aca="false">COUNTIFS('Por foco'!$A$2:$A$579,$A7,'Por foco'!$AA$2:$AA$579,"?*")</f>
        <v>4</v>
      </c>
    </row>
    <row r="8" customFormat="false" ht="15" hidden="false" customHeight="false" outlineLevel="0" collapsed="false">
      <c r="A8" s="2" t="s">
        <v>33</v>
      </c>
      <c r="B8" s="2" t="n">
        <f aca="false">COUNTIF('Por foco'!$A$2:$A$579,$A8)</f>
        <v>62</v>
      </c>
      <c r="C8" s="2" t="n">
        <f aca="false">SUMIFS('Por foco'!$E$2:$E$579,'Por foco'!$A$2:$A$579,$A8)</f>
        <v>4025</v>
      </c>
      <c r="D8" s="2" t="n">
        <f aca="false">SUMIFS('Por foco'!$F$2:$F$579,'Por foco'!$A$2:$A$579,$A8)</f>
        <v>1070</v>
      </c>
      <c r="E8" s="2" t="n">
        <f aca="false">SUMIFS('Por foco'!$G$2:$G$579,'Por foco'!$A$2:$A$579,$A8)</f>
        <v>18</v>
      </c>
      <c r="F8" s="2" t="n">
        <f aca="false">SUMIFS('Por foco'!$H$2:$H$579,'Por foco'!$A$2:$A$579,$A8)</f>
        <v>25</v>
      </c>
      <c r="G8" s="2" t="n">
        <f aca="false">SUMIFS('Por foco'!$I$2:$I$579,'Por foco'!$A$2:$A$579,$A8)</f>
        <v>320000</v>
      </c>
      <c r="H8" s="2" t="n">
        <f aca="false">SUMIFS('Por foco'!$J$2:$J$579,'Por foco'!$A$2:$A$579,$A8)</f>
        <v>425</v>
      </c>
      <c r="I8" s="2" t="n">
        <f aca="false">SUMIFS('Por foco'!$K$2:$K$579,'Por foco'!$A$2:$A$579,$A8)</f>
        <v>25</v>
      </c>
      <c r="J8" s="2" t="n">
        <f aca="false">SUMIFS('Por foco'!$L$2:$L$579,'Por foco'!$A$2:$A$579,$A8)</f>
        <v>50</v>
      </c>
      <c r="K8" s="2" t="n">
        <f aca="false">SUMIFS('Por foco'!$M$2:$M$579,'Por foco'!$A$2:$A$579,$A8)</f>
        <v>3</v>
      </c>
      <c r="L8" s="2" t="n">
        <f aca="false">SUMIFS('Por foco'!$N$2:$N$579,'Por foco'!$A$2:$A$579,$A8)</f>
        <v>21</v>
      </c>
      <c r="M8" s="2" t="n">
        <f aca="false">SUMIFS('Por foco'!$O$2:$O$579,'Por foco'!$A$2:$A$579,$A8)</f>
        <v>19</v>
      </c>
      <c r="N8" s="2" t="n">
        <f aca="false">SUMIFS('Por foco'!$P$2:$P$579,'Por foco'!$A$2:$A$579,$A8)</f>
        <v>2</v>
      </c>
      <c r="O8" s="2" t="n">
        <f aca="false">SUMIFS('Por foco'!$Q$2:$Q$579,'Por foco'!$A$2:$A$579,$A8)</f>
        <v>5</v>
      </c>
      <c r="P8" s="2" t="n">
        <f aca="false">SUMIFS('Por foco'!$R$2:$R$579,'Por foco'!$A$2:$A$579,$A8)</f>
        <v>4</v>
      </c>
      <c r="Q8" s="2" t="n">
        <f aca="false">SUMIFS('Por foco'!$S$2:$S$579,'Por foco'!$A$2:$A$579,$A8)</f>
        <v>3</v>
      </c>
      <c r="R8" s="2" t="n">
        <f aca="false">SUMIFS('Por foco'!$T$2:$T$579,'Por foco'!$A$2:$A$579,$A8)</f>
        <v>0</v>
      </c>
      <c r="S8" s="2" t="n">
        <f aca="false">SUMIFS('Por foco'!$U$2:$U$579,'Por foco'!$A$2:$A$579,$A8)</f>
        <v>0</v>
      </c>
      <c r="T8" s="2" t="n">
        <f aca="false">SUMIFS('Por foco'!$V$2:$V$579,'Por foco'!$A$2:$A$579,$A8)</f>
        <v>100</v>
      </c>
      <c r="U8" s="2" t="n">
        <f aca="false">SUMIFS('Por foco'!$W$2:$W$579,'Por foco'!$A$2:$A$579,$A8)</f>
        <v>15</v>
      </c>
      <c r="V8" s="2" t="n">
        <f aca="false">SUMIFS('Por foco'!$X$2:$X$579,'Por foco'!$A$2:$A$579,$A8)</f>
        <v>20</v>
      </c>
      <c r="W8" s="3" t="n">
        <f aca="false">C8*Pesos!$B$2+D8*Pesos!$B$3+E8*Pesos!$B$4+F8*Pesos!$B$5+G8*Pesos!$B$6+H8*Pesos!$B$7+I8*Pesos!$B$8+J8*Pesos!$B$9+K8*Pesos!$B$10+L8*Pesos!$B$11+M8*Pesos!$B$12+N8*Pesos!$B$13+O8*Pesos!$B$14+P8*Pesos!$B$15+Q8*Pesos!$B$16+R8*Pesos!$B$17+S8*Pesos!$B$18+T8*Pesos!$B$19+U8*Pesos!$B$20+V8*Pesos!$B$21</f>
        <v>6815</v>
      </c>
      <c r="X8" s="3" t="n">
        <f aca="false">Espíritus!I35</f>
        <v>5479.5</v>
      </c>
      <c r="Y8" s="3" t="n">
        <f aca="false">W8+X8</f>
        <v>12294.5</v>
      </c>
      <c r="Z8" s="4" t="n">
        <f aca="false">IF($Y$16=0,0,Y8/$Y$16-1)</f>
        <v>0.101398640552737</v>
      </c>
      <c r="AA8" s="2" t="n">
        <f aca="false">COUNTIFS('Por foco'!$A$2:$A$579,$A8,'Por foco'!$AA$2:$AA$579,"?*")</f>
        <v>4</v>
      </c>
    </row>
    <row r="9" customFormat="false" ht="15" hidden="false" customHeight="false" outlineLevel="0" collapsed="false">
      <c r="A9" s="2" t="s">
        <v>34</v>
      </c>
      <c r="B9" s="2" t="n">
        <f aca="false">COUNTIF('Por foco'!$A$2:$A$579,$A9)</f>
        <v>67</v>
      </c>
      <c r="C9" s="2" t="n">
        <f aca="false">SUMIFS('Por foco'!$E$2:$E$579,'Por foco'!$A$2:$A$579,$A9)</f>
        <v>4606</v>
      </c>
      <c r="D9" s="2" t="n">
        <f aca="false">SUMIFS('Por foco'!$F$2:$F$579,'Por foco'!$A$2:$A$579,$A9)</f>
        <v>1070</v>
      </c>
      <c r="E9" s="2" t="n">
        <f aca="false">SUMIFS('Por foco'!$G$2:$G$579,'Por foco'!$A$2:$A$579,$A9)</f>
        <v>19</v>
      </c>
      <c r="F9" s="2" t="n">
        <f aca="false">SUMIFS('Por foco'!$H$2:$H$579,'Por foco'!$A$2:$A$579,$A9)</f>
        <v>20</v>
      </c>
      <c r="G9" s="2" t="n">
        <f aca="false">SUMIFS('Por foco'!$I$2:$I$579,'Por foco'!$A$2:$A$579,$A9)</f>
        <v>500000</v>
      </c>
      <c r="H9" s="2" t="n">
        <f aca="false">SUMIFS('Por foco'!$J$2:$J$579,'Por foco'!$A$2:$A$579,$A9)</f>
        <v>225</v>
      </c>
      <c r="I9" s="2" t="n">
        <f aca="false">SUMIFS('Por foco'!$K$2:$K$579,'Por foco'!$A$2:$A$579,$A9)</f>
        <v>25</v>
      </c>
      <c r="J9" s="2" t="n">
        <f aca="false">SUMIFS('Por foco'!$L$2:$L$579,'Por foco'!$A$2:$A$579,$A9)</f>
        <v>75</v>
      </c>
      <c r="K9" s="2" t="n">
        <f aca="false">SUMIFS('Por foco'!$M$2:$M$579,'Por foco'!$A$2:$A$579,$A9)</f>
        <v>3</v>
      </c>
      <c r="L9" s="2" t="n">
        <f aca="false">SUMIFS('Por foco'!$N$2:$N$579,'Por foco'!$A$2:$A$579,$A9)</f>
        <v>15</v>
      </c>
      <c r="M9" s="2" t="n">
        <f aca="false">SUMIFS('Por foco'!$O$2:$O$579,'Por foco'!$A$2:$A$579,$A9)</f>
        <v>11</v>
      </c>
      <c r="N9" s="2" t="n">
        <f aca="false">SUMIFS('Por foco'!$P$2:$P$579,'Por foco'!$A$2:$A$579,$A9)</f>
        <v>8</v>
      </c>
      <c r="O9" s="2" t="n">
        <f aca="false">SUMIFS('Por foco'!$Q$2:$Q$579,'Por foco'!$A$2:$A$579,$A9)</f>
        <v>4</v>
      </c>
      <c r="P9" s="2" t="n">
        <f aca="false">SUMIFS('Por foco'!$R$2:$R$579,'Por foco'!$A$2:$A$579,$A9)</f>
        <v>6</v>
      </c>
      <c r="Q9" s="2" t="n">
        <f aca="false">SUMIFS('Por foco'!$S$2:$S$579,'Por foco'!$A$2:$A$579,$A9)</f>
        <v>2</v>
      </c>
      <c r="R9" s="2" t="n">
        <f aca="false">SUMIFS('Por foco'!$T$2:$T$579,'Por foco'!$A$2:$A$579,$A9)</f>
        <v>0</v>
      </c>
      <c r="S9" s="2" t="n">
        <f aca="false">SUMIFS('Por foco'!$U$2:$U$579,'Por foco'!$A$2:$A$579,$A9)</f>
        <v>0</v>
      </c>
      <c r="T9" s="2" t="n">
        <f aca="false">SUMIFS('Por foco'!$V$2:$V$579,'Por foco'!$A$2:$A$579,$A9)</f>
        <v>100</v>
      </c>
      <c r="U9" s="2" t="n">
        <f aca="false">SUMIFS('Por foco'!$W$2:$W$579,'Por foco'!$A$2:$A$579,$A9)</f>
        <v>12</v>
      </c>
      <c r="V9" s="2" t="n">
        <f aca="false">SUMIFS('Por foco'!$X$2:$X$579,'Por foco'!$A$2:$A$579,$A9)</f>
        <v>24</v>
      </c>
      <c r="W9" s="3" t="n">
        <f aca="false">C9*Pesos!$B$2+D9*Pesos!$B$3+E9*Pesos!$B$4+F9*Pesos!$B$5+G9*Pesos!$B$6+H9*Pesos!$B$7+I9*Pesos!$B$8+J9*Pesos!$B$9+K9*Pesos!$B$10+L9*Pesos!$B$11+M9*Pesos!$B$12+N9*Pesos!$B$13+O9*Pesos!$B$14+P9*Pesos!$B$15+Q9*Pesos!$B$16+R9*Pesos!$B$17+S9*Pesos!$B$18+T9*Pesos!$B$19+U9*Pesos!$B$20+V9*Pesos!$B$21</f>
        <v>6400</v>
      </c>
      <c r="X9" s="3" t="n">
        <f aca="false">Espíritus!J35</f>
        <v>5722</v>
      </c>
      <c r="Y9" s="3" t="n">
        <f aca="false">W9+X9</f>
        <v>12122</v>
      </c>
      <c r="Z9" s="4" t="n">
        <f aca="false">IF($Y$16=0,0,Y9/$Y$16-1)</f>
        <v>0.0859452861670083</v>
      </c>
      <c r="AA9" s="2" t="n">
        <f aca="false">COUNTIFS('Por foco'!$A$2:$A$579,$A9,'Por foco'!$AA$2:$AA$579,"?*")</f>
        <v>4</v>
      </c>
    </row>
    <row r="10" customFormat="false" ht="15" hidden="false" customHeight="false" outlineLevel="0" collapsed="false">
      <c r="A10" s="2" t="s">
        <v>35</v>
      </c>
      <c r="B10" s="2" t="n">
        <f aca="false">COUNTIF('Por foco'!$A$2:$A$579,$A10)</f>
        <v>7</v>
      </c>
      <c r="C10" s="2" t="n">
        <f aca="false">SUMIFS('Por foco'!$E$2:$E$579,'Por foco'!$A$2:$A$579,$A10)</f>
        <v>245</v>
      </c>
      <c r="D10" s="2" t="n">
        <f aca="false">SUMIFS('Por foco'!$F$2:$F$579,'Por foco'!$A$2:$A$579,$A10)</f>
        <v>0</v>
      </c>
      <c r="E10" s="2" t="n">
        <f aca="false">SUMIFS('Por foco'!$G$2:$G$579,'Por foco'!$A$2:$A$579,$A10)</f>
        <v>0</v>
      </c>
      <c r="F10" s="2" t="n">
        <f aca="false">SUMIFS('Por foco'!$H$2:$H$579,'Por foco'!$A$2:$A$579,$A10)</f>
        <v>0</v>
      </c>
      <c r="G10" s="2" t="n">
        <f aca="false">SUMIFS('Por foco'!$I$2:$I$579,'Por foco'!$A$2:$A$579,$A10)</f>
        <v>60000</v>
      </c>
      <c r="H10" s="2" t="n">
        <f aca="false">SUMIFS('Por foco'!$J$2:$J$579,'Por foco'!$A$2:$A$579,$A10)</f>
        <v>0</v>
      </c>
      <c r="I10" s="2" t="n">
        <f aca="false">SUMIFS('Por foco'!$K$2:$K$579,'Por foco'!$A$2:$A$579,$A10)</f>
        <v>0</v>
      </c>
      <c r="J10" s="2" t="n">
        <f aca="false">SUMIFS('Por foco'!$L$2:$L$579,'Por foco'!$A$2:$A$579,$A10)</f>
        <v>0</v>
      </c>
      <c r="K10" s="2" t="n">
        <f aca="false">SUMIFS('Por foco'!$M$2:$M$579,'Por foco'!$A$2:$A$579,$A10)</f>
        <v>0</v>
      </c>
      <c r="L10" s="2" t="n">
        <f aca="false">SUMIFS('Por foco'!$N$2:$N$579,'Por foco'!$A$2:$A$579,$A10)</f>
        <v>0</v>
      </c>
      <c r="M10" s="2" t="n">
        <f aca="false">SUMIFS('Por foco'!$O$2:$O$579,'Por foco'!$A$2:$A$579,$A10)</f>
        <v>0</v>
      </c>
      <c r="N10" s="2" t="n">
        <f aca="false">SUMIFS('Por foco'!$P$2:$P$579,'Por foco'!$A$2:$A$579,$A10)</f>
        <v>0</v>
      </c>
      <c r="O10" s="2" t="n">
        <f aca="false">SUMIFS('Por foco'!$Q$2:$Q$579,'Por foco'!$A$2:$A$579,$A10)</f>
        <v>0</v>
      </c>
      <c r="P10" s="2" t="n">
        <f aca="false">SUMIFS('Por foco'!$R$2:$R$579,'Por foco'!$A$2:$A$579,$A10)</f>
        <v>0</v>
      </c>
      <c r="Q10" s="2" t="n">
        <f aca="false">SUMIFS('Por foco'!$S$2:$S$579,'Por foco'!$A$2:$A$579,$A10)</f>
        <v>0</v>
      </c>
      <c r="R10" s="2" t="n">
        <f aca="false">SUMIFS('Por foco'!$T$2:$T$579,'Por foco'!$A$2:$A$579,$A10)</f>
        <v>3500</v>
      </c>
      <c r="S10" s="2" t="n">
        <f aca="false">SUMIFS('Por foco'!$U$2:$U$579,'Por foco'!$A$2:$A$579,$A10)</f>
        <v>0</v>
      </c>
      <c r="T10" s="2" t="n">
        <f aca="false">SUMIFS('Por foco'!$V$2:$V$579,'Por foco'!$A$2:$A$579,$A10)</f>
        <v>0</v>
      </c>
      <c r="U10" s="2" t="n">
        <f aca="false">SUMIFS('Por foco'!$W$2:$W$579,'Por foco'!$A$2:$A$579,$A10)</f>
        <v>0</v>
      </c>
      <c r="V10" s="2" t="n">
        <f aca="false">SUMIFS('Por foco'!$X$2:$X$579,'Por foco'!$A$2:$A$579,$A10)</f>
        <v>7</v>
      </c>
      <c r="W10" s="3" t="n">
        <f aca="false">C10*Pesos!$B$2+D10*Pesos!$B$3+E10*Pesos!$B$4+F10*Pesos!$B$5+G10*Pesos!$B$6+H10*Pesos!$B$7+I10*Pesos!$B$8+J10*Pesos!$B$9+K10*Pesos!$B$10+L10*Pesos!$B$11+M10*Pesos!$B$12+N10*Pesos!$B$13+O10*Pesos!$B$14+P10*Pesos!$B$15+Q10*Pesos!$B$16+R10*Pesos!$B$17+S10*Pesos!$B$18+T10*Pesos!$B$19+U10*Pesos!$B$20+V10*Pesos!$B$21</f>
        <v>190</v>
      </c>
      <c r="X10" s="3" t="n">
        <f aca="false">Espíritus!K35</f>
        <v>2030</v>
      </c>
      <c r="Y10" s="3" t="n">
        <f aca="false">W10+X10</f>
        <v>2220</v>
      </c>
      <c r="Z10" s="4" t="n">
        <f aca="false">IF($Y$16=0,0,Y10/$Y$16-1)</f>
        <v>-0.801122047905399</v>
      </c>
      <c r="AA10" s="2" t="n">
        <f aca="false">COUNTIFS('Por foco'!$A$2:$A$579,$A10,'Por foco'!$AA$2:$AA$579,"?*")</f>
        <v>0</v>
      </c>
    </row>
    <row r="11" customFormat="false" ht="15" hidden="false" customHeight="false" outlineLevel="0" collapsed="false">
      <c r="A11" s="2" t="s">
        <v>36</v>
      </c>
      <c r="B11" s="2" t="n">
        <f aca="false">COUNTIF('Por foco'!$A$2:$A$579,$A11)</f>
        <v>7</v>
      </c>
      <c r="C11" s="2" t="n">
        <f aca="false">SUMIFS('Por foco'!$E$2:$E$579,'Por foco'!$A$2:$A$579,$A11)</f>
        <v>245</v>
      </c>
      <c r="D11" s="2" t="n">
        <f aca="false">SUMIFS('Por foco'!$F$2:$F$579,'Por foco'!$A$2:$A$579,$A11)</f>
        <v>0</v>
      </c>
      <c r="E11" s="2" t="n">
        <f aca="false">SUMIFS('Por foco'!$G$2:$G$579,'Por foco'!$A$2:$A$579,$A11)</f>
        <v>0</v>
      </c>
      <c r="F11" s="2" t="n">
        <f aca="false">SUMIFS('Por foco'!$H$2:$H$579,'Por foco'!$A$2:$A$579,$A11)</f>
        <v>0</v>
      </c>
      <c r="G11" s="2" t="n">
        <f aca="false">SUMIFS('Por foco'!$I$2:$I$579,'Por foco'!$A$2:$A$579,$A11)</f>
        <v>1340000</v>
      </c>
      <c r="H11" s="2" t="n">
        <f aca="false">SUMIFS('Por foco'!$J$2:$J$579,'Por foco'!$A$2:$A$579,$A11)</f>
        <v>0</v>
      </c>
      <c r="I11" s="2" t="n">
        <f aca="false">SUMIFS('Por foco'!$K$2:$K$579,'Por foco'!$A$2:$A$579,$A11)</f>
        <v>0</v>
      </c>
      <c r="J11" s="2" t="n">
        <f aca="false">SUMIFS('Por foco'!$L$2:$L$579,'Por foco'!$A$2:$A$579,$A11)</f>
        <v>0</v>
      </c>
      <c r="K11" s="2" t="n">
        <f aca="false">SUMIFS('Por foco'!$M$2:$M$579,'Por foco'!$A$2:$A$579,$A11)</f>
        <v>0</v>
      </c>
      <c r="L11" s="2" t="n">
        <f aca="false">SUMIFS('Por foco'!$N$2:$N$579,'Por foco'!$A$2:$A$579,$A11)</f>
        <v>0</v>
      </c>
      <c r="M11" s="2" t="n">
        <f aca="false">SUMIFS('Por foco'!$O$2:$O$579,'Por foco'!$A$2:$A$579,$A11)</f>
        <v>0</v>
      </c>
      <c r="N11" s="2" t="n">
        <f aca="false">SUMIFS('Por foco'!$P$2:$P$579,'Por foco'!$A$2:$A$579,$A11)</f>
        <v>0</v>
      </c>
      <c r="O11" s="2" t="n">
        <f aca="false">SUMIFS('Por foco'!$Q$2:$Q$579,'Por foco'!$A$2:$A$579,$A11)</f>
        <v>0</v>
      </c>
      <c r="P11" s="2" t="n">
        <f aca="false">SUMIFS('Por foco'!$R$2:$R$579,'Por foco'!$A$2:$A$579,$A11)</f>
        <v>0</v>
      </c>
      <c r="Q11" s="2" t="n">
        <f aca="false">SUMIFS('Por foco'!$S$2:$S$579,'Por foco'!$A$2:$A$579,$A11)</f>
        <v>0</v>
      </c>
      <c r="R11" s="2" t="n">
        <f aca="false">SUMIFS('Por foco'!$T$2:$T$579,'Por foco'!$A$2:$A$579,$A11)</f>
        <v>30150</v>
      </c>
      <c r="S11" s="2" t="n">
        <f aca="false">SUMIFS('Por foco'!$U$2:$U$579,'Por foco'!$A$2:$A$579,$A11)</f>
        <v>6</v>
      </c>
      <c r="T11" s="2" t="n">
        <f aca="false">SUMIFS('Por foco'!$V$2:$V$579,'Por foco'!$A$2:$A$579,$A11)</f>
        <v>0</v>
      </c>
      <c r="U11" s="2" t="n">
        <f aca="false">SUMIFS('Por foco'!$W$2:$W$579,'Por foco'!$A$2:$A$579,$A11)</f>
        <v>2</v>
      </c>
      <c r="V11" s="2" t="n">
        <f aca="false">SUMIFS('Por foco'!$X$2:$X$579,'Por foco'!$A$2:$A$579,$A11)</f>
        <v>7</v>
      </c>
      <c r="W11" s="3" t="n">
        <f aca="false">C11*Pesos!$B$2+D11*Pesos!$B$3+E11*Pesos!$B$4+F11*Pesos!$B$5+G11*Pesos!$B$6+H11*Pesos!$B$7+I11*Pesos!$B$8+J11*Pesos!$B$9+K11*Pesos!$B$10+L11*Pesos!$B$11+M11*Pesos!$B$12+N11*Pesos!$B$13+O11*Pesos!$B$14+P11*Pesos!$B$15+Q11*Pesos!$B$16+R11*Pesos!$B$17+S11*Pesos!$B$18+T11*Pesos!$B$19+U11*Pesos!$B$20+V11*Pesos!$B$21</f>
        <v>3563</v>
      </c>
      <c r="X11" s="3" t="n">
        <f aca="false">Espíritus!L35</f>
        <v>3673</v>
      </c>
      <c r="Y11" s="3" t="n">
        <f aca="false">W11+X11</f>
        <v>7236</v>
      </c>
      <c r="Z11" s="4" t="n">
        <f aca="false">IF($Y$16=0,0,Y11/$Y$16-1)</f>
        <v>-0.351765377767326</v>
      </c>
      <c r="AA11" s="2" t="n">
        <f aca="false">COUNTIFS('Por foco'!$A$2:$A$579,$A11,'Por foco'!$AA$2:$AA$579,"?*")</f>
        <v>0</v>
      </c>
    </row>
    <row r="12" customFormat="false" ht="15" hidden="false" customHeight="false" outlineLevel="0" collapsed="false">
      <c r="A12" s="2" t="s">
        <v>37</v>
      </c>
      <c r="B12" s="2" t="n">
        <f aca="false">COUNTIF('Por foco'!$A$2:$A$579,$A12)</f>
        <v>7</v>
      </c>
      <c r="C12" s="2" t="n">
        <f aca="false">SUMIFS('Por foco'!$E$2:$E$579,'Por foco'!$A$2:$A$579,$A12)</f>
        <v>245</v>
      </c>
      <c r="D12" s="2" t="n">
        <f aca="false">SUMIFS('Por foco'!$F$2:$F$579,'Por foco'!$A$2:$A$579,$A12)</f>
        <v>0</v>
      </c>
      <c r="E12" s="2" t="n">
        <f aca="false">SUMIFS('Por foco'!$G$2:$G$579,'Por foco'!$A$2:$A$579,$A12)</f>
        <v>0</v>
      </c>
      <c r="F12" s="2" t="n">
        <f aca="false">SUMIFS('Por foco'!$H$2:$H$579,'Por foco'!$A$2:$A$579,$A12)</f>
        <v>0</v>
      </c>
      <c r="G12" s="2" t="n">
        <f aca="false">SUMIFS('Por foco'!$I$2:$I$579,'Por foco'!$A$2:$A$579,$A12)</f>
        <v>1840000</v>
      </c>
      <c r="H12" s="2" t="n">
        <f aca="false">SUMIFS('Por foco'!$J$2:$J$579,'Por foco'!$A$2:$A$579,$A12)</f>
        <v>0</v>
      </c>
      <c r="I12" s="2" t="n">
        <f aca="false">SUMIFS('Por foco'!$K$2:$K$579,'Por foco'!$A$2:$A$579,$A12)</f>
        <v>0</v>
      </c>
      <c r="J12" s="2" t="n">
        <f aca="false">SUMIFS('Por foco'!$L$2:$L$579,'Por foco'!$A$2:$A$579,$A12)</f>
        <v>0</v>
      </c>
      <c r="K12" s="2" t="n">
        <f aca="false">SUMIFS('Por foco'!$M$2:$M$579,'Por foco'!$A$2:$A$579,$A12)</f>
        <v>0</v>
      </c>
      <c r="L12" s="2" t="n">
        <f aca="false">SUMIFS('Por foco'!$N$2:$N$579,'Por foco'!$A$2:$A$579,$A12)</f>
        <v>0</v>
      </c>
      <c r="M12" s="2" t="n">
        <f aca="false">SUMIFS('Por foco'!$O$2:$O$579,'Por foco'!$A$2:$A$579,$A12)</f>
        <v>0</v>
      </c>
      <c r="N12" s="2" t="n">
        <f aca="false">SUMIFS('Por foco'!$P$2:$P$579,'Por foco'!$A$2:$A$579,$A12)</f>
        <v>0</v>
      </c>
      <c r="O12" s="2" t="n">
        <f aca="false">SUMIFS('Por foco'!$Q$2:$Q$579,'Por foco'!$A$2:$A$579,$A12)</f>
        <v>0</v>
      </c>
      <c r="P12" s="2" t="n">
        <f aca="false">SUMIFS('Por foco'!$R$2:$R$579,'Por foco'!$A$2:$A$579,$A12)</f>
        <v>0</v>
      </c>
      <c r="Q12" s="2" t="n">
        <f aca="false">SUMIFS('Por foco'!$S$2:$S$579,'Por foco'!$A$2:$A$579,$A12)</f>
        <v>0</v>
      </c>
      <c r="R12" s="2" t="n">
        <f aca="false">SUMIFS('Por foco'!$T$2:$T$579,'Por foco'!$A$2:$A$579,$A12)</f>
        <v>32150</v>
      </c>
      <c r="S12" s="2" t="n">
        <f aca="false">SUMIFS('Por foco'!$U$2:$U$579,'Por foco'!$A$2:$A$579,$A12)</f>
        <v>8</v>
      </c>
      <c r="T12" s="2" t="n">
        <f aca="false">SUMIFS('Por foco'!$V$2:$V$579,'Por foco'!$A$2:$A$579,$A12)</f>
        <v>0</v>
      </c>
      <c r="U12" s="2" t="n">
        <f aca="false">SUMIFS('Por foco'!$W$2:$W$579,'Por foco'!$A$2:$A$579,$A12)</f>
        <v>0</v>
      </c>
      <c r="V12" s="2" t="n">
        <f aca="false">SUMIFS('Por foco'!$X$2:$X$579,'Por foco'!$A$2:$A$579,$A12)</f>
        <v>7</v>
      </c>
      <c r="W12" s="3" t="n">
        <f aca="false">C12*Pesos!$B$2+D12*Pesos!$B$3+E12*Pesos!$B$4+F12*Pesos!$B$5+G12*Pesos!$B$6+H12*Pesos!$B$7+I12*Pesos!$B$8+J12*Pesos!$B$9+K12*Pesos!$B$10+L12*Pesos!$B$11+M12*Pesos!$B$12+N12*Pesos!$B$13+O12*Pesos!$B$14+P12*Pesos!$B$15+Q12*Pesos!$B$16+R12*Pesos!$B$17+S12*Pesos!$B$18+T12*Pesos!$B$19+U12*Pesos!$B$20+V12*Pesos!$B$21</f>
        <v>4643</v>
      </c>
      <c r="X12" s="3" t="n">
        <f aca="false">Espíritus!M35</f>
        <v>3985</v>
      </c>
      <c r="Y12" s="3" t="n">
        <f aca="false">W12+X12</f>
        <v>8628</v>
      </c>
      <c r="Z12" s="4" t="n">
        <f aca="false">IF($Y$16=0,0,Y12/$Y$16-1)</f>
        <v>-0.227063526724225</v>
      </c>
      <c r="AA12" s="2" t="n">
        <f aca="false">COUNTIFS('Por foco'!$A$2:$A$579,$A12,'Por foco'!$AA$2:$AA$579,"?*")</f>
        <v>0</v>
      </c>
    </row>
    <row r="13" customFormat="false" ht="15" hidden="false" customHeight="false" outlineLevel="0" collapsed="false">
      <c r="A13" s="2" t="s">
        <v>38</v>
      </c>
      <c r="B13" s="2" t="n">
        <f aca="false">COUNTIF('Por foco'!$A$2:$A$579,$A13)</f>
        <v>7</v>
      </c>
      <c r="C13" s="2" t="n">
        <f aca="false">SUMIFS('Por foco'!$E$2:$E$579,'Por foco'!$A$2:$A$579,$A13)</f>
        <v>245</v>
      </c>
      <c r="D13" s="2" t="n">
        <f aca="false">SUMIFS('Por foco'!$F$2:$F$579,'Por foco'!$A$2:$A$579,$A13)</f>
        <v>0</v>
      </c>
      <c r="E13" s="2" t="n">
        <f aca="false">SUMIFS('Por foco'!$G$2:$G$579,'Por foco'!$A$2:$A$579,$A13)</f>
        <v>0</v>
      </c>
      <c r="F13" s="2" t="n">
        <f aca="false">SUMIFS('Por foco'!$H$2:$H$579,'Por foco'!$A$2:$A$579,$A13)</f>
        <v>0</v>
      </c>
      <c r="G13" s="2" t="n">
        <f aca="false">SUMIFS('Por foco'!$I$2:$I$579,'Por foco'!$A$2:$A$579,$A13)</f>
        <v>1240000</v>
      </c>
      <c r="H13" s="2" t="n">
        <f aca="false">SUMIFS('Por foco'!$J$2:$J$579,'Por foco'!$A$2:$A$579,$A13)</f>
        <v>0</v>
      </c>
      <c r="I13" s="2" t="n">
        <f aca="false">SUMIFS('Por foco'!$K$2:$K$579,'Por foco'!$A$2:$A$579,$A13)</f>
        <v>0</v>
      </c>
      <c r="J13" s="2" t="n">
        <f aca="false">SUMIFS('Por foco'!$L$2:$L$579,'Por foco'!$A$2:$A$579,$A13)</f>
        <v>0</v>
      </c>
      <c r="K13" s="2" t="n">
        <f aca="false">SUMIFS('Por foco'!$M$2:$M$579,'Por foco'!$A$2:$A$579,$A13)</f>
        <v>0</v>
      </c>
      <c r="L13" s="2" t="n">
        <f aca="false">SUMIFS('Por foco'!$N$2:$N$579,'Por foco'!$A$2:$A$579,$A13)</f>
        <v>0</v>
      </c>
      <c r="M13" s="2" t="n">
        <f aca="false">SUMIFS('Por foco'!$O$2:$O$579,'Por foco'!$A$2:$A$579,$A13)</f>
        <v>0</v>
      </c>
      <c r="N13" s="2" t="n">
        <f aca="false">SUMIFS('Por foco'!$P$2:$P$579,'Por foco'!$A$2:$A$579,$A13)</f>
        <v>0</v>
      </c>
      <c r="O13" s="2" t="n">
        <f aca="false">SUMIFS('Por foco'!$Q$2:$Q$579,'Por foco'!$A$2:$A$579,$A13)</f>
        <v>0</v>
      </c>
      <c r="P13" s="2" t="n">
        <f aca="false">SUMIFS('Por foco'!$R$2:$R$579,'Por foco'!$A$2:$A$579,$A13)</f>
        <v>0</v>
      </c>
      <c r="Q13" s="2" t="n">
        <f aca="false">SUMIFS('Por foco'!$S$2:$S$579,'Por foco'!$A$2:$A$579,$A13)</f>
        <v>0</v>
      </c>
      <c r="R13" s="2" t="n">
        <f aca="false">SUMIFS('Por foco'!$T$2:$T$579,'Por foco'!$A$2:$A$579,$A13)</f>
        <v>32150</v>
      </c>
      <c r="S13" s="2" t="n">
        <f aca="false">SUMIFS('Por foco'!$U$2:$U$579,'Por foco'!$A$2:$A$579,$A13)</f>
        <v>8</v>
      </c>
      <c r="T13" s="2" t="n">
        <f aca="false">SUMIFS('Por foco'!$V$2:$V$579,'Por foco'!$A$2:$A$579,$A13)</f>
        <v>0</v>
      </c>
      <c r="U13" s="2" t="n">
        <f aca="false">SUMIFS('Por foco'!$W$2:$W$579,'Por foco'!$A$2:$A$579,$A13)</f>
        <v>0</v>
      </c>
      <c r="V13" s="2" t="n">
        <f aca="false">SUMIFS('Por foco'!$X$2:$X$579,'Por foco'!$A$2:$A$579,$A13)</f>
        <v>7</v>
      </c>
      <c r="W13" s="3" t="n">
        <f aca="false">C13*Pesos!$B$2+D13*Pesos!$B$3+E13*Pesos!$B$4+F13*Pesos!$B$5+G13*Pesos!$B$6+H13*Pesos!$B$7+I13*Pesos!$B$8+J13*Pesos!$B$9+K13*Pesos!$B$10+L13*Pesos!$B$11+M13*Pesos!$B$12+N13*Pesos!$B$13+O13*Pesos!$B$14+P13*Pesos!$B$15+Q13*Pesos!$B$16+R13*Pesos!$B$17+S13*Pesos!$B$18+T13*Pesos!$B$19+U13*Pesos!$B$20+V13*Pesos!$B$21</f>
        <v>3443</v>
      </c>
      <c r="X13" s="3" t="n">
        <f aca="false">Espíritus!N35</f>
        <v>3664</v>
      </c>
      <c r="Y13" s="3" t="n">
        <f aca="false">W13+X13</f>
        <v>7107</v>
      </c>
      <c r="Z13" s="4" t="n">
        <f aca="false">IF($Y$16=0,0,Y13/$Y$16-1)</f>
        <v>-0.363321799307959</v>
      </c>
      <c r="AA13" s="2" t="n">
        <f aca="false">COUNTIFS('Por foco'!$A$2:$A$579,$A13,'Por foco'!$AA$2:$AA$579,"?*")</f>
        <v>0</v>
      </c>
    </row>
    <row r="14" customFormat="false" ht="15" hidden="false" customHeight="false" outlineLevel="0" collapsed="false">
      <c r="A14" s="2" t="s">
        <v>39</v>
      </c>
      <c r="B14" s="2" t="n">
        <f aca="false">COUNTIF('Por foco'!$A$2:$A$579,$A14)</f>
        <v>7</v>
      </c>
      <c r="C14" s="2" t="n">
        <f aca="false">SUMIFS('Por foco'!$E$2:$E$579,'Por foco'!$A$2:$A$579,$A14)</f>
        <v>2548</v>
      </c>
      <c r="D14" s="2" t="n">
        <f aca="false">SUMIFS('Por foco'!$F$2:$F$579,'Por foco'!$A$2:$A$579,$A14)</f>
        <v>400</v>
      </c>
      <c r="E14" s="2" t="n">
        <f aca="false">SUMIFS('Por foco'!$G$2:$G$579,'Por foco'!$A$2:$A$579,$A14)</f>
        <v>10</v>
      </c>
      <c r="F14" s="2" t="n">
        <f aca="false">SUMIFS('Por foco'!$H$2:$H$579,'Por foco'!$A$2:$A$579,$A14)</f>
        <v>10</v>
      </c>
      <c r="G14" s="2" t="n">
        <f aca="false">SUMIFS('Por foco'!$I$2:$I$579,'Por foco'!$A$2:$A$579,$A14)</f>
        <v>1950000</v>
      </c>
      <c r="H14" s="2" t="n">
        <f aca="false">SUMIFS('Por foco'!$J$2:$J$579,'Por foco'!$A$2:$A$579,$A14)</f>
        <v>0</v>
      </c>
      <c r="I14" s="2" t="n">
        <f aca="false">SUMIFS('Por foco'!$K$2:$K$579,'Por foco'!$A$2:$A$579,$A14)</f>
        <v>0</v>
      </c>
      <c r="J14" s="2" t="n">
        <f aca="false">SUMIFS('Por foco'!$L$2:$L$579,'Por foco'!$A$2:$A$579,$A14)</f>
        <v>0</v>
      </c>
      <c r="K14" s="2" t="n">
        <f aca="false">SUMIFS('Por foco'!$M$2:$M$579,'Por foco'!$A$2:$A$579,$A14)</f>
        <v>0</v>
      </c>
      <c r="L14" s="2" t="n">
        <f aca="false">SUMIFS('Por foco'!$N$2:$N$579,'Por foco'!$A$2:$A$579,$A14)</f>
        <v>0</v>
      </c>
      <c r="M14" s="2" t="n">
        <f aca="false">SUMIFS('Por foco'!$O$2:$O$579,'Por foco'!$A$2:$A$579,$A14)</f>
        <v>15</v>
      </c>
      <c r="N14" s="2" t="n">
        <f aca="false">SUMIFS('Por foco'!$P$2:$P$579,'Por foco'!$A$2:$A$579,$A14)</f>
        <v>0</v>
      </c>
      <c r="O14" s="2" t="n">
        <f aca="false">SUMIFS('Por foco'!$Q$2:$Q$579,'Por foco'!$A$2:$A$579,$A14)</f>
        <v>0</v>
      </c>
      <c r="P14" s="2" t="n">
        <f aca="false">SUMIFS('Por foco'!$R$2:$R$579,'Por foco'!$A$2:$A$579,$A14)</f>
        <v>1</v>
      </c>
      <c r="Q14" s="2" t="n">
        <f aca="false">SUMIFS('Por foco'!$S$2:$S$579,'Por foco'!$A$2:$A$579,$A14)</f>
        <v>0</v>
      </c>
      <c r="R14" s="2" t="n">
        <f aca="false">SUMIFS('Por foco'!$T$2:$T$579,'Por foco'!$A$2:$A$579,$A14)</f>
        <v>38910</v>
      </c>
      <c r="S14" s="2" t="n">
        <f aca="false">SUMIFS('Por foco'!$U$2:$U$579,'Por foco'!$A$2:$A$579,$A14)</f>
        <v>10</v>
      </c>
      <c r="T14" s="2" t="n">
        <f aca="false">SUMIFS('Por foco'!$V$2:$V$579,'Por foco'!$A$2:$A$579,$A14)</f>
        <v>0</v>
      </c>
      <c r="U14" s="2" t="n">
        <f aca="false">SUMIFS('Por foco'!$W$2:$W$579,'Por foco'!$A$2:$A$579,$A14)</f>
        <v>9</v>
      </c>
      <c r="V14" s="2" t="n">
        <f aca="false">SUMIFS('Por foco'!$X$2:$X$579,'Por foco'!$A$2:$A$579,$A14)</f>
        <v>3</v>
      </c>
      <c r="W14" s="3" t="n">
        <f aca="false">C14*Pesos!$B$2+D14*Pesos!$B$3+E14*Pesos!$B$4+F14*Pesos!$B$5+G14*Pesos!$B$6+H14*Pesos!$B$7+I14*Pesos!$B$8+J14*Pesos!$B$9+K14*Pesos!$B$10+L14*Pesos!$B$11+M14*Pesos!$B$12+N14*Pesos!$B$13+O14*Pesos!$B$14+P14*Pesos!$B$15+Q14*Pesos!$B$16+R14*Pesos!$B$17+S14*Pesos!$B$18+T14*Pesos!$B$19+U14*Pesos!$B$20+V14*Pesos!$B$21</f>
        <v>7353.2</v>
      </c>
      <c r="X14" s="3" t="n">
        <f aca="false">Espíritus!O35</f>
        <v>750</v>
      </c>
      <c r="Y14" s="3" t="n">
        <f aca="false">W14+X14</f>
        <v>8103.2</v>
      </c>
      <c r="Z14" s="4" t="n">
        <f aca="false">IF($Y$16=0,0,Y14/$Y$16-1)</f>
        <v>-0.274077557922084</v>
      </c>
      <c r="AA14" s="2" t="n">
        <f aca="false">COUNTIFS('Por foco'!$A$2:$A$579,$A14,'Por foco'!$AA$2:$AA$579,"?*")</f>
        <v>0</v>
      </c>
    </row>
    <row r="15" customFormat="false" ht="15" hidden="false" customHeight="false" outlineLevel="0" collapsed="false">
      <c r="A15" s="2" t="s">
        <v>40</v>
      </c>
      <c r="B15" s="2" t="n">
        <f aca="false">COUNTIF('Por foco'!$A$2:$A$579,$A15)</f>
        <v>11</v>
      </c>
      <c r="C15" s="2" t="n">
        <f aca="false">SUMIFS('Por foco'!$E$2:$E$579,'Por foco'!$A$2:$A$579,$A15)</f>
        <v>420</v>
      </c>
      <c r="D15" s="2" t="n">
        <f aca="false">SUMIFS('Por foco'!$F$2:$F$579,'Por foco'!$A$2:$A$579,$A15)</f>
        <v>0</v>
      </c>
      <c r="E15" s="2" t="n">
        <f aca="false">SUMIFS('Por foco'!$G$2:$G$579,'Por foco'!$A$2:$A$579,$A15)</f>
        <v>0</v>
      </c>
      <c r="F15" s="2" t="n">
        <f aca="false">SUMIFS('Por foco'!$H$2:$H$579,'Por foco'!$A$2:$A$579,$A15)</f>
        <v>0</v>
      </c>
      <c r="G15" s="2" t="n">
        <f aca="false">SUMIFS('Por foco'!$I$2:$I$579,'Por foco'!$A$2:$A$579,$A15)</f>
        <v>800000</v>
      </c>
      <c r="H15" s="2" t="n">
        <f aca="false">SUMIFS('Por foco'!$J$2:$J$579,'Por foco'!$A$2:$A$579,$A15)</f>
        <v>30</v>
      </c>
      <c r="I15" s="2" t="n">
        <f aca="false">SUMIFS('Por foco'!$K$2:$K$579,'Por foco'!$A$2:$A$579,$A15)</f>
        <v>0</v>
      </c>
      <c r="J15" s="2" t="n">
        <f aca="false">SUMIFS('Por foco'!$L$2:$L$579,'Por foco'!$A$2:$A$579,$A15)</f>
        <v>0</v>
      </c>
      <c r="K15" s="2" t="n">
        <f aca="false">SUMIFS('Por foco'!$M$2:$M$579,'Por foco'!$A$2:$A$579,$A15)</f>
        <v>0</v>
      </c>
      <c r="L15" s="2" t="n">
        <f aca="false">SUMIFS('Por foco'!$N$2:$N$579,'Por foco'!$A$2:$A$579,$A15)</f>
        <v>0</v>
      </c>
      <c r="M15" s="2" t="n">
        <f aca="false">SUMIFS('Por foco'!$O$2:$O$579,'Por foco'!$A$2:$A$579,$A15)</f>
        <v>0</v>
      </c>
      <c r="N15" s="2" t="n">
        <f aca="false">SUMIFS('Por foco'!$P$2:$P$579,'Por foco'!$A$2:$A$579,$A15)</f>
        <v>0</v>
      </c>
      <c r="O15" s="2" t="n">
        <f aca="false">SUMIFS('Por foco'!$Q$2:$Q$579,'Por foco'!$A$2:$A$579,$A15)</f>
        <v>0</v>
      </c>
      <c r="P15" s="2" t="n">
        <f aca="false">SUMIFS('Por foco'!$R$2:$R$579,'Por foco'!$A$2:$A$579,$A15)</f>
        <v>0</v>
      </c>
      <c r="Q15" s="2" t="n">
        <f aca="false">SUMIFS('Por foco'!$S$2:$S$579,'Por foco'!$A$2:$A$579,$A15)</f>
        <v>0</v>
      </c>
      <c r="R15" s="2" t="n">
        <f aca="false">SUMIFS('Por foco'!$T$2:$T$579,'Por foco'!$A$2:$A$579,$A15)</f>
        <v>100000</v>
      </c>
      <c r="S15" s="2" t="n">
        <f aca="false">SUMIFS('Por foco'!$U$2:$U$579,'Por foco'!$A$2:$A$579,$A15)</f>
        <v>49</v>
      </c>
      <c r="T15" s="2" t="n">
        <f aca="false">SUMIFS('Por foco'!$V$2:$V$579,'Por foco'!$A$2:$A$579,$A15)</f>
        <v>0</v>
      </c>
      <c r="U15" s="2" t="n">
        <f aca="false">SUMIFS('Por foco'!$W$2:$W$579,'Por foco'!$A$2:$A$579,$A15)</f>
        <v>0</v>
      </c>
      <c r="V15" s="2" t="n">
        <f aca="false">SUMIFS('Por foco'!$X$2:$X$579,'Por foco'!$A$2:$A$579,$A15)</f>
        <v>10</v>
      </c>
      <c r="W15" s="3" t="n">
        <f aca="false">C15*Pesos!$B$2+D15*Pesos!$B$3+E15*Pesos!$B$4+F15*Pesos!$B$5+G15*Pesos!$B$6+H15*Pesos!$B$7+I15*Pesos!$B$8+J15*Pesos!$B$9+K15*Pesos!$B$10+L15*Pesos!$B$11+M15*Pesos!$B$12+N15*Pesos!$B$13+O15*Pesos!$B$14+P15*Pesos!$B$15+Q15*Pesos!$B$16+R15*Pesos!$B$17+S15*Pesos!$B$18+T15*Pesos!$B$19+U15*Pesos!$B$20+V15*Pesos!$B$21</f>
        <v>5590</v>
      </c>
      <c r="X15" s="3" t="n">
        <f aca="false">Espíritus!P35</f>
        <v>1335</v>
      </c>
      <c r="Y15" s="3" t="n">
        <f aca="false">W15+X15</f>
        <v>6925</v>
      </c>
      <c r="Z15" s="4" t="n">
        <f aca="false">IF($Y$16=0,0,Y15/$Y$16-1)</f>
        <v>-0.379626207993192</v>
      </c>
      <c r="AA15" s="2" t="n">
        <f aca="false">COUNTIFS('Por foco'!$A$2:$A$579,$A15,'Por foco'!$AA$2:$AA$579,"?*")</f>
        <v>0</v>
      </c>
    </row>
    <row r="16" customFormat="false" ht="15" hidden="false" customHeight="false" outlineLevel="0" collapsed="false">
      <c r="A16" s="5" t="s">
        <v>41</v>
      </c>
      <c r="B16" s="2" t="n">
        <f aca="false">AVERAGE(B2:B9)</f>
        <v>66.5</v>
      </c>
      <c r="C16" s="2" t="n">
        <f aca="false">AVERAGE(C2:C9)</f>
        <v>4310.25</v>
      </c>
      <c r="D16" s="2" t="n">
        <f aca="false">AVERAGE(D2:D9)</f>
        <v>1307.5</v>
      </c>
      <c r="E16" s="2" t="n">
        <f aca="false">AVERAGE(E2:E9)</f>
        <v>14.75</v>
      </c>
      <c r="F16" s="2" t="n">
        <f aca="false">AVERAGE(F2:F9)</f>
        <v>18.125</v>
      </c>
      <c r="G16" s="2" t="n">
        <f aca="false">AVERAGE(G2:G9)</f>
        <v>194375</v>
      </c>
      <c r="H16" s="2" t="n">
        <f aca="false">AVERAGE(H2:H9)</f>
        <v>218.75</v>
      </c>
      <c r="I16" s="2" t="n">
        <f aca="false">AVERAGE(I2:I9)</f>
        <v>50.625</v>
      </c>
      <c r="J16" s="2" t="n">
        <f aca="false">AVERAGE(J2:J9)</f>
        <v>37.5</v>
      </c>
      <c r="K16" s="2" t="n">
        <f aca="false">AVERAGE(K2:K9)</f>
        <v>3.125</v>
      </c>
      <c r="L16" s="2" t="n">
        <f aca="false">AVERAGE(L2:L9)</f>
        <v>14.625</v>
      </c>
      <c r="M16" s="2" t="n">
        <f aca="false">AVERAGE(M2:M9)</f>
        <v>14.5</v>
      </c>
      <c r="N16" s="2" t="n">
        <f aca="false">AVERAGE(N2:N9)</f>
        <v>5</v>
      </c>
      <c r="O16" s="2" t="n">
        <f aca="false">AVERAGE(O2:O9)</f>
        <v>7.25</v>
      </c>
      <c r="P16" s="2" t="n">
        <f aca="false">AVERAGE(P2:P9)</f>
        <v>3.625</v>
      </c>
      <c r="Q16" s="2" t="n">
        <f aca="false">AVERAGE(Q2:Q9)</f>
        <v>2.125</v>
      </c>
      <c r="R16" s="2" t="n">
        <f aca="false">AVERAGE(R2:R9)</f>
        <v>0</v>
      </c>
      <c r="S16" s="2" t="n">
        <f aca="false">AVERAGE(S2:S9)</f>
        <v>0</v>
      </c>
      <c r="T16" s="2" t="n">
        <f aca="false">AVERAGE(T2:T9)</f>
        <v>131.25</v>
      </c>
      <c r="U16" s="2" t="n">
        <f aca="false">AVERAGE(U2:U9)</f>
        <v>12.125</v>
      </c>
      <c r="V16" s="2" t="n">
        <f aca="false">AVERAGE(V2:V9)</f>
        <v>21.125</v>
      </c>
      <c r="W16" s="3" t="n">
        <f aca="false">AVERAGE(W2:W9)</f>
        <v>6267.5</v>
      </c>
      <c r="X16" s="3" t="n">
        <f aca="false">AVERAGE(X2:X9)</f>
        <v>4895.125</v>
      </c>
      <c r="Y16" s="3" t="n">
        <f aca="false">AVERAGE(Y2:Y9)</f>
        <v>11162.625</v>
      </c>
      <c r="Z16" s="2"/>
      <c r="AA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3" min="1" style="0" width="14"/>
  </cols>
  <sheetData>
    <row r="1" customFormat="false" ht="23.85" hidden="false" customHeight="false" outlineLevel="0" collapsed="false">
      <c r="A1" s="1" t="s">
        <v>0</v>
      </c>
      <c r="B1" s="1" t="s">
        <v>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customFormat="false" ht="15" hidden="false" customHeight="false" outlineLevel="0" collapsed="false">
      <c r="A2" s="2" t="s">
        <v>27</v>
      </c>
      <c r="B2" s="2" t="s">
        <v>43</v>
      </c>
      <c r="C2" s="2" t="n">
        <f aca="false">COUNTIFS('Por foco'!$A$2:$A$579,$A2,'Por foco'!$B$2:$B$579,$B2)</f>
        <v>11</v>
      </c>
      <c r="D2" s="2" t="n">
        <f aca="false">SUMIFS('Por foco'!$E$2:$E$579,'Por foco'!$A$2:$A$579,$A2,'Por foco'!$B$2:$B$579,$B2)</f>
        <v>707</v>
      </c>
      <c r="E2" s="2" t="n">
        <f aca="false">SUMIFS('Por foco'!$F$2:$F$579,'Por foco'!$A$2:$A$579,$A2,'Por foco'!$B$2:$B$579,$B2)</f>
        <v>600</v>
      </c>
      <c r="F2" s="2" t="n">
        <f aca="false">SUMIFS('Por foco'!$G$2:$G$579,'Por foco'!$A$2:$A$579,$A2,'Por foco'!$B$2:$B$579,$B2)</f>
        <v>0</v>
      </c>
      <c r="G2" s="2" t="n">
        <f aca="false">SUMIFS('Por foco'!$H$2:$H$579,'Por foco'!$A$2:$A$579,$A2,'Por foco'!$B$2:$B$579,$B2)</f>
        <v>5</v>
      </c>
      <c r="H2" s="2" t="n">
        <f aca="false">SUMIFS('Por foco'!$I$2:$I$579,'Por foco'!$A$2:$A$579,$A2,'Por foco'!$B$2:$B$579,$B2)</f>
        <v>0</v>
      </c>
      <c r="I2" s="2" t="n">
        <f aca="false">SUMIFS('Por foco'!$J$2:$J$579,'Por foco'!$A$2:$A$579,$A2,'Por foco'!$B$2:$B$579,$B2)</f>
        <v>0</v>
      </c>
      <c r="J2" s="2" t="n">
        <f aca="false">SUMIFS('Por foco'!$K$2:$K$579,'Por foco'!$A$2:$A$579,$A2,'Por foco'!$B$2:$B$579,$B2)</f>
        <v>0</v>
      </c>
      <c r="K2" s="2" t="n">
        <f aca="false">SUMIFS('Por foco'!$L$2:$L$579,'Por foco'!$A$2:$A$579,$A2,'Por foco'!$B$2:$B$579,$B2)</f>
        <v>0</v>
      </c>
      <c r="L2" s="2" t="n">
        <f aca="false">SUMIFS('Por foco'!$M$2:$M$579,'Por foco'!$A$2:$A$579,$A2,'Por foco'!$B$2:$B$579,$B2)</f>
        <v>0</v>
      </c>
      <c r="M2" s="2" t="n">
        <f aca="false">SUMIFS('Por foco'!$N$2:$N$579,'Por foco'!$A$2:$A$579,$A2,'Por foco'!$B$2:$B$579,$B2)</f>
        <v>0</v>
      </c>
      <c r="N2" s="2" t="n">
        <f aca="false">SUMIFS('Por foco'!$O$2:$O$579,'Por foco'!$A$2:$A$579,$A2,'Por foco'!$B$2:$B$579,$B2)</f>
        <v>0</v>
      </c>
      <c r="O2" s="2" t="n">
        <f aca="false">SUMIFS('Por foco'!$P$2:$P$579,'Por foco'!$A$2:$A$579,$A2,'Por foco'!$B$2:$B$579,$B2)</f>
        <v>0</v>
      </c>
      <c r="P2" s="2" t="n">
        <f aca="false">SUMIFS('Por foco'!$Q$2:$Q$579,'Por foco'!$A$2:$A$579,$A2,'Por foco'!$B$2:$B$579,$B2)</f>
        <v>0</v>
      </c>
      <c r="Q2" s="2" t="n">
        <f aca="false">SUMIFS('Por foco'!$R$2:$R$579,'Por foco'!$A$2:$A$579,$A2,'Por foco'!$B$2:$B$579,$B2)</f>
        <v>0</v>
      </c>
      <c r="R2" s="2" t="n">
        <f aca="false">SUMIFS('Por foco'!$S$2:$S$579,'Por foco'!$A$2:$A$579,$A2,'Por foco'!$B$2:$B$579,$B2)</f>
        <v>0</v>
      </c>
      <c r="S2" s="2" t="n">
        <f aca="false">SUMIFS('Por foco'!$T$2:$T$579,'Por foco'!$A$2:$A$579,$A2,'Por foco'!$B$2:$B$579,$B2)</f>
        <v>0</v>
      </c>
      <c r="T2" s="2" t="n">
        <f aca="false">SUMIFS('Por foco'!$U$2:$U$579,'Por foco'!$A$2:$A$579,$A2,'Por foco'!$B$2:$B$579,$B2)</f>
        <v>0</v>
      </c>
      <c r="U2" s="2" t="n">
        <f aca="false">SUMIFS('Por foco'!$V$2:$V$579,'Por foco'!$A$2:$A$579,$A2,'Por foco'!$B$2:$B$579,$B2)</f>
        <v>0</v>
      </c>
      <c r="V2" s="2" t="n">
        <f aca="false">SUMIFS('Por foco'!$W$2:$W$579,'Por foco'!$A$2:$A$579,$A2,'Por foco'!$B$2:$B$579,$B2)</f>
        <v>2</v>
      </c>
      <c r="W2" s="2" t="n">
        <f aca="false">SUMIFS('Por foco'!$X$2:$X$579,'Por foco'!$A$2:$A$579,$A2,'Por foco'!$B$2:$B$579,$B2)</f>
        <v>4</v>
      </c>
    </row>
    <row r="3" customFormat="false" ht="15" hidden="false" customHeight="false" outlineLevel="0" collapsed="false">
      <c r="A3" s="2" t="s">
        <v>27</v>
      </c>
      <c r="B3" s="2" t="s">
        <v>44</v>
      </c>
      <c r="C3" s="2" t="n">
        <f aca="false">COUNTIFS('Por foco'!$A$2:$A$579,$A3,'Por foco'!$B$2:$B$579,$B3)</f>
        <v>9</v>
      </c>
      <c r="D3" s="2" t="n">
        <f aca="false">SUMIFS('Por foco'!$E$2:$E$579,'Por foco'!$A$2:$A$579,$A3,'Por foco'!$B$2:$B$579,$B3)</f>
        <v>539</v>
      </c>
      <c r="E3" s="2" t="n">
        <f aca="false">SUMIFS('Por foco'!$F$2:$F$579,'Por foco'!$A$2:$A$579,$A3,'Por foco'!$B$2:$B$579,$B3)</f>
        <v>0</v>
      </c>
      <c r="F3" s="2" t="n">
        <f aca="false">SUMIFS('Por foco'!$G$2:$G$579,'Por foco'!$A$2:$A$579,$A3,'Por foco'!$B$2:$B$579,$B3)</f>
        <v>0</v>
      </c>
      <c r="G3" s="2" t="n">
        <f aca="false">SUMIFS('Por foco'!$H$2:$H$579,'Por foco'!$A$2:$A$579,$A3,'Por foco'!$B$2:$B$579,$B3)</f>
        <v>0</v>
      </c>
      <c r="H3" s="2" t="n">
        <f aca="false">SUMIFS('Por foco'!$I$2:$I$579,'Por foco'!$A$2:$A$579,$A3,'Por foco'!$B$2:$B$579,$B3)</f>
        <v>30000</v>
      </c>
      <c r="I3" s="2" t="n">
        <f aca="false">SUMIFS('Por foco'!$J$2:$J$579,'Por foco'!$A$2:$A$579,$A3,'Por foco'!$B$2:$B$579,$B3)</f>
        <v>0</v>
      </c>
      <c r="J3" s="2" t="n">
        <f aca="false">SUMIFS('Por foco'!$K$2:$K$579,'Por foco'!$A$2:$A$579,$A3,'Por foco'!$B$2:$B$579,$B3)</f>
        <v>0</v>
      </c>
      <c r="K3" s="2" t="n">
        <f aca="false">SUMIFS('Por foco'!$L$2:$L$579,'Por foco'!$A$2:$A$579,$A3,'Por foco'!$B$2:$B$579,$B3)</f>
        <v>0</v>
      </c>
      <c r="L3" s="2" t="n">
        <f aca="false">SUMIFS('Por foco'!$M$2:$M$579,'Por foco'!$A$2:$A$579,$A3,'Por foco'!$B$2:$B$579,$B3)</f>
        <v>0</v>
      </c>
      <c r="M3" s="2" t="n">
        <f aca="false">SUMIFS('Por foco'!$N$2:$N$579,'Por foco'!$A$2:$A$579,$A3,'Por foco'!$B$2:$B$579,$B3)</f>
        <v>2</v>
      </c>
      <c r="N3" s="2" t="n">
        <f aca="false">SUMIFS('Por foco'!$O$2:$O$579,'Por foco'!$A$2:$A$579,$A3,'Por foco'!$B$2:$B$579,$B3)</f>
        <v>0</v>
      </c>
      <c r="O3" s="2" t="n">
        <f aca="false">SUMIFS('Por foco'!$P$2:$P$579,'Por foco'!$A$2:$A$579,$A3,'Por foco'!$B$2:$B$579,$B3)</f>
        <v>3</v>
      </c>
      <c r="P3" s="2" t="n">
        <f aca="false">SUMIFS('Por foco'!$Q$2:$Q$579,'Por foco'!$A$2:$A$579,$A3,'Por foco'!$B$2:$B$579,$B3)</f>
        <v>0</v>
      </c>
      <c r="Q3" s="2" t="n">
        <f aca="false">SUMIFS('Por foco'!$R$2:$R$579,'Por foco'!$A$2:$A$579,$A3,'Por foco'!$B$2:$B$579,$B3)</f>
        <v>0</v>
      </c>
      <c r="R3" s="2" t="n">
        <f aca="false">SUMIFS('Por foco'!$S$2:$S$579,'Por foco'!$A$2:$A$579,$A3,'Por foco'!$B$2:$B$579,$B3)</f>
        <v>0</v>
      </c>
      <c r="S3" s="2" t="n">
        <f aca="false">SUMIFS('Por foco'!$T$2:$T$579,'Por foco'!$A$2:$A$579,$A3,'Por foco'!$B$2:$B$579,$B3)</f>
        <v>0</v>
      </c>
      <c r="T3" s="2" t="n">
        <f aca="false">SUMIFS('Por foco'!$U$2:$U$579,'Por foco'!$A$2:$A$579,$A3,'Por foco'!$B$2:$B$579,$B3)</f>
        <v>0</v>
      </c>
      <c r="U3" s="2" t="n">
        <f aca="false">SUMIFS('Por foco'!$V$2:$V$579,'Por foco'!$A$2:$A$579,$A3,'Por foco'!$B$2:$B$579,$B3)</f>
        <v>0</v>
      </c>
      <c r="V3" s="2" t="n">
        <f aca="false">SUMIFS('Por foco'!$W$2:$W$579,'Por foco'!$A$2:$A$579,$A3,'Por foco'!$B$2:$B$579,$B3)</f>
        <v>1</v>
      </c>
      <c r="W3" s="2" t="n">
        <f aca="false">SUMIFS('Por foco'!$X$2:$X$579,'Por foco'!$A$2:$A$579,$A3,'Por foco'!$B$2:$B$579,$B3)</f>
        <v>8</v>
      </c>
    </row>
    <row r="4" customFormat="false" ht="15" hidden="false" customHeight="false" outlineLevel="0" collapsed="false">
      <c r="A4" s="2" t="s">
        <v>27</v>
      </c>
      <c r="B4" s="2" t="s">
        <v>45</v>
      </c>
      <c r="C4" s="2" t="n">
        <f aca="false">COUNTIFS('Por foco'!$A$2:$A$579,$A4,'Por foco'!$B$2:$B$579,$B4)</f>
        <v>4</v>
      </c>
      <c r="D4" s="2" t="n">
        <f aca="false">SUMIFS('Por foco'!$E$2:$E$579,'Por foco'!$A$2:$A$579,$A4,'Por foco'!$B$2:$B$579,$B4)</f>
        <v>315</v>
      </c>
      <c r="E4" s="2" t="n">
        <f aca="false">SUMIFS('Por foco'!$F$2:$F$579,'Por foco'!$A$2:$A$579,$A4,'Por foco'!$B$2:$B$579,$B4)</f>
        <v>170</v>
      </c>
      <c r="F4" s="2" t="n">
        <f aca="false">SUMIFS('Por foco'!$G$2:$G$579,'Por foco'!$A$2:$A$579,$A4,'Por foco'!$B$2:$B$579,$B4)</f>
        <v>5</v>
      </c>
      <c r="G4" s="2" t="n">
        <f aca="false">SUMIFS('Por foco'!$H$2:$H$579,'Por foco'!$A$2:$A$579,$A4,'Por foco'!$B$2:$B$579,$B4)</f>
        <v>5</v>
      </c>
      <c r="H4" s="2" t="n">
        <f aca="false">SUMIFS('Por foco'!$I$2:$I$579,'Por foco'!$A$2:$A$579,$A4,'Por foco'!$B$2:$B$579,$B4)</f>
        <v>0</v>
      </c>
      <c r="I4" s="2" t="n">
        <f aca="false">SUMIFS('Por foco'!$J$2:$J$579,'Por foco'!$A$2:$A$579,$A4,'Por foco'!$B$2:$B$579,$B4)</f>
        <v>25</v>
      </c>
      <c r="J4" s="2" t="n">
        <f aca="false">SUMIFS('Por foco'!$K$2:$K$579,'Por foco'!$A$2:$A$579,$A4,'Por foco'!$B$2:$B$579,$B4)</f>
        <v>0</v>
      </c>
      <c r="K4" s="2" t="n">
        <f aca="false">SUMIFS('Por foco'!$L$2:$L$579,'Por foco'!$A$2:$A$579,$A4,'Por foco'!$B$2:$B$579,$B4)</f>
        <v>0</v>
      </c>
      <c r="L4" s="2" t="n">
        <f aca="false">SUMIFS('Por foco'!$M$2:$M$579,'Por foco'!$A$2:$A$579,$A4,'Por foco'!$B$2:$B$579,$B4)</f>
        <v>0</v>
      </c>
      <c r="M4" s="2" t="n">
        <f aca="false">SUMIFS('Por foco'!$N$2:$N$579,'Por foco'!$A$2:$A$579,$A4,'Por foco'!$B$2:$B$579,$B4)</f>
        <v>0</v>
      </c>
      <c r="N4" s="2" t="n">
        <f aca="false">SUMIFS('Por foco'!$O$2:$O$579,'Por foco'!$A$2:$A$579,$A4,'Por foco'!$B$2:$B$579,$B4)</f>
        <v>0</v>
      </c>
      <c r="O4" s="2" t="n">
        <f aca="false">SUMIFS('Por foco'!$P$2:$P$579,'Por foco'!$A$2:$A$579,$A4,'Por foco'!$B$2:$B$579,$B4)</f>
        <v>0</v>
      </c>
      <c r="P4" s="2" t="n">
        <f aca="false">SUMIFS('Por foco'!$Q$2:$Q$579,'Por foco'!$A$2:$A$579,$A4,'Por foco'!$B$2:$B$579,$B4)</f>
        <v>0</v>
      </c>
      <c r="Q4" s="2" t="n">
        <f aca="false">SUMIFS('Por foco'!$R$2:$R$579,'Por foco'!$A$2:$A$579,$A4,'Por foco'!$B$2:$B$579,$B4)</f>
        <v>0</v>
      </c>
      <c r="R4" s="2" t="n">
        <f aca="false">SUMIFS('Por foco'!$S$2:$S$579,'Por foco'!$A$2:$A$579,$A4,'Por foco'!$B$2:$B$579,$B4)</f>
        <v>0</v>
      </c>
      <c r="S4" s="2" t="n">
        <f aca="false">SUMIFS('Por foco'!$T$2:$T$579,'Por foco'!$A$2:$A$579,$A4,'Por foco'!$B$2:$B$579,$B4)</f>
        <v>0</v>
      </c>
      <c r="T4" s="2" t="n">
        <f aca="false">SUMIFS('Por foco'!$U$2:$U$579,'Por foco'!$A$2:$A$579,$A4,'Por foco'!$B$2:$B$579,$B4)</f>
        <v>0</v>
      </c>
      <c r="U4" s="2" t="n">
        <f aca="false">SUMIFS('Por foco'!$V$2:$V$579,'Por foco'!$A$2:$A$579,$A4,'Por foco'!$B$2:$B$579,$B4)</f>
        <v>0</v>
      </c>
      <c r="V4" s="2" t="n">
        <f aca="false">SUMIFS('Por foco'!$W$2:$W$579,'Por foco'!$A$2:$A$579,$A4,'Por foco'!$B$2:$B$579,$B4)</f>
        <v>8</v>
      </c>
      <c r="W4" s="2" t="n">
        <f aca="false">SUMIFS('Por foco'!$X$2:$X$579,'Por foco'!$A$2:$A$579,$A4,'Por foco'!$B$2:$B$579,$B4)</f>
        <v>1</v>
      </c>
    </row>
    <row r="5" customFormat="false" ht="15" hidden="false" customHeight="false" outlineLevel="0" collapsed="false">
      <c r="A5" s="2" t="s">
        <v>27</v>
      </c>
      <c r="B5" s="2" t="s">
        <v>46</v>
      </c>
      <c r="C5" s="2" t="n">
        <f aca="false">COUNTIFS('Por foco'!$A$2:$A$579,$A5,'Por foco'!$B$2:$B$579,$B5)</f>
        <v>8</v>
      </c>
      <c r="D5" s="2" t="n">
        <f aca="false">SUMIFS('Por foco'!$E$2:$E$579,'Por foco'!$A$2:$A$579,$A5,'Por foco'!$B$2:$B$579,$B5)</f>
        <v>532</v>
      </c>
      <c r="E5" s="2" t="n">
        <f aca="false">SUMIFS('Por foco'!$F$2:$F$579,'Por foco'!$A$2:$A$579,$A5,'Por foco'!$B$2:$B$579,$B5)</f>
        <v>250</v>
      </c>
      <c r="F5" s="2" t="n">
        <f aca="false">SUMIFS('Por foco'!$G$2:$G$579,'Por foco'!$A$2:$A$579,$A5,'Por foco'!$B$2:$B$579,$B5)</f>
        <v>-5</v>
      </c>
      <c r="G5" s="2" t="n">
        <f aca="false">SUMIFS('Por foco'!$H$2:$H$579,'Por foco'!$A$2:$A$579,$A5,'Por foco'!$B$2:$B$579,$B5)</f>
        <v>0</v>
      </c>
      <c r="H5" s="2" t="n">
        <f aca="false">SUMIFS('Por foco'!$I$2:$I$579,'Por foco'!$A$2:$A$579,$A5,'Por foco'!$B$2:$B$579,$B5)</f>
        <v>0</v>
      </c>
      <c r="I5" s="2" t="n">
        <f aca="false">SUMIFS('Por foco'!$J$2:$J$579,'Por foco'!$A$2:$A$579,$A5,'Por foco'!$B$2:$B$579,$B5)</f>
        <v>0</v>
      </c>
      <c r="J5" s="2" t="n">
        <f aca="false">SUMIFS('Por foco'!$K$2:$K$579,'Por foco'!$A$2:$A$579,$A5,'Por foco'!$B$2:$B$579,$B5)</f>
        <v>0</v>
      </c>
      <c r="K5" s="2" t="n">
        <f aca="false">SUMIFS('Por foco'!$L$2:$L$579,'Por foco'!$A$2:$A$579,$A5,'Por foco'!$B$2:$B$579,$B5)</f>
        <v>0</v>
      </c>
      <c r="L5" s="2" t="n">
        <f aca="false">SUMIFS('Por foco'!$M$2:$M$579,'Por foco'!$A$2:$A$579,$A5,'Por foco'!$B$2:$B$579,$B5)</f>
        <v>0</v>
      </c>
      <c r="M5" s="2" t="n">
        <f aca="false">SUMIFS('Por foco'!$N$2:$N$579,'Por foco'!$A$2:$A$579,$A5,'Por foco'!$B$2:$B$579,$B5)</f>
        <v>2</v>
      </c>
      <c r="N5" s="2" t="n">
        <f aca="false">SUMIFS('Por foco'!$O$2:$O$579,'Por foco'!$A$2:$A$579,$A5,'Por foco'!$B$2:$B$579,$B5)</f>
        <v>5</v>
      </c>
      <c r="O5" s="2" t="n">
        <f aca="false">SUMIFS('Por foco'!$P$2:$P$579,'Por foco'!$A$2:$A$579,$A5,'Por foco'!$B$2:$B$579,$B5)</f>
        <v>2</v>
      </c>
      <c r="P5" s="2" t="n">
        <f aca="false">SUMIFS('Por foco'!$Q$2:$Q$579,'Por foco'!$A$2:$A$579,$A5,'Por foco'!$B$2:$B$579,$B5)</f>
        <v>0</v>
      </c>
      <c r="Q5" s="2" t="n">
        <f aca="false">SUMIFS('Por foco'!$R$2:$R$579,'Por foco'!$A$2:$A$579,$A5,'Por foco'!$B$2:$B$579,$B5)</f>
        <v>0</v>
      </c>
      <c r="R5" s="2" t="n">
        <f aca="false">SUMIFS('Por foco'!$S$2:$S$579,'Por foco'!$A$2:$A$579,$A5,'Por foco'!$B$2:$B$579,$B5)</f>
        <v>0</v>
      </c>
      <c r="S5" s="2" t="n">
        <f aca="false">SUMIFS('Por foco'!$T$2:$T$579,'Por foco'!$A$2:$A$579,$A5,'Por foco'!$B$2:$B$579,$B5)</f>
        <v>0</v>
      </c>
      <c r="T5" s="2" t="n">
        <f aca="false">SUMIFS('Por foco'!$U$2:$U$579,'Por foco'!$A$2:$A$579,$A5,'Por foco'!$B$2:$B$579,$B5)</f>
        <v>0</v>
      </c>
      <c r="U5" s="2" t="n">
        <f aca="false">SUMIFS('Por foco'!$V$2:$V$579,'Por foco'!$A$2:$A$579,$A5,'Por foco'!$B$2:$B$579,$B5)</f>
        <v>0</v>
      </c>
      <c r="V5" s="2" t="n">
        <f aca="false">SUMIFS('Por foco'!$W$2:$W$579,'Por foco'!$A$2:$A$579,$A5,'Por foco'!$B$2:$B$579,$B5)</f>
        <v>0</v>
      </c>
      <c r="W5" s="2" t="n">
        <f aca="false">SUMIFS('Por foco'!$X$2:$X$579,'Por foco'!$A$2:$A$579,$A5,'Por foco'!$B$2:$B$579,$B5)</f>
        <v>3</v>
      </c>
    </row>
    <row r="6" customFormat="false" ht="15" hidden="false" customHeight="false" outlineLevel="0" collapsed="false">
      <c r="A6" s="2" t="s">
        <v>27</v>
      </c>
      <c r="B6" s="2" t="s">
        <v>47</v>
      </c>
      <c r="C6" s="2" t="n">
        <f aca="false">COUNTIFS('Por foco'!$A$2:$A$579,$A6,'Por foco'!$B$2:$B$579,$B6)</f>
        <v>7</v>
      </c>
      <c r="D6" s="2" t="n">
        <f aca="false">SUMIFS('Por foco'!$E$2:$E$579,'Por foco'!$A$2:$A$579,$A6,'Por foco'!$B$2:$B$579,$B6)</f>
        <v>483</v>
      </c>
      <c r="E6" s="2" t="n">
        <f aca="false">SUMIFS('Por foco'!$F$2:$F$579,'Por foco'!$A$2:$A$579,$A6,'Por foco'!$B$2:$B$579,$B6)</f>
        <v>200</v>
      </c>
      <c r="F6" s="2" t="n">
        <f aca="false">SUMIFS('Por foco'!$G$2:$G$579,'Por foco'!$A$2:$A$579,$A6,'Por foco'!$B$2:$B$579,$B6)</f>
        <v>0</v>
      </c>
      <c r="G6" s="2" t="n">
        <f aca="false">SUMIFS('Por foco'!$H$2:$H$579,'Por foco'!$A$2:$A$579,$A6,'Por foco'!$B$2:$B$579,$B6)</f>
        <v>0</v>
      </c>
      <c r="H6" s="2" t="n">
        <f aca="false">SUMIFS('Por foco'!$I$2:$I$579,'Por foco'!$A$2:$A$579,$A6,'Por foco'!$B$2:$B$579,$B6)</f>
        <v>0</v>
      </c>
      <c r="I6" s="2" t="n">
        <f aca="false">SUMIFS('Por foco'!$J$2:$J$579,'Por foco'!$A$2:$A$579,$A6,'Por foco'!$B$2:$B$579,$B6)</f>
        <v>0</v>
      </c>
      <c r="J6" s="2" t="n">
        <f aca="false">SUMIFS('Por foco'!$K$2:$K$579,'Por foco'!$A$2:$A$579,$A6,'Por foco'!$B$2:$B$579,$B6)</f>
        <v>0</v>
      </c>
      <c r="K6" s="2" t="n">
        <f aca="false">SUMIFS('Por foco'!$L$2:$L$579,'Por foco'!$A$2:$A$579,$A6,'Por foco'!$B$2:$B$579,$B6)</f>
        <v>0</v>
      </c>
      <c r="L6" s="2" t="n">
        <f aca="false">SUMIFS('Por foco'!$M$2:$M$579,'Por foco'!$A$2:$A$579,$A6,'Por foco'!$B$2:$B$579,$B6)</f>
        <v>0</v>
      </c>
      <c r="M6" s="2" t="n">
        <f aca="false">SUMIFS('Por foco'!$N$2:$N$579,'Por foco'!$A$2:$A$579,$A6,'Por foco'!$B$2:$B$579,$B6)</f>
        <v>0</v>
      </c>
      <c r="N6" s="2" t="n">
        <f aca="false">SUMIFS('Por foco'!$O$2:$O$579,'Por foco'!$A$2:$A$579,$A6,'Por foco'!$B$2:$B$579,$B6)</f>
        <v>6</v>
      </c>
      <c r="O6" s="2" t="n">
        <f aca="false">SUMIFS('Por foco'!$P$2:$P$579,'Por foco'!$A$2:$A$579,$A6,'Por foco'!$B$2:$B$579,$B6)</f>
        <v>0</v>
      </c>
      <c r="P6" s="2" t="n">
        <f aca="false">SUMIFS('Por foco'!$Q$2:$Q$579,'Por foco'!$A$2:$A$579,$A6,'Por foco'!$B$2:$B$579,$B6)</f>
        <v>0</v>
      </c>
      <c r="Q6" s="2" t="n">
        <f aca="false">SUMIFS('Por foco'!$R$2:$R$579,'Por foco'!$A$2:$A$579,$A6,'Por foco'!$B$2:$B$579,$B6)</f>
        <v>0</v>
      </c>
      <c r="R6" s="2" t="n">
        <f aca="false">SUMIFS('Por foco'!$S$2:$S$579,'Por foco'!$A$2:$A$579,$A6,'Por foco'!$B$2:$B$579,$B6)</f>
        <v>0</v>
      </c>
      <c r="S6" s="2" t="n">
        <f aca="false">SUMIFS('Por foco'!$T$2:$T$579,'Por foco'!$A$2:$A$579,$A6,'Por foco'!$B$2:$B$579,$B6)</f>
        <v>0</v>
      </c>
      <c r="T6" s="2" t="n">
        <f aca="false">SUMIFS('Por foco'!$U$2:$U$579,'Por foco'!$A$2:$A$579,$A6,'Por foco'!$B$2:$B$579,$B6)</f>
        <v>0</v>
      </c>
      <c r="U6" s="2" t="n">
        <f aca="false">SUMIFS('Por foco'!$V$2:$V$579,'Por foco'!$A$2:$A$579,$A6,'Por foco'!$B$2:$B$579,$B6)</f>
        <v>0</v>
      </c>
      <c r="V6" s="2" t="n">
        <f aca="false">SUMIFS('Por foco'!$W$2:$W$579,'Por foco'!$A$2:$A$579,$A6,'Por foco'!$B$2:$B$579,$B6)</f>
        <v>0</v>
      </c>
      <c r="W6" s="2" t="n">
        <f aca="false">SUMIFS('Por foco'!$X$2:$X$579,'Por foco'!$A$2:$A$579,$A6,'Por foco'!$B$2:$B$579,$B6)</f>
        <v>3</v>
      </c>
    </row>
    <row r="7" customFormat="false" ht="15" hidden="false" customHeight="false" outlineLevel="0" collapsed="false">
      <c r="A7" s="2" t="s">
        <v>27</v>
      </c>
      <c r="B7" s="2" t="s">
        <v>48</v>
      </c>
      <c r="C7" s="2" t="n">
        <f aca="false">COUNTIFS('Por foco'!$A$2:$A$579,$A7,'Por foco'!$B$2:$B$579,$B7)</f>
        <v>6</v>
      </c>
      <c r="D7" s="2" t="n">
        <f aca="false">SUMIFS('Por foco'!$E$2:$E$579,'Por foco'!$A$2:$A$579,$A7,'Por foco'!$B$2:$B$579,$B7)</f>
        <v>364</v>
      </c>
      <c r="E7" s="2" t="n">
        <f aca="false">SUMIFS('Por foco'!$F$2:$F$579,'Por foco'!$A$2:$A$579,$A7,'Por foco'!$B$2:$B$579,$B7)</f>
        <v>0</v>
      </c>
      <c r="F7" s="2" t="n">
        <f aca="false">SUMIFS('Por foco'!$G$2:$G$579,'Por foco'!$A$2:$A$579,$A7,'Por foco'!$B$2:$B$579,$B7)</f>
        <v>0</v>
      </c>
      <c r="G7" s="2" t="n">
        <f aca="false">SUMIFS('Por foco'!$H$2:$H$579,'Por foco'!$A$2:$A$579,$A7,'Por foco'!$B$2:$B$579,$B7)</f>
        <v>0</v>
      </c>
      <c r="H7" s="2" t="n">
        <f aca="false">SUMIFS('Por foco'!$I$2:$I$579,'Por foco'!$A$2:$A$579,$A7,'Por foco'!$B$2:$B$579,$B7)</f>
        <v>0</v>
      </c>
      <c r="I7" s="2" t="n">
        <f aca="false">SUMIFS('Por foco'!$J$2:$J$579,'Por foco'!$A$2:$A$579,$A7,'Por foco'!$B$2:$B$579,$B7)</f>
        <v>0</v>
      </c>
      <c r="J7" s="2" t="n">
        <f aca="false">SUMIFS('Por foco'!$K$2:$K$579,'Por foco'!$A$2:$A$579,$A7,'Por foco'!$B$2:$B$579,$B7)</f>
        <v>0</v>
      </c>
      <c r="K7" s="2" t="n">
        <f aca="false">SUMIFS('Por foco'!$L$2:$L$579,'Por foco'!$A$2:$A$579,$A7,'Por foco'!$B$2:$B$579,$B7)</f>
        <v>0</v>
      </c>
      <c r="L7" s="2" t="n">
        <f aca="false">SUMIFS('Por foco'!$M$2:$M$579,'Por foco'!$A$2:$A$579,$A7,'Por foco'!$B$2:$B$579,$B7)</f>
        <v>1</v>
      </c>
      <c r="M7" s="2" t="n">
        <f aca="false">SUMIFS('Por foco'!$N$2:$N$579,'Por foco'!$A$2:$A$579,$A7,'Por foco'!$B$2:$B$579,$B7)</f>
        <v>1</v>
      </c>
      <c r="N7" s="2" t="n">
        <f aca="false">SUMIFS('Por foco'!$O$2:$O$579,'Por foco'!$A$2:$A$579,$A7,'Por foco'!$B$2:$B$579,$B7)</f>
        <v>4</v>
      </c>
      <c r="O7" s="2" t="n">
        <f aca="false">SUMIFS('Por foco'!$P$2:$P$579,'Por foco'!$A$2:$A$579,$A7,'Por foco'!$B$2:$B$579,$B7)</f>
        <v>2</v>
      </c>
      <c r="P7" s="2" t="n">
        <f aca="false">SUMIFS('Por foco'!$Q$2:$Q$579,'Por foco'!$A$2:$A$579,$A7,'Por foco'!$B$2:$B$579,$B7)</f>
        <v>2</v>
      </c>
      <c r="Q7" s="2" t="n">
        <f aca="false">SUMIFS('Por foco'!$R$2:$R$579,'Por foco'!$A$2:$A$579,$A7,'Por foco'!$B$2:$B$579,$B7)</f>
        <v>0</v>
      </c>
      <c r="R7" s="2" t="n">
        <f aca="false">SUMIFS('Por foco'!$S$2:$S$579,'Por foco'!$A$2:$A$579,$A7,'Por foco'!$B$2:$B$579,$B7)</f>
        <v>0</v>
      </c>
      <c r="S7" s="2" t="n">
        <f aca="false">SUMIFS('Por foco'!$T$2:$T$579,'Por foco'!$A$2:$A$579,$A7,'Por foco'!$B$2:$B$579,$B7)</f>
        <v>0</v>
      </c>
      <c r="T7" s="2" t="n">
        <f aca="false">SUMIFS('Por foco'!$U$2:$U$579,'Por foco'!$A$2:$A$579,$A7,'Por foco'!$B$2:$B$579,$B7)</f>
        <v>0</v>
      </c>
      <c r="U7" s="2" t="n">
        <f aca="false">SUMIFS('Por foco'!$V$2:$V$579,'Por foco'!$A$2:$A$579,$A7,'Por foco'!$B$2:$B$579,$B7)</f>
        <v>0</v>
      </c>
      <c r="V7" s="2" t="n">
        <f aca="false">SUMIFS('Por foco'!$W$2:$W$579,'Por foco'!$A$2:$A$579,$A7,'Por foco'!$B$2:$B$579,$B7)</f>
        <v>0</v>
      </c>
      <c r="W7" s="2" t="n">
        <f aca="false">SUMIFS('Por foco'!$X$2:$X$579,'Por foco'!$A$2:$A$579,$A7,'Por foco'!$B$2:$B$579,$B7)</f>
        <v>1</v>
      </c>
    </row>
    <row r="8" customFormat="false" ht="15" hidden="false" customHeight="false" outlineLevel="0" collapsed="false">
      <c r="A8" s="2" t="s">
        <v>27</v>
      </c>
      <c r="B8" s="2" t="s">
        <v>49</v>
      </c>
      <c r="C8" s="2" t="n">
        <f aca="false">COUNTIFS('Por foco'!$A$2:$A$579,$A8,'Por foco'!$B$2:$B$579,$B8)</f>
        <v>6</v>
      </c>
      <c r="D8" s="2" t="n">
        <f aca="false">SUMIFS('Por foco'!$E$2:$E$579,'Por foco'!$A$2:$A$579,$A8,'Por foco'!$B$2:$B$579,$B8)</f>
        <v>343</v>
      </c>
      <c r="E8" s="2" t="n">
        <f aca="false">SUMIFS('Por foco'!$F$2:$F$579,'Por foco'!$A$2:$A$579,$A8,'Por foco'!$B$2:$B$579,$B8)</f>
        <v>0</v>
      </c>
      <c r="F8" s="2" t="n">
        <f aca="false">SUMIFS('Por foco'!$G$2:$G$579,'Por foco'!$A$2:$A$579,$A8,'Por foco'!$B$2:$B$579,$B8)</f>
        <v>0</v>
      </c>
      <c r="G8" s="2" t="n">
        <f aca="false">SUMIFS('Por foco'!$H$2:$H$579,'Por foco'!$A$2:$A$579,$A8,'Por foco'!$B$2:$B$579,$B8)</f>
        <v>0</v>
      </c>
      <c r="H8" s="2" t="n">
        <f aca="false">SUMIFS('Por foco'!$I$2:$I$579,'Por foco'!$A$2:$A$579,$A8,'Por foco'!$B$2:$B$579,$B8)</f>
        <v>50000</v>
      </c>
      <c r="I8" s="2" t="n">
        <f aca="false">SUMIFS('Por foco'!$J$2:$J$579,'Por foco'!$A$2:$A$579,$A8,'Por foco'!$B$2:$B$579,$B8)</f>
        <v>75</v>
      </c>
      <c r="J8" s="2" t="n">
        <f aca="false">SUMIFS('Por foco'!$K$2:$K$579,'Por foco'!$A$2:$A$579,$A8,'Por foco'!$B$2:$B$579,$B8)</f>
        <v>0</v>
      </c>
      <c r="K8" s="2" t="n">
        <f aca="false">SUMIFS('Por foco'!$L$2:$L$579,'Por foco'!$A$2:$A$579,$A8,'Por foco'!$B$2:$B$579,$B8)</f>
        <v>0</v>
      </c>
      <c r="L8" s="2" t="n">
        <f aca="false">SUMIFS('Por foco'!$M$2:$M$579,'Por foco'!$A$2:$A$579,$A8,'Por foco'!$B$2:$B$579,$B8)</f>
        <v>0</v>
      </c>
      <c r="M8" s="2" t="n">
        <f aca="false">SUMIFS('Por foco'!$N$2:$N$579,'Por foco'!$A$2:$A$579,$A8,'Por foco'!$B$2:$B$579,$B8)</f>
        <v>4</v>
      </c>
      <c r="N8" s="2" t="n">
        <f aca="false">SUMIFS('Por foco'!$O$2:$O$579,'Por foco'!$A$2:$A$579,$A8,'Por foco'!$B$2:$B$579,$B8)</f>
        <v>0</v>
      </c>
      <c r="O8" s="2" t="n">
        <f aca="false">SUMIFS('Por foco'!$P$2:$P$579,'Por foco'!$A$2:$A$579,$A8,'Por foco'!$B$2:$B$579,$B8)</f>
        <v>0</v>
      </c>
      <c r="P8" s="2" t="n">
        <f aca="false">SUMIFS('Por foco'!$Q$2:$Q$579,'Por foco'!$A$2:$A$579,$A8,'Por foco'!$B$2:$B$579,$B8)</f>
        <v>0</v>
      </c>
      <c r="Q8" s="2" t="n">
        <f aca="false">SUMIFS('Por foco'!$R$2:$R$579,'Por foco'!$A$2:$A$579,$A8,'Por foco'!$B$2:$B$579,$B8)</f>
        <v>0</v>
      </c>
      <c r="R8" s="2" t="n">
        <f aca="false">SUMIFS('Por foco'!$S$2:$S$579,'Por foco'!$A$2:$A$579,$A8,'Por foco'!$B$2:$B$579,$B8)</f>
        <v>0</v>
      </c>
      <c r="S8" s="2" t="n">
        <f aca="false">SUMIFS('Por foco'!$T$2:$T$579,'Por foco'!$A$2:$A$579,$A8,'Por foco'!$B$2:$B$579,$B8)</f>
        <v>0</v>
      </c>
      <c r="T8" s="2" t="n">
        <f aca="false">SUMIFS('Por foco'!$U$2:$U$579,'Por foco'!$A$2:$A$579,$A8,'Por foco'!$B$2:$B$579,$B8)</f>
        <v>0</v>
      </c>
      <c r="U8" s="2" t="n">
        <f aca="false">SUMIFS('Por foco'!$V$2:$V$579,'Por foco'!$A$2:$A$579,$A8,'Por foco'!$B$2:$B$579,$B8)</f>
        <v>0</v>
      </c>
      <c r="V8" s="2" t="n">
        <f aca="false">SUMIFS('Por foco'!$W$2:$W$579,'Por foco'!$A$2:$A$579,$A8,'Por foco'!$B$2:$B$579,$B8)</f>
        <v>0</v>
      </c>
      <c r="W8" s="2" t="n">
        <f aca="false">SUMIFS('Por foco'!$X$2:$X$579,'Por foco'!$A$2:$A$579,$A8,'Por foco'!$B$2:$B$579,$B8)</f>
        <v>3</v>
      </c>
    </row>
    <row r="9" customFormat="false" ht="15" hidden="false" customHeight="false" outlineLevel="0" collapsed="false">
      <c r="A9" s="2" t="s">
        <v>27</v>
      </c>
      <c r="B9" s="2" t="s">
        <v>50</v>
      </c>
      <c r="C9" s="2" t="n">
        <f aca="false">COUNTIFS('Por foco'!$A$2:$A$579,$A9,'Por foco'!$B$2:$B$579,$B9)</f>
        <v>6</v>
      </c>
      <c r="D9" s="2" t="n">
        <f aca="false">SUMIFS('Por foco'!$E$2:$E$579,'Por foco'!$A$2:$A$579,$A9,'Por foco'!$B$2:$B$579,$B9)</f>
        <v>343</v>
      </c>
      <c r="E9" s="2" t="n">
        <f aca="false">SUMIFS('Por foco'!$F$2:$F$579,'Por foco'!$A$2:$A$579,$A9,'Por foco'!$B$2:$B$579,$B9)</f>
        <v>0</v>
      </c>
      <c r="F9" s="2" t="n">
        <f aca="false">SUMIFS('Por foco'!$G$2:$G$579,'Por foco'!$A$2:$A$579,$A9,'Por foco'!$B$2:$B$579,$B9)</f>
        <v>0</v>
      </c>
      <c r="G9" s="2" t="n">
        <f aca="false">SUMIFS('Por foco'!$H$2:$H$579,'Por foco'!$A$2:$A$579,$A9,'Por foco'!$B$2:$B$579,$B9)</f>
        <v>5</v>
      </c>
      <c r="H9" s="2" t="n">
        <f aca="false">SUMIFS('Por foco'!$I$2:$I$579,'Por foco'!$A$2:$A$579,$A9,'Por foco'!$B$2:$B$579,$B9)</f>
        <v>0</v>
      </c>
      <c r="I9" s="2" t="n">
        <f aca="false">SUMIFS('Por foco'!$J$2:$J$579,'Por foco'!$A$2:$A$579,$A9,'Por foco'!$B$2:$B$579,$B9)</f>
        <v>0</v>
      </c>
      <c r="J9" s="2" t="n">
        <f aca="false">SUMIFS('Por foco'!$K$2:$K$579,'Por foco'!$A$2:$A$579,$A9,'Por foco'!$B$2:$B$579,$B9)</f>
        <v>0</v>
      </c>
      <c r="K9" s="2" t="n">
        <f aca="false">SUMIFS('Por foco'!$L$2:$L$579,'Por foco'!$A$2:$A$579,$A9,'Por foco'!$B$2:$B$579,$B9)</f>
        <v>75</v>
      </c>
      <c r="L9" s="2" t="n">
        <f aca="false">SUMIFS('Por foco'!$M$2:$M$579,'Por foco'!$A$2:$A$579,$A9,'Por foco'!$B$2:$B$579,$B9)</f>
        <v>0</v>
      </c>
      <c r="M9" s="2" t="n">
        <f aca="false">SUMIFS('Por foco'!$N$2:$N$579,'Por foco'!$A$2:$A$579,$A9,'Por foco'!$B$2:$B$579,$B9)</f>
        <v>5</v>
      </c>
      <c r="N9" s="2" t="n">
        <f aca="false">SUMIFS('Por foco'!$O$2:$O$579,'Por foco'!$A$2:$A$579,$A9,'Por foco'!$B$2:$B$579,$B9)</f>
        <v>0</v>
      </c>
      <c r="O9" s="2" t="n">
        <f aca="false">SUMIFS('Por foco'!$P$2:$P$579,'Por foco'!$A$2:$A$579,$A9,'Por foco'!$B$2:$B$579,$B9)</f>
        <v>0</v>
      </c>
      <c r="P9" s="2" t="n">
        <f aca="false">SUMIFS('Por foco'!$Q$2:$Q$579,'Por foco'!$A$2:$A$579,$A9,'Por foco'!$B$2:$B$579,$B9)</f>
        <v>2</v>
      </c>
      <c r="Q9" s="2" t="n">
        <f aca="false">SUMIFS('Por foco'!$R$2:$R$579,'Por foco'!$A$2:$A$579,$A9,'Por foco'!$B$2:$B$579,$B9)</f>
        <v>0</v>
      </c>
      <c r="R9" s="2" t="n">
        <f aca="false">SUMIFS('Por foco'!$S$2:$S$579,'Por foco'!$A$2:$A$579,$A9,'Por foco'!$B$2:$B$579,$B9)</f>
        <v>2</v>
      </c>
      <c r="S9" s="2" t="n">
        <f aca="false">SUMIFS('Por foco'!$T$2:$T$579,'Por foco'!$A$2:$A$579,$A9,'Por foco'!$B$2:$B$579,$B9)</f>
        <v>0</v>
      </c>
      <c r="T9" s="2" t="n">
        <f aca="false">SUMIFS('Por foco'!$U$2:$U$579,'Por foco'!$A$2:$A$579,$A9,'Por foco'!$B$2:$B$579,$B9)</f>
        <v>0</v>
      </c>
      <c r="U9" s="2" t="n">
        <f aca="false">SUMIFS('Por foco'!$V$2:$V$579,'Por foco'!$A$2:$A$579,$A9,'Por foco'!$B$2:$B$579,$B9)</f>
        <v>150</v>
      </c>
      <c r="V9" s="2" t="n">
        <f aca="false">SUMIFS('Por foco'!$W$2:$W$579,'Por foco'!$A$2:$A$579,$A9,'Por foco'!$B$2:$B$579,$B9)</f>
        <v>0</v>
      </c>
      <c r="W9" s="2" t="n">
        <f aca="false">SUMIFS('Por foco'!$X$2:$X$579,'Por foco'!$A$2:$A$579,$A9,'Por foco'!$B$2:$B$579,$B9)</f>
        <v>0</v>
      </c>
    </row>
    <row r="10" customFormat="false" ht="15" hidden="false" customHeight="false" outlineLevel="0" collapsed="false">
      <c r="A10" s="2" t="s">
        <v>27</v>
      </c>
      <c r="B10" s="2" t="s">
        <v>51</v>
      </c>
      <c r="C10" s="2" t="n">
        <f aca="false">COUNTIFS('Por foco'!$A$2:$A$579,$A10,'Por foco'!$B$2:$B$579,$B10)</f>
        <v>7</v>
      </c>
      <c r="D10" s="2" t="n">
        <f aca="false">SUMIFS('Por foco'!$E$2:$E$579,'Por foco'!$A$2:$A$579,$A10,'Por foco'!$B$2:$B$579,$B10)</f>
        <v>448</v>
      </c>
      <c r="E10" s="2" t="n">
        <f aca="false">SUMIFS('Por foco'!$F$2:$F$579,'Por foco'!$A$2:$A$579,$A10,'Por foco'!$B$2:$B$579,$B10)</f>
        <v>150</v>
      </c>
      <c r="F10" s="2" t="n">
        <f aca="false">SUMIFS('Por foco'!$G$2:$G$579,'Por foco'!$A$2:$A$579,$A10,'Por foco'!$B$2:$B$579,$B10)</f>
        <v>0</v>
      </c>
      <c r="G10" s="2" t="n">
        <f aca="false">SUMIFS('Por foco'!$H$2:$H$579,'Por foco'!$A$2:$A$579,$A10,'Por foco'!$B$2:$B$579,$B10)</f>
        <v>0</v>
      </c>
      <c r="H10" s="2" t="n">
        <f aca="false">SUMIFS('Por foco'!$I$2:$I$579,'Por foco'!$A$2:$A$579,$A10,'Por foco'!$B$2:$B$579,$B10)</f>
        <v>0</v>
      </c>
      <c r="I10" s="2" t="n">
        <f aca="false">SUMIFS('Por foco'!$J$2:$J$579,'Por foco'!$A$2:$A$579,$A10,'Por foco'!$B$2:$B$579,$B10)</f>
        <v>0</v>
      </c>
      <c r="J10" s="2" t="n">
        <f aca="false">SUMIFS('Por foco'!$K$2:$K$579,'Por foco'!$A$2:$A$579,$A10,'Por foco'!$B$2:$B$579,$B10)</f>
        <v>0</v>
      </c>
      <c r="K10" s="2" t="n">
        <f aca="false">SUMIFS('Por foco'!$L$2:$L$579,'Por foco'!$A$2:$A$579,$A10,'Por foco'!$B$2:$B$579,$B10)</f>
        <v>0</v>
      </c>
      <c r="L10" s="2" t="n">
        <f aca="false">SUMIFS('Por foco'!$M$2:$M$579,'Por foco'!$A$2:$A$579,$A10,'Por foco'!$B$2:$B$579,$B10)</f>
        <v>1</v>
      </c>
      <c r="M10" s="2" t="n">
        <f aca="false">SUMIFS('Por foco'!$N$2:$N$579,'Por foco'!$A$2:$A$579,$A10,'Por foco'!$B$2:$B$579,$B10)</f>
        <v>0</v>
      </c>
      <c r="N10" s="2" t="n">
        <f aca="false">SUMIFS('Por foco'!$O$2:$O$579,'Por foco'!$A$2:$A$579,$A10,'Por foco'!$B$2:$B$579,$B10)</f>
        <v>0</v>
      </c>
      <c r="O10" s="2" t="n">
        <f aca="false">SUMIFS('Por foco'!$P$2:$P$579,'Por foco'!$A$2:$A$579,$A10,'Por foco'!$B$2:$B$579,$B10)</f>
        <v>0</v>
      </c>
      <c r="P10" s="2" t="n">
        <f aca="false">SUMIFS('Por foco'!$Q$2:$Q$579,'Por foco'!$A$2:$A$579,$A10,'Por foco'!$B$2:$B$579,$B10)</f>
        <v>0</v>
      </c>
      <c r="Q10" s="2" t="n">
        <f aca="false">SUMIFS('Por foco'!$R$2:$R$579,'Por foco'!$A$2:$A$579,$A10,'Por foco'!$B$2:$B$579,$B10)</f>
        <v>0</v>
      </c>
      <c r="R10" s="2" t="n">
        <f aca="false">SUMIFS('Por foco'!$S$2:$S$579,'Por foco'!$A$2:$A$579,$A10,'Por foco'!$B$2:$B$579,$B10)</f>
        <v>0</v>
      </c>
      <c r="S10" s="2" t="n">
        <f aca="false">SUMIFS('Por foco'!$T$2:$T$579,'Por foco'!$A$2:$A$579,$A10,'Por foco'!$B$2:$B$579,$B10)</f>
        <v>0</v>
      </c>
      <c r="T10" s="2" t="n">
        <f aca="false">SUMIFS('Por foco'!$U$2:$U$579,'Por foco'!$A$2:$A$579,$A10,'Por foco'!$B$2:$B$579,$B10)</f>
        <v>0</v>
      </c>
      <c r="U10" s="2" t="n">
        <f aca="false">SUMIFS('Por foco'!$V$2:$V$579,'Por foco'!$A$2:$A$579,$A10,'Por foco'!$B$2:$B$579,$B10)</f>
        <v>0</v>
      </c>
      <c r="V10" s="2" t="n">
        <f aca="false">SUMIFS('Por foco'!$W$2:$W$579,'Por foco'!$A$2:$A$579,$A10,'Por foco'!$B$2:$B$579,$B10)</f>
        <v>0</v>
      </c>
      <c r="W10" s="2" t="n">
        <f aca="false">SUMIFS('Por foco'!$X$2:$X$579,'Por foco'!$A$2:$A$579,$A10,'Por foco'!$B$2:$B$579,$B10)</f>
        <v>3</v>
      </c>
    </row>
    <row r="11" customFormat="false" ht="15" hidden="false" customHeight="false" outlineLevel="0" collapsed="false">
      <c r="A11" s="2" t="s">
        <v>27</v>
      </c>
      <c r="B11" s="2" t="s">
        <v>52</v>
      </c>
      <c r="C11" s="2" t="n">
        <f aca="false">COUNTIFS('Por foco'!$A$2:$A$579,$A11,'Por foco'!$B$2:$B$579,$B11)</f>
        <v>6</v>
      </c>
      <c r="D11" s="2" t="n">
        <f aca="false">SUMIFS('Por foco'!$E$2:$E$579,'Por foco'!$A$2:$A$579,$A11,'Por foco'!$B$2:$B$579,$B11)</f>
        <v>413</v>
      </c>
      <c r="E11" s="2" t="n">
        <f aca="false">SUMIFS('Por foco'!$F$2:$F$579,'Por foco'!$A$2:$A$579,$A11,'Por foco'!$B$2:$B$579,$B11)</f>
        <v>100</v>
      </c>
      <c r="F11" s="2" t="n">
        <f aca="false">SUMIFS('Por foco'!$G$2:$G$579,'Por foco'!$A$2:$A$579,$A11,'Por foco'!$B$2:$B$579,$B11)</f>
        <v>0</v>
      </c>
      <c r="G11" s="2" t="n">
        <f aca="false">SUMIFS('Por foco'!$H$2:$H$579,'Por foco'!$A$2:$A$579,$A11,'Por foco'!$B$2:$B$579,$B11)</f>
        <v>0</v>
      </c>
      <c r="H11" s="2" t="n">
        <f aca="false">SUMIFS('Por foco'!$I$2:$I$579,'Por foco'!$A$2:$A$579,$A11,'Por foco'!$B$2:$B$579,$B11)</f>
        <v>0</v>
      </c>
      <c r="I11" s="2" t="n">
        <f aca="false">SUMIFS('Por foco'!$J$2:$J$579,'Por foco'!$A$2:$A$579,$A11,'Por foco'!$B$2:$B$579,$B11)</f>
        <v>0</v>
      </c>
      <c r="J11" s="2" t="n">
        <f aca="false">SUMIFS('Por foco'!$K$2:$K$579,'Por foco'!$A$2:$A$579,$A11,'Por foco'!$B$2:$B$579,$B11)</f>
        <v>0</v>
      </c>
      <c r="K11" s="2" t="n">
        <f aca="false">SUMIFS('Por foco'!$L$2:$L$579,'Por foco'!$A$2:$A$579,$A11,'Por foco'!$B$2:$B$579,$B11)</f>
        <v>0</v>
      </c>
      <c r="L11" s="2" t="n">
        <f aca="false">SUMIFS('Por foco'!$M$2:$M$579,'Por foco'!$A$2:$A$579,$A11,'Por foco'!$B$2:$B$579,$B11)</f>
        <v>0</v>
      </c>
      <c r="M11" s="2" t="n">
        <f aca="false">SUMIFS('Por foco'!$N$2:$N$579,'Por foco'!$A$2:$A$579,$A11,'Por foco'!$B$2:$B$579,$B11)</f>
        <v>2</v>
      </c>
      <c r="N11" s="2" t="n">
        <f aca="false">SUMIFS('Por foco'!$O$2:$O$579,'Por foco'!$A$2:$A$579,$A11,'Por foco'!$B$2:$B$579,$B11)</f>
        <v>2</v>
      </c>
      <c r="O11" s="2" t="n">
        <f aca="false">SUMIFS('Por foco'!$P$2:$P$579,'Por foco'!$A$2:$A$579,$A11,'Por foco'!$B$2:$B$579,$B11)</f>
        <v>0</v>
      </c>
      <c r="P11" s="2" t="n">
        <f aca="false">SUMIFS('Por foco'!$Q$2:$Q$579,'Por foco'!$A$2:$A$579,$A11,'Por foco'!$B$2:$B$579,$B11)</f>
        <v>0</v>
      </c>
      <c r="Q11" s="2" t="n">
        <f aca="false">SUMIFS('Por foco'!$R$2:$R$579,'Por foco'!$A$2:$A$579,$A11,'Por foco'!$B$2:$B$579,$B11)</f>
        <v>0</v>
      </c>
      <c r="R11" s="2" t="n">
        <f aca="false">SUMIFS('Por foco'!$S$2:$S$579,'Por foco'!$A$2:$A$579,$A11,'Por foco'!$B$2:$B$579,$B11)</f>
        <v>0</v>
      </c>
      <c r="S11" s="2" t="n">
        <f aca="false">SUMIFS('Por foco'!$T$2:$T$579,'Por foco'!$A$2:$A$579,$A11,'Por foco'!$B$2:$B$579,$B11)</f>
        <v>0</v>
      </c>
      <c r="T11" s="2" t="n">
        <f aca="false">SUMIFS('Por foco'!$U$2:$U$579,'Por foco'!$A$2:$A$579,$A11,'Por foco'!$B$2:$B$579,$B11)</f>
        <v>0</v>
      </c>
      <c r="U11" s="2" t="n">
        <f aca="false">SUMIFS('Por foco'!$V$2:$V$579,'Por foco'!$A$2:$A$579,$A11,'Por foco'!$B$2:$B$579,$B11)</f>
        <v>0</v>
      </c>
      <c r="V11" s="2" t="n">
        <f aca="false">SUMIFS('Por foco'!$W$2:$W$579,'Por foco'!$A$2:$A$579,$A11,'Por foco'!$B$2:$B$579,$B11)</f>
        <v>0</v>
      </c>
      <c r="W11" s="2" t="n">
        <f aca="false">SUMIFS('Por foco'!$X$2:$X$579,'Por foco'!$A$2:$A$579,$A11,'Por foco'!$B$2:$B$579,$B11)</f>
        <v>3</v>
      </c>
    </row>
    <row r="12" customFormat="false" ht="15" hidden="false" customHeight="false" outlineLevel="0" collapsed="false">
      <c r="A12" s="2" t="s">
        <v>28</v>
      </c>
      <c r="B12" s="2" t="s">
        <v>53</v>
      </c>
      <c r="C12" s="2" t="n">
        <f aca="false">COUNTIFS('Por foco'!$A$2:$A$579,$A12,'Por foco'!$B$2:$B$579,$B12)</f>
        <v>9</v>
      </c>
      <c r="D12" s="2" t="n">
        <f aca="false">SUMIFS('Por foco'!$E$2:$E$579,'Por foco'!$A$2:$A$579,$A12,'Por foco'!$B$2:$B$579,$B12)</f>
        <v>560</v>
      </c>
      <c r="E12" s="2" t="n">
        <f aca="false">SUMIFS('Por foco'!$F$2:$F$579,'Por foco'!$A$2:$A$579,$A12,'Por foco'!$B$2:$B$579,$B12)</f>
        <v>300</v>
      </c>
      <c r="F12" s="2" t="n">
        <f aca="false">SUMIFS('Por foco'!$G$2:$G$579,'Por foco'!$A$2:$A$579,$A12,'Por foco'!$B$2:$B$579,$B12)</f>
        <v>0</v>
      </c>
      <c r="G12" s="2" t="n">
        <f aca="false">SUMIFS('Por foco'!$H$2:$H$579,'Por foco'!$A$2:$A$579,$A12,'Por foco'!$B$2:$B$579,$B12)</f>
        <v>5</v>
      </c>
      <c r="H12" s="2" t="n">
        <f aca="false">SUMIFS('Por foco'!$I$2:$I$579,'Por foco'!$A$2:$A$579,$A12,'Por foco'!$B$2:$B$579,$B12)</f>
        <v>0</v>
      </c>
      <c r="I12" s="2" t="n">
        <f aca="false">SUMIFS('Por foco'!$J$2:$J$579,'Por foco'!$A$2:$A$579,$A12,'Por foco'!$B$2:$B$579,$B12)</f>
        <v>50</v>
      </c>
      <c r="J12" s="2" t="n">
        <f aca="false">SUMIFS('Por foco'!$K$2:$K$579,'Por foco'!$A$2:$A$579,$A12,'Por foco'!$B$2:$B$579,$B12)</f>
        <v>0</v>
      </c>
      <c r="K12" s="2" t="n">
        <f aca="false">SUMIFS('Por foco'!$L$2:$L$579,'Por foco'!$A$2:$A$579,$A12,'Por foco'!$B$2:$B$579,$B12)</f>
        <v>0</v>
      </c>
      <c r="L12" s="2" t="n">
        <f aca="false">SUMIFS('Por foco'!$M$2:$M$579,'Por foco'!$A$2:$A$579,$A12,'Por foco'!$B$2:$B$579,$B12)</f>
        <v>1</v>
      </c>
      <c r="M12" s="2" t="n">
        <f aca="false">SUMIFS('Por foco'!$N$2:$N$579,'Por foco'!$A$2:$A$579,$A12,'Por foco'!$B$2:$B$579,$B12)</f>
        <v>0</v>
      </c>
      <c r="N12" s="2" t="n">
        <f aca="false">SUMIFS('Por foco'!$O$2:$O$579,'Por foco'!$A$2:$A$579,$A12,'Por foco'!$B$2:$B$579,$B12)</f>
        <v>0</v>
      </c>
      <c r="O12" s="2" t="n">
        <f aca="false">SUMIFS('Por foco'!$P$2:$P$579,'Por foco'!$A$2:$A$579,$A12,'Por foco'!$B$2:$B$579,$B12)</f>
        <v>0</v>
      </c>
      <c r="P12" s="2" t="n">
        <f aca="false">SUMIFS('Por foco'!$Q$2:$Q$579,'Por foco'!$A$2:$A$579,$A12,'Por foco'!$B$2:$B$579,$B12)</f>
        <v>0</v>
      </c>
      <c r="Q12" s="2" t="n">
        <f aca="false">SUMIFS('Por foco'!$R$2:$R$579,'Por foco'!$A$2:$A$579,$A12,'Por foco'!$B$2:$B$579,$B12)</f>
        <v>0</v>
      </c>
      <c r="R12" s="2" t="n">
        <f aca="false">SUMIFS('Por foco'!$S$2:$S$579,'Por foco'!$A$2:$A$579,$A12,'Por foco'!$B$2:$B$579,$B12)</f>
        <v>0</v>
      </c>
      <c r="S12" s="2" t="n">
        <f aca="false">SUMIFS('Por foco'!$T$2:$T$579,'Por foco'!$A$2:$A$579,$A12,'Por foco'!$B$2:$B$579,$B12)</f>
        <v>0</v>
      </c>
      <c r="T12" s="2" t="n">
        <f aca="false">SUMIFS('Por foco'!$U$2:$U$579,'Por foco'!$A$2:$A$579,$A12,'Por foco'!$B$2:$B$579,$B12)</f>
        <v>0</v>
      </c>
      <c r="U12" s="2" t="n">
        <f aca="false">SUMIFS('Por foco'!$V$2:$V$579,'Por foco'!$A$2:$A$579,$A12,'Por foco'!$B$2:$B$579,$B12)</f>
        <v>0</v>
      </c>
      <c r="V12" s="2" t="n">
        <f aca="false">SUMIFS('Por foco'!$W$2:$W$579,'Por foco'!$A$2:$A$579,$A12,'Por foco'!$B$2:$B$579,$B12)</f>
        <v>1</v>
      </c>
      <c r="W12" s="2" t="n">
        <f aca="false">SUMIFS('Por foco'!$X$2:$X$579,'Por foco'!$A$2:$A$579,$A12,'Por foco'!$B$2:$B$579,$B12)</f>
        <v>5</v>
      </c>
    </row>
    <row r="13" customFormat="false" ht="15" hidden="false" customHeight="false" outlineLevel="0" collapsed="false">
      <c r="A13" s="2" t="s">
        <v>28</v>
      </c>
      <c r="B13" s="2" t="s">
        <v>54</v>
      </c>
      <c r="C13" s="2" t="n">
        <f aca="false">COUNTIFS('Por foco'!$A$2:$A$579,$A13,'Por foco'!$B$2:$B$579,$B13)</f>
        <v>9</v>
      </c>
      <c r="D13" s="2" t="n">
        <f aca="false">SUMIFS('Por foco'!$E$2:$E$579,'Por foco'!$A$2:$A$579,$A13,'Por foco'!$B$2:$B$579,$B13)</f>
        <v>595</v>
      </c>
      <c r="E13" s="2" t="n">
        <f aca="false">SUMIFS('Por foco'!$F$2:$F$579,'Por foco'!$A$2:$A$579,$A13,'Por foco'!$B$2:$B$579,$B13)</f>
        <v>100</v>
      </c>
      <c r="F13" s="2" t="n">
        <f aca="false">SUMIFS('Por foco'!$G$2:$G$579,'Por foco'!$A$2:$A$579,$A13,'Por foco'!$B$2:$B$579,$B13)</f>
        <v>0</v>
      </c>
      <c r="G13" s="2" t="n">
        <f aca="false">SUMIFS('Por foco'!$H$2:$H$579,'Por foco'!$A$2:$A$579,$A13,'Por foco'!$B$2:$B$579,$B13)</f>
        <v>5</v>
      </c>
      <c r="H13" s="2" t="n">
        <f aca="false">SUMIFS('Por foco'!$I$2:$I$579,'Por foco'!$A$2:$A$579,$A13,'Por foco'!$B$2:$B$579,$B13)</f>
        <v>100000</v>
      </c>
      <c r="I13" s="2" t="n">
        <f aca="false">SUMIFS('Por foco'!$J$2:$J$579,'Por foco'!$A$2:$A$579,$A13,'Por foco'!$B$2:$B$579,$B13)</f>
        <v>0</v>
      </c>
      <c r="J13" s="2" t="n">
        <f aca="false">SUMIFS('Por foco'!$K$2:$K$579,'Por foco'!$A$2:$A$579,$A13,'Por foco'!$B$2:$B$579,$B13)</f>
        <v>0</v>
      </c>
      <c r="K13" s="2" t="n">
        <f aca="false">SUMIFS('Por foco'!$L$2:$L$579,'Por foco'!$A$2:$A$579,$A13,'Por foco'!$B$2:$B$579,$B13)</f>
        <v>0</v>
      </c>
      <c r="L13" s="2" t="n">
        <f aca="false">SUMIFS('Por foco'!$M$2:$M$579,'Por foco'!$A$2:$A$579,$A13,'Por foco'!$B$2:$B$579,$B13)</f>
        <v>1</v>
      </c>
      <c r="M13" s="2" t="n">
        <f aca="false">SUMIFS('Por foco'!$N$2:$N$579,'Por foco'!$A$2:$A$579,$A13,'Por foco'!$B$2:$B$579,$B13)</f>
        <v>2</v>
      </c>
      <c r="N13" s="2" t="n">
        <f aca="false">SUMIFS('Por foco'!$O$2:$O$579,'Por foco'!$A$2:$A$579,$A13,'Por foco'!$B$2:$B$579,$B13)</f>
        <v>0</v>
      </c>
      <c r="O13" s="2" t="n">
        <f aca="false">SUMIFS('Por foco'!$P$2:$P$579,'Por foco'!$A$2:$A$579,$A13,'Por foco'!$B$2:$B$579,$B13)</f>
        <v>0</v>
      </c>
      <c r="P13" s="2" t="n">
        <f aca="false">SUMIFS('Por foco'!$Q$2:$Q$579,'Por foco'!$A$2:$A$579,$A13,'Por foco'!$B$2:$B$579,$B13)</f>
        <v>0</v>
      </c>
      <c r="Q13" s="2" t="n">
        <f aca="false">SUMIFS('Por foco'!$R$2:$R$579,'Por foco'!$A$2:$A$579,$A13,'Por foco'!$B$2:$B$579,$B13)</f>
        <v>0</v>
      </c>
      <c r="R13" s="2" t="n">
        <f aca="false">SUMIFS('Por foco'!$S$2:$S$579,'Por foco'!$A$2:$A$579,$A13,'Por foco'!$B$2:$B$579,$B13)</f>
        <v>0</v>
      </c>
      <c r="S13" s="2" t="n">
        <f aca="false">SUMIFS('Por foco'!$T$2:$T$579,'Por foco'!$A$2:$A$579,$A13,'Por foco'!$B$2:$B$579,$B13)</f>
        <v>0</v>
      </c>
      <c r="T13" s="2" t="n">
        <f aca="false">SUMIFS('Por foco'!$U$2:$U$579,'Por foco'!$A$2:$A$579,$A13,'Por foco'!$B$2:$B$579,$B13)</f>
        <v>0</v>
      </c>
      <c r="U13" s="2" t="n">
        <f aca="false">SUMIFS('Por foco'!$V$2:$V$579,'Por foco'!$A$2:$A$579,$A13,'Por foco'!$B$2:$B$579,$B13)</f>
        <v>0</v>
      </c>
      <c r="V13" s="2" t="n">
        <f aca="false">SUMIFS('Por foco'!$W$2:$W$579,'Por foco'!$A$2:$A$579,$A13,'Por foco'!$B$2:$B$579,$B13)</f>
        <v>0</v>
      </c>
      <c r="W13" s="2" t="n">
        <f aca="false">SUMIFS('Por foco'!$X$2:$X$579,'Por foco'!$A$2:$A$579,$A13,'Por foco'!$B$2:$B$579,$B13)</f>
        <v>3</v>
      </c>
    </row>
    <row r="14" customFormat="false" ht="15" hidden="false" customHeight="false" outlineLevel="0" collapsed="false">
      <c r="A14" s="2" t="s">
        <v>28</v>
      </c>
      <c r="B14" s="2" t="s">
        <v>45</v>
      </c>
      <c r="C14" s="2" t="n">
        <f aca="false">COUNTIFS('Por foco'!$A$2:$A$579,$A14,'Por foco'!$B$2:$B$579,$B14)</f>
        <v>4</v>
      </c>
      <c r="D14" s="2" t="n">
        <f aca="false">SUMIFS('Por foco'!$E$2:$E$579,'Por foco'!$A$2:$A$579,$A14,'Por foco'!$B$2:$B$579,$B14)</f>
        <v>315</v>
      </c>
      <c r="E14" s="2" t="n">
        <f aca="false">SUMIFS('Por foco'!$F$2:$F$579,'Por foco'!$A$2:$A$579,$A14,'Por foco'!$B$2:$B$579,$B14)</f>
        <v>170</v>
      </c>
      <c r="F14" s="2" t="n">
        <f aca="false">SUMIFS('Por foco'!$G$2:$G$579,'Por foco'!$A$2:$A$579,$A14,'Por foco'!$B$2:$B$579,$B14)</f>
        <v>5</v>
      </c>
      <c r="G14" s="2" t="n">
        <f aca="false">SUMIFS('Por foco'!$H$2:$H$579,'Por foco'!$A$2:$A$579,$A14,'Por foco'!$B$2:$B$579,$B14)</f>
        <v>5</v>
      </c>
      <c r="H14" s="2" t="n">
        <f aca="false">SUMIFS('Por foco'!$I$2:$I$579,'Por foco'!$A$2:$A$579,$A14,'Por foco'!$B$2:$B$579,$B14)</f>
        <v>0</v>
      </c>
      <c r="I14" s="2" t="n">
        <f aca="false">SUMIFS('Por foco'!$J$2:$J$579,'Por foco'!$A$2:$A$579,$A14,'Por foco'!$B$2:$B$579,$B14)</f>
        <v>25</v>
      </c>
      <c r="J14" s="2" t="n">
        <f aca="false">SUMIFS('Por foco'!$K$2:$K$579,'Por foco'!$A$2:$A$579,$A14,'Por foco'!$B$2:$B$579,$B14)</f>
        <v>0</v>
      </c>
      <c r="K14" s="2" t="n">
        <f aca="false">SUMIFS('Por foco'!$L$2:$L$579,'Por foco'!$A$2:$A$579,$A14,'Por foco'!$B$2:$B$579,$B14)</f>
        <v>0</v>
      </c>
      <c r="L14" s="2" t="n">
        <f aca="false">SUMIFS('Por foco'!$M$2:$M$579,'Por foco'!$A$2:$A$579,$A14,'Por foco'!$B$2:$B$579,$B14)</f>
        <v>0</v>
      </c>
      <c r="M14" s="2" t="n">
        <f aca="false">SUMIFS('Por foco'!$N$2:$N$579,'Por foco'!$A$2:$A$579,$A14,'Por foco'!$B$2:$B$579,$B14)</f>
        <v>0</v>
      </c>
      <c r="N14" s="2" t="n">
        <f aca="false">SUMIFS('Por foco'!$O$2:$O$579,'Por foco'!$A$2:$A$579,$A14,'Por foco'!$B$2:$B$579,$B14)</f>
        <v>0</v>
      </c>
      <c r="O14" s="2" t="n">
        <f aca="false">SUMIFS('Por foco'!$P$2:$P$579,'Por foco'!$A$2:$A$579,$A14,'Por foco'!$B$2:$B$579,$B14)</f>
        <v>0</v>
      </c>
      <c r="P14" s="2" t="n">
        <f aca="false">SUMIFS('Por foco'!$Q$2:$Q$579,'Por foco'!$A$2:$A$579,$A14,'Por foco'!$B$2:$B$579,$B14)</f>
        <v>0</v>
      </c>
      <c r="Q14" s="2" t="n">
        <f aca="false">SUMIFS('Por foco'!$R$2:$R$579,'Por foco'!$A$2:$A$579,$A14,'Por foco'!$B$2:$B$579,$B14)</f>
        <v>0</v>
      </c>
      <c r="R14" s="2" t="n">
        <f aca="false">SUMIFS('Por foco'!$S$2:$S$579,'Por foco'!$A$2:$A$579,$A14,'Por foco'!$B$2:$B$579,$B14)</f>
        <v>0</v>
      </c>
      <c r="S14" s="2" t="n">
        <f aca="false">SUMIFS('Por foco'!$T$2:$T$579,'Por foco'!$A$2:$A$579,$A14,'Por foco'!$B$2:$B$579,$B14)</f>
        <v>0</v>
      </c>
      <c r="T14" s="2" t="n">
        <f aca="false">SUMIFS('Por foco'!$U$2:$U$579,'Por foco'!$A$2:$A$579,$A14,'Por foco'!$B$2:$B$579,$B14)</f>
        <v>0</v>
      </c>
      <c r="U14" s="2" t="n">
        <f aca="false">SUMIFS('Por foco'!$V$2:$V$579,'Por foco'!$A$2:$A$579,$A14,'Por foco'!$B$2:$B$579,$B14)</f>
        <v>0</v>
      </c>
      <c r="V14" s="2" t="n">
        <f aca="false">SUMIFS('Por foco'!$W$2:$W$579,'Por foco'!$A$2:$A$579,$A14,'Por foco'!$B$2:$B$579,$B14)</f>
        <v>7</v>
      </c>
      <c r="W14" s="2" t="n">
        <f aca="false">SUMIFS('Por foco'!$X$2:$X$579,'Por foco'!$A$2:$A$579,$A14,'Por foco'!$B$2:$B$579,$B14)</f>
        <v>1</v>
      </c>
    </row>
    <row r="15" customFormat="false" ht="15" hidden="false" customHeight="false" outlineLevel="0" collapsed="false">
      <c r="A15" s="2" t="s">
        <v>28</v>
      </c>
      <c r="B15" s="2" t="s">
        <v>55</v>
      </c>
      <c r="C15" s="2" t="n">
        <f aca="false">COUNTIFS('Por foco'!$A$2:$A$579,$A15,'Por foco'!$B$2:$B$579,$B15)</f>
        <v>8</v>
      </c>
      <c r="D15" s="2" t="n">
        <f aca="false">SUMIFS('Por foco'!$E$2:$E$579,'Por foco'!$A$2:$A$579,$A15,'Por foco'!$B$2:$B$579,$B15)</f>
        <v>532</v>
      </c>
      <c r="E15" s="2" t="n">
        <f aca="false">SUMIFS('Por foco'!$F$2:$F$579,'Por foco'!$A$2:$A$579,$A15,'Por foco'!$B$2:$B$579,$B15)</f>
        <v>100</v>
      </c>
      <c r="F15" s="2" t="n">
        <f aca="false">SUMIFS('Por foco'!$G$2:$G$579,'Por foco'!$A$2:$A$579,$A15,'Por foco'!$B$2:$B$579,$B15)</f>
        <v>0</v>
      </c>
      <c r="G15" s="2" t="n">
        <f aca="false">SUMIFS('Por foco'!$H$2:$H$579,'Por foco'!$A$2:$A$579,$A15,'Por foco'!$B$2:$B$579,$B15)</f>
        <v>0</v>
      </c>
      <c r="H15" s="2" t="n">
        <f aca="false">SUMIFS('Por foco'!$I$2:$I$579,'Por foco'!$A$2:$A$579,$A15,'Por foco'!$B$2:$B$579,$B15)</f>
        <v>0</v>
      </c>
      <c r="I15" s="2" t="n">
        <f aca="false">SUMIFS('Por foco'!$J$2:$J$579,'Por foco'!$A$2:$A$579,$A15,'Por foco'!$B$2:$B$579,$B15)</f>
        <v>0</v>
      </c>
      <c r="J15" s="2" t="n">
        <f aca="false">SUMIFS('Por foco'!$K$2:$K$579,'Por foco'!$A$2:$A$579,$A15,'Por foco'!$B$2:$B$579,$B15)</f>
        <v>0</v>
      </c>
      <c r="K15" s="2" t="n">
        <f aca="false">SUMIFS('Por foco'!$L$2:$L$579,'Por foco'!$A$2:$A$579,$A15,'Por foco'!$B$2:$B$579,$B15)</f>
        <v>0</v>
      </c>
      <c r="L15" s="2" t="n">
        <f aca="false">SUMIFS('Por foco'!$M$2:$M$579,'Por foco'!$A$2:$A$579,$A15,'Por foco'!$B$2:$B$579,$B15)</f>
        <v>0</v>
      </c>
      <c r="M15" s="2" t="n">
        <f aca="false">SUMIFS('Por foco'!$N$2:$N$579,'Por foco'!$A$2:$A$579,$A15,'Por foco'!$B$2:$B$579,$B15)</f>
        <v>0</v>
      </c>
      <c r="N15" s="2" t="n">
        <f aca="false">SUMIFS('Por foco'!$O$2:$O$579,'Por foco'!$A$2:$A$579,$A15,'Por foco'!$B$2:$B$579,$B15)</f>
        <v>9</v>
      </c>
      <c r="O15" s="2" t="n">
        <f aca="false">SUMIFS('Por foco'!$P$2:$P$579,'Por foco'!$A$2:$A$579,$A15,'Por foco'!$B$2:$B$579,$B15)</f>
        <v>2</v>
      </c>
      <c r="P15" s="2" t="n">
        <f aca="false">SUMIFS('Por foco'!$Q$2:$Q$579,'Por foco'!$A$2:$A$579,$A15,'Por foco'!$B$2:$B$579,$B15)</f>
        <v>0</v>
      </c>
      <c r="Q15" s="2" t="n">
        <f aca="false">SUMIFS('Por foco'!$R$2:$R$579,'Por foco'!$A$2:$A$579,$A15,'Por foco'!$B$2:$B$579,$B15)</f>
        <v>0</v>
      </c>
      <c r="R15" s="2" t="n">
        <f aca="false">SUMIFS('Por foco'!$S$2:$S$579,'Por foco'!$A$2:$A$579,$A15,'Por foco'!$B$2:$B$579,$B15)</f>
        <v>0</v>
      </c>
      <c r="S15" s="2" t="n">
        <f aca="false">SUMIFS('Por foco'!$T$2:$T$579,'Por foco'!$A$2:$A$579,$A15,'Por foco'!$B$2:$B$579,$B15)</f>
        <v>0</v>
      </c>
      <c r="T15" s="2" t="n">
        <f aca="false">SUMIFS('Por foco'!$U$2:$U$579,'Por foco'!$A$2:$A$579,$A15,'Por foco'!$B$2:$B$579,$B15)</f>
        <v>0</v>
      </c>
      <c r="U15" s="2" t="n">
        <f aca="false">SUMIFS('Por foco'!$V$2:$V$579,'Por foco'!$A$2:$A$579,$A15,'Por foco'!$B$2:$B$579,$B15)</f>
        <v>0</v>
      </c>
      <c r="V15" s="2" t="n">
        <f aca="false">SUMIFS('Por foco'!$W$2:$W$579,'Por foco'!$A$2:$A$579,$A15,'Por foco'!$B$2:$B$579,$B15)</f>
        <v>0</v>
      </c>
      <c r="W15" s="2" t="n">
        <f aca="false">SUMIFS('Por foco'!$X$2:$X$579,'Por foco'!$A$2:$A$579,$A15,'Por foco'!$B$2:$B$579,$B15)</f>
        <v>2</v>
      </c>
    </row>
    <row r="16" customFormat="false" ht="15" hidden="false" customHeight="false" outlineLevel="0" collapsed="false">
      <c r="A16" s="2" t="s">
        <v>28</v>
      </c>
      <c r="B16" s="2" t="s">
        <v>56</v>
      </c>
      <c r="C16" s="2" t="n">
        <f aca="false">COUNTIFS('Por foco'!$A$2:$A$579,$A16,'Por foco'!$B$2:$B$579,$B16)</f>
        <v>7</v>
      </c>
      <c r="D16" s="2" t="n">
        <f aca="false">SUMIFS('Por foco'!$E$2:$E$579,'Por foco'!$A$2:$A$579,$A16,'Por foco'!$B$2:$B$579,$B16)</f>
        <v>483</v>
      </c>
      <c r="E16" s="2" t="n">
        <f aca="false">SUMIFS('Por foco'!$F$2:$F$579,'Por foco'!$A$2:$A$579,$A16,'Por foco'!$B$2:$B$579,$B16)</f>
        <v>300</v>
      </c>
      <c r="F16" s="2" t="n">
        <f aca="false">SUMIFS('Por foco'!$G$2:$G$579,'Por foco'!$A$2:$A$579,$A16,'Por foco'!$B$2:$B$579,$B16)</f>
        <v>0</v>
      </c>
      <c r="G16" s="2" t="n">
        <f aca="false">SUMIFS('Por foco'!$H$2:$H$579,'Por foco'!$A$2:$A$579,$A16,'Por foco'!$B$2:$B$579,$B16)</f>
        <v>0</v>
      </c>
      <c r="H16" s="2" t="n">
        <f aca="false">SUMIFS('Por foco'!$I$2:$I$579,'Por foco'!$A$2:$A$579,$A16,'Por foco'!$B$2:$B$579,$B16)</f>
        <v>0</v>
      </c>
      <c r="I16" s="2" t="n">
        <f aca="false">SUMIFS('Por foco'!$J$2:$J$579,'Por foco'!$A$2:$A$579,$A16,'Por foco'!$B$2:$B$579,$B16)</f>
        <v>0</v>
      </c>
      <c r="J16" s="2" t="n">
        <f aca="false">SUMIFS('Por foco'!$K$2:$K$579,'Por foco'!$A$2:$A$579,$A16,'Por foco'!$B$2:$B$579,$B16)</f>
        <v>0</v>
      </c>
      <c r="K16" s="2" t="n">
        <f aca="false">SUMIFS('Por foco'!$L$2:$L$579,'Por foco'!$A$2:$A$579,$A16,'Por foco'!$B$2:$B$579,$B16)</f>
        <v>0</v>
      </c>
      <c r="L16" s="2" t="n">
        <f aca="false">SUMIFS('Por foco'!$M$2:$M$579,'Por foco'!$A$2:$A$579,$A16,'Por foco'!$B$2:$B$579,$B16)</f>
        <v>1</v>
      </c>
      <c r="M16" s="2" t="n">
        <f aca="false">SUMIFS('Por foco'!$N$2:$N$579,'Por foco'!$A$2:$A$579,$A16,'Por foco'!$B$2:$B$579,$B16)</f>
        <v>0</v>
      </c>
      <c r="N16" s="2" t="n">
        <f aca="false">SUMIFS('Por foco'!$O$2:$O$579,'Por foco'!$A$2:$A$579,$A16,'Por foco'!$B$2:$B$579,$B16)</f>
        <v>2</v>
      </c>
      <c r="O16" s="2" t="n">
        <f aca="false">SUMIFS('Por foco'!$P$2:$P$579,'Por foco'!$A$2:$A$579,$A16,'Por foco'!$B$2:$B$579,$B16)</f>
        <v>0</v>
      </c>
      <c r="P16" s="2" t="n">
        <f aca="false">SUMIFS('Por foco'!$Q$2:$Q$579,'Por foco'!$A$2:$A$579,$A16,'Por foco'!$B$2:$B$579,$B16)</f>
        <v>0</v>
      </c>
      <c r="Q16" s="2" t="n">
        <f aca="false">SUMIFS('Por foco'!$R$2:$R$579,'Por foco'!$A$2:$A$579,$A16,'Por foco'!$B$2:$B$579,$B16)</f>
        <v>0</v>
      </c>
      <c r="R16" s="2" t="n">
        <f aca="false">SUMIFS('Por foco'!$S$2:$S$579,'Por foco'!$A$2:$A$579,$A16,'Por foco'!$B$2:$B$579,$B16)</f>
        <v>0</v>
      </c>
      <c r="S16" s="2" t="n">
        <f aca="false">SUMIFS('Por foco'!$T$2:$T$579,'Por foco'!$A$2:$A$579,$A16,'Por foco'!$B$2:$B$579,$B16)</f>
        <v>0</v>
      </c>
      <c r="T16" s="2" t="n">
        <f aca="false">SUMIFS('Por foco'!$U$2:$U$579,'Por foco'!$A$2:$A$579,$A16,'Por foco'!$B$2:$B$579,$B16)</f>
        <v>0</v>
      </c>
      <c r="U16" s="2" t="n">
        <f aca="false">SUMIFS('Por foco'!$V$2:$V$579,'Por foco'!$A$2:$A$579,$A16,'Por foco'!$B$2:$B$579,$B16)</f>
        <v>0</v>
      </c>
      <c r="V16" s="2" t="n">
        <f aca="false">SUMIFS('Por foco'!$W$2:$W$579,'Por foco'!$A$2:$A$579,$A16,'Por foco'!$B$2:$B$579,$B16)</f>
        <v>0</v>
      </c>
      <c r="W16" s="2" t="n">
        <f aca="false">SUMIFS('Por foco'!$X$2:$X$579,'Por foco'!$A$2:$A$579,$A16,'Por foco'!$B$2:$B$579,$B16)</f>
        <v>2</v>
      </c>
    </row>
    <row r="17" customFormat="false" ht="15" hidden="false" customHeight="false" outlineLevel="0" collapsed="false">
      <c r="A17" s="2" t="s">
        <v>28</v>
      </c>
      <c r="B17" s="2" t="s">
        <v>57</v>
      </c>
      <c r="C17" s="2" t="n">
        <f aca="false">COUNTIFS('Por foco'!$A$2:$A$579,$A17,'Por foco'!$B$2:$B$579,$B17)</f>
        <v>6</v>
      </c>
      <c r="D17" s="2" t="n">
        <f aca="false">SUMIFS('Por foco'!$E$2:$E$579,'Por foco'!$A$2:$A$579,$A17,'Por foco'!$B$2:$B$579,$B17)</f>
        <v>364</v>
      </c>
      <c r="E17" s="2" t="n">
        <f aca="false">SUMIFS('Por foco'!$F$2:$F$579,'Por foco'!$A$2:$A$579,$A17,'Por foco'!$B$2:$B$579,$B17)</f>
        <v>0</v>
      </c>
      <c r="F17" s="2" t="n">
        <f aca="false">SUMIFS('Por foco'!$G$2:$G$579,'Por foco'!$A$2:$A$579,$A17,'Por foco'!$B$2:$B$579,$B17)</f>
        <v>0</v>
      </c>
      <c r="G17" s="2" t="n">
        <f aca="false">SUMIFS('Por foco'!$H$2:$H$579,'Por foco'!$A$2:$A$579,$A17,'Por foco'!$B$2:$B$579,$B17)</f>
        <v>0</v>
      </c>
      <c r="H17" s="2" t="n">
        <f aca="false">SUMIFS('Por foco'!$I$2:$I$579,'Por foco'!$A$2:$A$579,$A17,'Por foco'!$B$2:$B$579,$B17)</f>
        <v>0</v>
      </c>
      <c r="I17" s="2" t="n">
        <f aca="false">SUMIFS('Por foco'!$J$2:$J$579,'Por foco'!$A$2:$A$579,$A17,'Por foco'!$B$2:$B$579,$B17)</f>
        <v>0</v>
      </c>
      <c r="J17" s="2" t="n">
        <f aca="false">SUMIFS('Por foco'!$K$2:$K$579,'Por foco'!$A$2:$A$579,$A17,'Por foco'!$B$2:$B$579,$B17)</f>
        <v>0</v>
      </c>
      <c r="K17" s="2" t="n">
        <f aca="false">SUMIFS('Por foco'!$L$2:$L$579,'Por foco'!$A$2:$A$579,$A17,'Por foco'!$B$2:$B$579,$B17)</f>
        <v>0</v>
      </c>
      <c r="L17" s="2" t="n">
        <f aca="false">SUMIFS('Por foco'!$M$2:$M$579,'Por foco'!$A$2:$A$579,$A17,'Por foco'!$B$2:$B$579,$B17)</f>
        <v>1</v>
      </c>
      <c r="M17" s="2" t="n">
        <f aca="false">SUMIFS('Por foco'!$N$2:$N$579,'Por foco'!$A$2:$A$579,$A17,'Por foco'!$B$2:$B$579,$B17)</f>
        <v>1</v>
      </c>
      <c r="N17" s="2" t="n">
        <f aca="false">SUMIFS('Por foco'!$O$2:$O$579,'Por foco'!$A$2:$A$579,$A17,'Por foco'!$B$2:$B$579,$B17)</f>
        <v>0</v>
      </c>
      <c r="O17" s="2" t="n">
        <f aca="false">SUMIFS('Por foco'!$P$2:$P$579,'Por foco'!$A$2:$A$579,$A17,'Por foco'!$B$2:$B$579,$B17)</f>
        <v>2</v>
      </c>
      <c r="P17" s="2" t="n">
        <f aca="false">SUMIFS('Por foco'!$Q$2:$Q$579,'Por foco'!$A$2:$A$579,$A17,'Por foco'!$B$2:$B$579,$B17)</f>
        <v>2</v>
      </c>
      <c r="Q17" s="2" t="n">
        <f aca="false">SUMIFS('Por foco'!$R$2:$R$579,'Por foco'!$A$2:$A$579,$A17,'Por foco'!$B$2:$B$579,$B17)</f>
        <v>0</v>
      </c>
      <c r="R17" s="2" t="n">
        <f aca="false">SUMIFS('Por foco'!$S$2:$S$579,'Por foco'!$A$2:$A$579,$A17,'Por foco'!$B$2:$B$579,$B17)</f>
        <v>0</v>
      </c>
      <c r="S17" s="2" t="n">
        <f aca="false">SUMIFS('Por foco'!$T$2:$T$579,'Por foco'!$A$2:$A$579,$A17,'Por foco'!$B$2:$B$579,$B17)</f>
        <v>0</v>
      </c>
      <c r="T17" s="2" t="n">
        <f aca="false">SUMIFS('Por foco'!$U$2:$U$579,'Por foco'!$A$2:$A$579,$A17,'Por foco'!$B$2:$B$579,$B17)</f>
        <v>0</v>
      </c>
      <c r="U17" s="2" t="n">
        <f aca="false">SUMIFS('Por foco'!$V$2:$V$579,'Por foco'!$A$2:$A$579,$A17,'Por foco'!$B$2:$B$579,$B17)</f>
        <v>0</v>
      </c>
      <c r="V17" s="2" t="n">
        <f aca="false">SUMIFS('Por foco'!$W$2:$W$579,'Por foco'!$A$2:$A$579,$A17,'Por foco'!$B$2:$B$579,$B17)</f>
        <v>0</v>
      </c>
      <c r="W17" s="2" t="n">
        <f aca="false">SUMIFS('Por foco'!$X$2:$X$579,'Por foco'!$A$2:$A$579,$A17,'Por foco'!$B$2:$B$579,$B17)</f>
        <v>1</v>
      </c>
    </row>
    <row r="18" customFormat="false" ht="15" hidden="false" customHeight="false" outlineLevel="0" collapsed="false">
      <c r="A18" s="2" t="s">
        <v>28</v>
      </c>
      <c r="B18" s="2" t="s">
        <v>58</v>
      </c>
      <c r="C18" s="2" t="n">
        <f aca="false">COUNTIFS('Por foco'!$A$2:$A$579,$A18,'Por foco'!$B$2:$B$579,$B18)</f>
        <v>6</v>
      </c>
      <c r="D18" s="2" t="n">
        <f aca="false">SUMIFS('Por foco'!$E$2:$E$579,'Por foco'!$A$2:$A$579,$A18,'Por foco'!$B$2:$B$579,$B18)</f>
        <v>357</v>
      </c>
      <c r="E18" s="2" t="n">
        <f aca="false">SUMIFS('Por foco'!$F$2:$F$579,'Por foco'!$A$2:$A$579,$A18,'Por foco'!$B$2:$B$579,$B18)</f>
        <v>0</v>
      </c>
      <c r="F18" s="2" t="n">
        <f aca="false">SUMIFS('Por foco'!$G$2:$G$579,'Por foco'!$A$2:$A$579,$A18,'Por foco'!$B$2:$B$579,$B18)</f>
        <v>0</v>
      </c>
      <c r="G18" s="2" t="n">
        <f aca="false">SUMIFS('Por foco'!$H$2:$H$579,'Por foco'!$A$2:$A$579,$A18,'Por foco'!$B$2:$B$579,$B18)</f>
        <v>0</v>
      </c>
      <c r="H18" s="2" t="n">
        <f aca="false">SUMIFS('Por foco'!$I$2:$I$579,'Por foco'!$A$2:$A$579,$A18,'Por foco'!$B$2:$B$579,$B18)</f>
        <v>0</v>
      </c>
      <c r="I18" s="2" t="n">
        <f aca="false">SUMIFS('Por foco'!$J$2:$J$579,'Por foco'!$A$2:$A$579,$A18,'Por foco'!$B$2:$B$579,$B18)</f>
        <v>0</v>
      </c>
      <c r="J18" s="2" t="n">
        <f aca="false">SUMIFS('Por foco'!$K$2:$K$579,'Por foco'!$A$2:$A$579,$A18,'Por foco'!$B$2:$B$579,$B18)</f>
        <v>0</v>
      </c>
      <c r="K18" s="2" t="n">
        <f aca="false">SUMIFS('Por foco'!$L$2:$L$579,'Por foco'!$A$2:$A$579,$A18,'Por foco'!$B$2:$B$579,$B18)</f>
        <v>0</v>
      </c>
      <c r="L18" s="2" t="n">
        <f aca="false">SUMIFS('Por foco'!$M$2:$M$579,'Por foco'!$A$2:$A$579,$A18,'Por foco'!$B$2:$B$579,$B18)</f>
        <v>0</v>
      </c>
      <c r="M18" s="2" t="n">
        <f aca="false">SUMIFS('Por foco'!$N$2:$N$579,'Por foco'!$A$2:$A$579,$A18,'Por foco'!$B$2:$B$579,$B18)</f>
        <v>5</v>
      </c>
      <c r="N18" s="2" t="n">
        <f aca="false">SUMIFS('Por foco'!$O$2:$O$579,'Por foco'!$A$2:$A$579,$A18,'Por foco'!$B$2:$B$579,$B18)</f>
        <v>0</v>
      </c>
      <c r="O18" s="2" t="n">
        <f aca="false">SUMIFS('Por foco'!$P$2:$P$579,'Por foco'!$A$2:$A$579,$A18,'Por foco'!$B$2:$B$579,$B18)</f>
        <v>2</v>
      </c>
      <c r="P18" s="2" t="n">
        <f aca="false">SUMIFS('Por foco'!$Q$2:$Q$579,'Por foco'!$A$2:$A$579,$A18,'Por foco'!$B$2:$B$579,$B18)</f>
        <v>0</v>
      </c>
      <c r="Q18" s="2" t="n">
        <f aca="false">SUMIFS('Por foco'!$R$2:$R$579,'Por foco'!$A$2:$A$579,$A18,'Por foco'!$B$2:$B$579,$B18)</f>
        <v>0</v>
      </c>
      <c r="R18" s="2" t="n">
        <f aca="false">SUMIFS('Por foco'!$S$2:$S$579,'Por foco'!$A$2:$A$579,$A18,'Por foco'!$B$2:$B$579,$B18)</f>
        <v>0</v>
      </c>
      <c r="S18" s="2" t="n">
        <f aca="false">SUMIFS('Por foco'!$T$2:$T$579,'Por foco'!$A$2:$A$579,$A18,'Por foco'!$B$2:$B$579,$B18)</f>
        <v>0</v>
      </c>
      <c r="T18" s="2" t="n">
        <f aca="false">SUMIFS('Por foco'!$U$2:$U$579,'Por foco'!$A$2:$A$579,$A18,'Por foco'!$B$2:$B$579,$B18)</f>
        <v>0</v>
      </c>
      <c r="U18" s="2" t="n">
        <f aca="false">SUMIFS('Por foco'!$V$2:$V$579,'Por foco'!$A$2:$A$579,$A18,'Por foco'!$B$2:$B$579,$B18)</f>
        <v>0</v>
      </c>
      <c r="V18" s="2" t="n">
        <f aca="false">SUMIFS('Por foco'!$W$2:$W$579,'Por foco'!$A$2:$A$579,$A18,'Por foco'!$B$2:$B$579,$B18)</f>
        <v>0</v>
      </c>
      <c r="W18" s="2" t="n">
        <f aca="false">SUMIFS('Por foco'!$X$2:$X$579,'Por foco'!$A$2:$A$579,$A18,'Por foco'!$B$2:$B$579,$B18)</f>
        <v>1</v>
      </c>
    </row>
    <row r="19" customFormat="false" ht="15" hidden="false" customHeight="false" outlineLevel="0" collapsed="false">
      <c r="A19" s="2" t="s">
        <v>28</v>
      </c>
      <c r="B19" s="2" t="s">
        <v>59</v>
      </c>
      <c r="C19" s="2" t="n">
        <f aca="false">COUNTIFS('Por foco'!$A$2:$A$579,$A19,'Por foco'!$B$2:$B$579,$B19)</f>
        <v>6</v>
      </c>
      <c r="D19" s="2" t="n">
        <f aca="false">SUMIFS('Por foco'!$E$2:$E$579,'Por foco'!$A$2:$A$579,$A19,'Por foco'!$B$2:$B$579,$B19)</f>
        <v>357</v>
      </c>
      <c r="E19" s="2" t="n">
        <f aca="false">SUMIFS('Por foco'!$F$2:$F$579,'Por foco'!$A$2:$A$579,$A19,'Por foco'!$B$2:$B$579,$B19)</f>
        <v>0</v>
      </c>
      <c r="F19" s="2" t="n">
        <f aca="false">SUMIFS('Por foco'!$G$2:$G$579,'Por foco'!$A$2:$A$579,$A19,'Por foco'!$B$2:$B$579,$B19)</f>
        <v>0</v>
      </c>
      <c r="G19" s="2" t="n">
        <f aca="false">SUMIFS('Por foco'!$H$2:$H$579,'Por foco'!$A$2:$A$579,$A19,'Por foco'!$B$2:$B$579,$B19)</f>
        <v>0</v>
      </c>
      <c r="H19" s="2" t="n">
        <f aca="false">SUMIFS('Por foco'!$I$2:$I$579,'Por foco'!$A$2:$A$579,$A19,'Por foco'!$B$2:$B$579,$B19)</f>
        <v>0</v>
      </c>
      <c r="I19" s="2" t="n">
        <f aca="false">SUMIFS('Por foco'!$J$2:$J$579,'Por foco'!$A$2:$A$579,$A19,'Por foco'!$B$2:$B$579,$B19)</f>
        <v>0</v>
      </c>
      <c r="J19" s="2" t="n">
        <f aca="false">SUMIFS('Por foco'!$K$2:$K$579,'Por foco'!$A$2:$A$579,$A19,'Por foco'!$B$2:$B$579,$B19)</f>
        <v>0</v>
      </c>
      <c r="K19" s="2" t="n">
        <f aca="false">SUMIFS('Por foco'!$L$2:$L$579,'Por foco'!$A$2:$A$579,$A19,'Por foco'!$B$2:$B$579,$B19)</f>
        <v>0</v>
      </c>
      <c r="L19" s="2" t="n">
        <f aca="false">SUMIFS('Por foco'!$M$2:$M$579,'Por foco'!$A$2:$A$579,$A19,'Por foco'!$B$2:$B$579,$B19)</f>
        <v>0</v>
      </c>
      <c r="M19" s="2" t="n">
        <f aca="false">SUMIFS('Por foco'!$N$2:$N$579,'Por foco'!$A$2:$A$579,$A19,'Por foco'!$B$2:$B$579,$B19)</f>
        <v>4</v>
      </c>
      <c r="N19" s="2" t="n">
        <f aca="false">SUMIFS('Por foco'!$O$2:$O$579,'Por foco'!$A$2:$A$579,$A19,'Por foco'!$B$2:$B$579,$B19)</f>
        <v>0</v>
      </c>
      <c r="O19" s="2" t="n">
        <f aca="false">SUMIFS('Por foco'!$P$2:$P$579,'Por foco'!$A$2:$A$579,$A19,'Por foco'!$B$2:$B$579,$B19)</f>
        <v>0</v>
      </c>
      <c r="P19" s="2" t="n">
        <f aca="false">SUMIFS('Por foco'!$Q$2:$Q$579,'Por foco'!$A$2:$A$579,$A19,'Por foco'!$B$2:$B$579,$B19)</f>
        <v>5</v>
      </c>
      <c r="Q19" s="2" t="n">
        <f aca="false">SUMIFS('Por foco'!$R$2:$R$579,'Por foco'!$A$2:$A$579,$A19,'Por foco'!$B$2:$B$579,$B19)</f>
        <v>0</v>
      </c>
      <c r="R19" s="2" t="n">
        <f aca="false">SUMIFS('Por foco'!$S$2:$S$579,'Por foco'!$A$2:$A$579,$A19,'Por foco'!$B$2:$B$579,$B19)</f>
        <v>0</v>
      </c>
      <c r="S19" s="2" t="n">
        <f aca="false">SUMIFS('Por foco'!$T$2:$T$579,'Por foco'!$A$2:$A$579,$A19,'Por foco'!$B$2:$B$579,$B19)</f>
        <v>0</v>
      </c>
      <c r="T19" s="2" t="n">
        <f aca="false">SUMIFS('Por foco'!$U$2:$U$579,'Por foco'!$A$2:$A$579,$A19,'Por foco'!$B$2:$B$579,$B19)</f>
        <v>0</v>
      </c>
      <c r="U19" s="2" t="n">
        <f aca="false">SUMIFS('Por foco'!$V$2:$V$579,'Por foco'!$A$2:$A$579,$A19,'Por foco'!$B$2:$B$579,$B19)</f>
        <v>100</v>
      </c>
      <c r="V19" s="2" t="n">
        <f aca="false">SUMIFS('Por foco'!$W$2:$W$579,'Por foco'!$A$2:$A$579,$A19,'Por foco'!$B$2:$B$579,$B19)</f>
        <v>0</v>
      </c>
      <c r="W19" s="2" t="n">
        <f aca="false">SUMIFS('Por foco'!$X$2:$X$579,'Por foco'!$A$2:$A$579,$A19,'Por foco'!$B$2:$B$579,$B19)</f>
        <v>1</v>
      </c>
    </row>
    <row r="20" customFormat="false" ht="15" hidden="false" customHeight="false" outlineLevel="0" collapsed="false">
      <c r="A20" s="2" t="s">
        <v>28</v>
      </c>
      <c r="B20" s="2" t="s">
        <v>60</v>
      </c>
      <c r="C20" s="2" t="n">
        <f aca="false">COUNTIFS('Por foco'!$A$2:$A$579,$A20,'Por foco'!$B$2:$B$579,$B20)</f>
        <v>8</v>
      </c>
      <c r="D20" s="2" t="n">
        <f aca="false">SUMIFS('Por foco'!$E$2:$E$579,'Por foco'!$A$2:$A$579,$A20,'Por foco'!$B$2:$B$579,$B20)</f>
        <v>490</v>
      </c>
      <c r="E20" s="2" t="n">
        <f aca="false">SUMIFS('Por foco'!$F$2:$F$579,'Por foco'!$A$2:$A$579,$A20,'Por foco'!$B$2:$B$579,$B20)</f>
        <v>150</v>
      </c>
      <c r="F20" s="2" t="n">
        <f aca="false">SUMIFS('Por foco'!$G$2:$G$579,'Por foco'!$A$2:$A$579,$A20,'Por foco'!$B$2:$B$579,$B20)</f>
        <v>0</v>
      </c>
      <c r="G20" s="2" t="n">
        <f aca="false">SUMIFS('Por foco'!$H$2:$H$579,'Por foco'!$A$2:$A$579,$A20,'Por foco'!$B$2:$B$579,$B20)</f>
        <v>0</v>
      </c>
      <c r="H20" s="2" t="n">
        <f aca="false">SUMIFS('Por foco'!$I$2:$I$579,'Por foco'!$A$2:$A$579,$A20,'Por foco'!$B$2:$B$579,$B20)</f>
        <v>0</v>
      </c>
      <c r="I20" s="2" t="n">
        <f aca="false">SUMIFS('Por foco'!$J$2:$J$579,'Por foco'!$A$2:$A$579,$A20,'Por foco'!$B$2:$B$579,$B20)</f>
        <v>0</v>
      </c>
      <c r="J20" s="2" t="n">
        <f aca="false">SUMIFS('Por foco'!$K$2:$K$579,'Por foco'!$A$2:$A$579,$A20,'Por foco'!$B$2:$B$579,$B20)</f>
        <v>0</v>
      </c>
      <c r="K20" s="2" t="n">
        <f aca="false">SUMIFS('Por foco'!$L$2:$L$579,'Por foco'!$A$2:$A$579,$A20,'Por foco'!$B$2:$B$579,$B20)</f>
        <v>0</v>
      </c>
      <c r="L20" s="2" t="n">
        <f aca="false">SUMIFS('Por foco'!$M$2:$M$579,'Por foco'!$A$2:$A$579,$A20,'Por foco'!$B$2:$B$579,$B20)</f>
        <v>1</v>
      </c>
      <c r="M20" s="2" t="n">
        <f aca="false">SUMIFS('Por foco'!$N$2:$N$579,'Por foco'!$A$2:$A$579,$A20,'Por foco'!$B$2:$B$579,$B20)</f>
        <v>0</v>
      </c>
      <c r="N20" s="2" t="n">
        <f aca="false">SUMIFS('Por foco'!$O$2:$O$579,'Por foco'!$A$2:$A$579,$A20,'Por foco'!$B$2:$B$579,$B20)</f>
        <v>0</v>
      </c>
      <c r="O20" s="2" t="n">
        <f aca="false">SUMIFS('Por foco'!$P$2:$P$579,'Por foco'!$A$2:$A$579,$A20,'Por foco'!$B$2:$B$579,$B20)</f>
        <v>0</v>
      </c>
      <c r="P20" s="2" t="n">
        <f aca="false">SUMIFS('Por foco'!$Q$2:$Q$579,'Por foco'!$A$2:$A$579,$A20,'Por foco'!$B$2:$B$579,$B20)</f>
        <v>0</v>
      </c>
      <c r="Q20" s="2" t="n">
        <f aca="false">SUMIFS('Por foco'!$R$2:$R$579,'Por foco'!$A$2:$A$579,$A20,'Por foco'!$B$2:$B$579,$B20)</f>
        <v>1</v>
      </c>
      <c r="R20" s="2" t="n">
        <f aca="false">SUMIFS('Por foco'!$S$2:$S$579,'Por foco'!$A$2:$A$579,$A20,'Por foco'!$B$2:$B$579,$B20)</f>
        <v>0</v>
      </c>
      <c r="S20" s="2" t="n">
        <f aca="false">SUMIFS('Por foco'!$T$2:$T$579,'Por foco'!$A$2:$A$579,$A20,'Por foco'!$B$2:$B$579,$B20)</f>
        <v>0</v>
      </c>
      <c r="T20" s="2" t="n">
        <f aca="false">SUMIFS('Por foco'!$U$2:$U$579,'Por foco'!$A$2:$A$579,$A20,'Por foco'!$B$2:$B$579,$B20)</f>
        <v>0</v>
      </c>
      <c r="U20" s="2" t="n">
        <f aca="false">SUMIFS('Por foco'!$V$2:$V$579,'Por foco'!$A$2:$A$579,$A20,'Por foco'!$B$2:$B$579,$B20)</f>
        <v>0</v>
      </c>
      <c r="V20" s="2" t="n">
        <f aca="false">SUMIFS('Por foco'!$W$2:$W$579,'Por foco'!$A$2:$A$579,$A20,'Por foco'!$B$2:$B$579,$B20)</f>
        <v>0</v>
      </c>
      <c r="W20" s="2" t="n">
        <f aca="false">SUMIFS('Por foco'!$X$2:$X$579,'Por foco'!$A$2:$A$579,$A20,'Por foco'!$B$2:$B$579,$B20)</f>
        <v>0</v>
      </c>
    </row>
    <row r="21" customFormat="false" ht="15" hidden="false" customHeight="false" outlineLevel="0" collapsed="false">
      <c r="A21" s="2" t="s">
        <v>28</v>
      </c>
      <c r="B21" s="2" t="s">
        <v>61</v>
      </c>
      <c r="C21" s="2" t="n">
        <f aca="false">COUNTIFS('Por foco'!$A$2:$A$579,$A21,'Por foco'!$B$2:$B$579,$B21)</f>
        <v>6</v>
      </c>
      <c r="D21" s="2" t="n">
        <f aca="false">SUMIFS('Por foco'!$E$2:$E$579,'Por foco'!$A$2:$A$579,$A21,'Por foco'!$B$2:$B$579,$B21)</f>
        <v>413</v>
      </c>
      <c r="E21" s="2" t="n">
        <f aca="false">SUMIFS('Por foco'!$F$2:$F$579,'Por foco'!$A$2:$A$579,$A21,'Por foco'!$B$2:$B$579,$B21)</f>
        <v>150</v>
      </c>
      <c r="F21" s="2" t="n">
        <f aca="false">SUMIFS('Por foco'!$G$2:$G$579,'Por foco'!$A$2:$A$579,$A21,'Por foco'!$B$2:$B$579,$B21)</f>
        <v>0</v>
      </c>
      <c r="G21" s="2" t="n">
        <f aca="false">SUMIFS('Por foco'!$H$2:$H$579,'Por foco'!$A$2:$A$579,$A21,'Por foco'!$B$2:$B$579,$B21)</f>
        <v>0</v>
      </c>
      <c r="H21" s="2" t="n">
        <f aca="false">SUMIFS('Por foco'!$I$2:$I$579,'Por foco'!$A$2:$A$579,$A21,'Por foco'!$B$2:$B$579,$B21)</f>
        <v>0</v>
      </c>
      <c r="I21" s="2" t="n">
        <f aca="false">SUMIFS('Por foco'!$J$2:$J$579,'Por foco'!$A$2:$A$579,$A21,'Por foco'!$B$2:$B$579,$B21)</f>
        <v>0</v>
      </c>
      <c r="J21" s="2" t="n">
        <f aca="false">SUMIFS('Por foco'!$K$2:$K$579,'Por foco'!$A$2:$A$579,$A21,'Por foco'!$B$2:$B$579,$B21)</f>
        <v>0</v>
      </c>
      <c r="K21" s="2" t="n">
        <f aca="false">SUMIFS('Por foco'!$L$2:$L$579,'Por foco'!$A$2:$A$579,$A21,'Por foco'!$B$2:$B$579,$B21)</f>
        <v>0</v>
      </c>
      <c r="L21" s="2" t="n">
        <f aca="false">SUMIFS('Por foco'!$M$2:$M$579,'Por foco'!$A$2:$A$579,$A21,'Por foco'!$B$2:$B$579,$B21)</f>
        <v>0</v>
      </c>
      <c r="M21" s="2" t="n">
        <f aca="false">SUMIFS('Por foco'!$N$2:$N$579,'Por foco'!$A$2:$A$579,$A21,'Por foco'!$B$2:$B$579,$B21)</f>
        <v>0</v>
      </c>
      <c r="N21" s="2" t="n">
        <f aca="false">SUMIFS('Por foco'!$O$2:$O$579,'Por foco'!$A$2:$A$579,$A21,'Por foco'!$B$2:$B$579,$B21)</f>
        <v>0</v>
      </c>
      <c r="O21" s="2" t="n">
        <f aca="false">SUMIFS('Por foco'!$P$2:$P$579,'Por foco'!$A$2:$A$579,$A21,'Por foco'!$B$2:$B$579,$B21)</f>
        <v>0</v>
      </c>
      <c r="P21" s="2" t="n">
        <f aca="false">SUMIFS('Por foco'!$Q$2:$Q$579,'Por foco'!$A$2:$A$579,$A21,'Por foco'!$B$2:$B$579,$B21)</f>
        <v>0</v>
      </c>
      <c r="Q21" s="2" t="n">
        <f aca="false">SUMIFS('Por foco'!$R$2:$R$579,'Por foco'!$A$2:$A$579,$A21,'Por foco'!$B$2:$B$579,$B21)</f>
        <v>0</v>
      </c>
      <c r="R21" s="2" t="n">
        <f aca="false">SUMIFS('Por foco'!$S$2:$S$579,'Por foco'!$A$2:$A$579,$A21,'Por foco'!$B$2:$B$579,$B21)</f>
        <v>0</v>
      </c>
      <c r="S21" s="2" t="n">
        <f aca="false">SUMIFS('Por foco'!$T$2:$T$579,'Por foco'!$A$2:$A$579,$A21,'Por foco'!$B$2:$B$579,$B21)</f>
        <v>0</v>
      </c>
      <c r="T21" s="2" t="n">
        <f aca="false">SUMIFS('Por foco'!$U$2:$U$579,'Por foco'!$A$2:$A$579,$A21,'Por foco'!$B$2:$B$579,$B21)</f>
        <v>0</v>
      </c>
      <c r="U21" s="2" t="n">
        <f aca="false">SUMIFS('Por foco'!$V$2:$V$579,'Por foco'!$A$2:$A$579,$A21,'Por foco'!$B$2:$B$579,$B21)</f>
        <v>0</v>
      </c>
      <c r="V21" s="2" t="n">
        <f aca="false">SUMIFS('Por foco'!$W$2:$W$579,'Por foco'!$A$2:$A$579,$A21,'Por foco'!$B$2:$B$579,$B21)</f>
        <v>0</v>
      </c>
      <c r="W21" s="2" t="n">
        <f aca="false">SUMIFS('Por foco'!$X$2:$X$579,'Por foco'!$A$2:$A$579,$A21,'Por foco'!$B$2:$B$579,$B21)</f>
        <v>3</v>
      </c>
    </row>
    <row r="22" customFormat="false" ht="15" hidden="false" customHeight="false" outlineLevel="0" collapsed="false">
      <c r="A22" s="2" t="s">
        <v>29</v>
      </c>
      <c r="B22" s="2" t="s">
        <v>62</v>
      </c>
      <c r="C22" s="2" t="n">
        <f aca="false">COUNTIFS('Por foco'!$A$2:$A$579,$A22,'Por foco'!$B$2:$B$579,$B22)</f>
        <v>11</v>
      </c>
      <c r="D22" s="2" t="n">
        <f aca="false">SUMIFS('Por foco'!$E$2:$E$579,'Por foco'!$A$2:$A$579,$A22,'Por foco'!$B$2:$B$579,$B22)</f>
        <v>644</v>
      </c>
      <c r="E22" s="2" t="n">
        <f aca="false">SUMIFS('Por foco'!$F$2:$F$579,'Por foco'!$A$2:$A$579,$A22,'Por foco'!$B$2:$B$579,$B22)</f>
        <v>550</v>
      </c>
      <c r="F22" s="2" t="n">
        <f aca="false">SUMIFS('Por foco'!$G$2:$G$579,'Por foco'!$A$2:$A$579,$A22,'Por foco'!$B$2:$B$579,$B22)</f>
        <v>5</v>
      </c>
      <c r="G22" s="2" t="n">
        <f aca="false">SUMIFS('Por foco'!$H$2:$H$579,'Por foco'!$A$2:$A$579,$A22,'Por foco'!$B$2:$B$579,$B22)</f>
        <v>5</v>
      </c>
      <c r="H22" s="2" t="n">
        <f aca="false">SUMIFS('Por foco'!$I$2:$I$579,'Por foco'!$A$2:$A$579,$A22,'Por foco'!$B$2:$B$579,$B22)</f>
        <v>0</v>
      </c>
      <c r="I22" s="2" t="n">
        <f aca="false">SUMIFS('Por foco'!$J$2:$J$579,'Por foco'!$A$2:$A$579,$A22,'Por foco'!$B$2:$B$579,$B22)</f>
        <v>0</v>
      </c>
      <c r="J22" s="2" t="n">
        <f aca="false">SUMIFS('Por foco'!$K$2:$K$579,'Por foco'!$A$2:$A$579,$A22,'Por foco'!$B$2:$B$579,$B22)</f>
        <v>0</v>
      </c>
      <c r="K22" s="2" t="n">
        <f aca="false">SUMIFS('Por foco'!$L$2:$L$579,'Por foco'!$A$2:$A$579,$A22,'Por foco'!$B$2:$B$579,$B22)</f>
        <v>0</v>
      </c>
      <c r="L22" s="2" t="n">
        <f aca="false">SUMIFS('Por foco'!$M$2:$M$579,'Por foco'!$A$2:$A$579,$A22,'Por foco'!$B$2:$B$579,$B22)</f>
        <v>0</v>
      </c>
      <c r="M22" s="2" t="n">
        <f aca="false">SUMIFS('Por foco'!$N$2:$N$579,'Por foco'!$A$2:$A$579,$A22,'Por foco'!$B$2:$B$579,$B22)</f>
        <v>1</v>
      </c>
      <c r="N22" s="2" t="n">
        <f aca="false">SUMIFS('Por foco'!$O$2:$O$579,'Por foco'!$A$2:$A$579,$A22,'Por foco'!$B$2:$B$579,$B22)</f>
        <v>2</v>
      </c>
      <c r="O22" s="2" t="n">
        <f aca="false">SUMIFS('Por foco'!$P$2:$P$579,'Por foco'!$A$2:$A$579,$A22,'Por foco'!$B$2:$B$579,$B22)</f>
        <v>0</v>
      </c>
      <c r="P22" s="2" t="n">
        <f aca="false">SUMIFS('Por foco'!$Q$2:$Q$579,'Por foco'!$A$2:$A$579,$A22,'Por foco'!$B$2:$B$579,$B22)</f>
        <v>0</v>
      </c>
      <c r="Q22" s="2" t="n">
        <f aca="false">SUMIFS('Por foco'!$R$2:$R$579,'Por foco'!$A$2:$A$579,$A22,'Por foco'!$B$2:$B$579,$B22)</f>
        <v>0</v>
      </c>
      <c r="R22" s="2" t="n">
        <f aca="false">SUMIFS('Por foco'!$S$2:$S$579,'Por foco'!$A$2:$A$579,$A22,'Por foco'!$B$2:$B$579,$B22)</f>
        <v>0</v>
      </c>
      <c r="S22" s="2" t="n">
        <f aca="false">SUMIFS('Por foco'!$T$2:$T$579,'Por foco'!$A$2:$A$579,$A22,'Por foco'!$B$2:$B$579,$B22)</f>
        <v>0</v>
      </c>
      <c r="T22" s="2" t="n">
        <f aca="false">SUMIFS('Por foco'!$U$2:$U$579,'Por foco'!$A$2:$A$579,$A22,'Por foco'!$B$2:$B$579,$B22)</f>
        <v>0</v>
      </c>
      <c r="U22" s="2" t="n">
        <f aca="false">SUMIFS('Por foco'!$V$2:$V$579,'Por foco'!$A$2:$A$579,$A22,'Por foco'!$B$2:$B$579,$B22)</f>
        <v>0</v>
      </c>
      <c r="V22" s="2" t="n">
        <f aca="false">SUMIFS('Por foco'!$W$2:$W$579,'Por foco'!$A$2:$A$579,$A22,'Por foco'!$B$2:$B$579,$B22)</f>
        <v>0</v>
      </c>
      <c r="W22" s="2" t="n">
        <f aca="false">SUMIFS('Por foco'!$X$2:$X$579,'Por foco'!$A$2:$A$579,$A22,'Por foco'!$B$2:$B$579,$B22)</f>
        <v>2</v>
      </c>
    </row>
    <row r="23" customFormat="false" ht="15" hidden="false" customHeight="false" outlineLevel="0" collapsed="false">
      <c r="A23" s="2" t="s">
        <v>29</v>
      </c>
      <c r="B23" s="2" t="s">
        <v>63</v>
      </c>
      <c r="C23" s="2" t="n">
        <f aca="false">COUNTIFS('Por foco'!$A$2:$A$579,$A23,'Por foco'!$B$2:$B$579,$B23)</f>
        <v>7</v>
      </c>
      <c r="D23" s="2" t="n">
        <f aca="false">SUMIFS('Por foco'!$E$2:$E$579,'Por foco'!$A$2:$A$579,$A23,'Por foco'!$B$2:$B$579,$B23)</f>
        <v>434</v>
      </c>
      <c r="E23" s="2" t="n">
        <f aca="false">SUMIFS('Por foco'!$F$2:$F$579,'Por foco'!$A$2:$A$579,$A23,'Por foco'!$B$2:$B$579,$B23)</f>
        <v>150</v>
      </c>
      <c r="F23" s="2" t="n">
        <f aca="false">SUMIFS('Por foco'!$G$2:$G$579,'Por foco'!$A$2:$A$579,$A23,'Por foco'!$B$2:$B$579,$B23)</f>
        <v>0</v>
      </c>
      <c r="G23" s="2" t="n">
        <f aca="false">SUMIFS('Por foco'!$H$2:$H$579,'Por foco'!$A$2:$A$579,$A23,'Por foco'!$B$2:$B$579,$B23)</f>
        <v>5</v>
      </c>
      <c r="H23" s="2" t="n">
        <f aca="false">SUMIFS('Por foco'!$I$2:$I$579,'Por foco'!$A$2:$A$579,$A23,'Por foco'!$B$2:$B$579,$B23)</f>
        <v>0</v>
      </c>
      <c r="I23" s="2" t="n">
        <f aca="false">SUMIFS('Por foco'!$J$2:$J$579,'Por foco'!$A$2:$A$579,$A23,'Por foco'!$B$2:$B$579,$B23)</f>
        <v>0</v>
      </c>
      <c r="J23" s="2" t="n">
        <f aca="false">SUMIFS('Por foco'!$K$2:$K$579,'Por foco'!$A$2:$A$579,$A23,'Por foco'!$B$2:$B$579,$B23)</f>
        <v>0</v>
      </c>
      <c r="K23" s="2" t="n">
        <f aca="false">SUMIFS('Por foco'!$L$2:$L$579,'Por foco'!$A$2:$A$579,$A23,'Por foco'!$B$2:$B$579,$B23)</f>
        <v>0</v>
      </c>
      <c r="L23" s="2" t="n">
        <f aca="false">SUMIFS('Por foco'!$M$2:$M$579,'Por foco'!$A$2:$A$579,$A23,'Por foco'!$B$2:$B$579,$B23)</f>
        <v>0</v>
      </c>
      <c r="M23" s="2" t="n">
        <f aca="false">SUMIFS('Por foco'!$N$2:$N$579,'Por foco'!$A$2:$A$579,$A23,'Por foco'!$B$2:$B$579,$B23)</f>
        <v>0</v>
      </c>
      <c r="N23" s="2" t="n">
        <f aca="false">SUMIFS('Por foco'!$O$2:$O$579,'Por foco'!$A$2:$A$579,$A23,'Por foco'!$B$2:$B$579,$B23)</f>
        <v>0</v>
      </c>
      <c r="O23" s="2" t="n">
        <f aca="false">SUMIFS('Por foco'!$P$2:$P$579,'Por foco'!$A$2:$A$579,$A23,'Por foco'!$B$2:$B$579,$B23)</f>
        <v>2</v>
      </c>
      <c r="P23" s="2" t="n">
        <f aca="false">SUMIFS('Por foco'!$Q$2:$Q$579,'Por foco'!$A$2:$A$579,$A23,'Por foco'!$B$2:$B$579,$B23)</f>
        <v>2</v>
      </c>
      <c r="Q23" s="2" t="n">
        <f aca="false">SUMIFS('Por foco'!$R$2:$R$579,'Por foco'!$A$2:$A$579,$A23,'Por foco'!$B$2:$B$579,$B23)</f>
        <v>0</v>
      </c>
      <c r="R23" s="2" t="n">
        <f aca="false">SUMIFS('Por foco'!$S$2:$S$579,'Por foco'!$A$2:$A$579,$A23,'Por foco'!$B$2:$B$579,$B23)</f>
        <v>0</v>
      </c>
      <c r="S23" s="2" t="n">
        <f aca="false">SUMIFS('Por foco'!$T$2:$T$579,'Por foco'!$A$2:$A$579,$A23,'Por foco'!$B$2:$B$579,$B23)</f>
        <v>0</v>
      </c>
      <c r="T23" s="2" t="n">
        <f aca="false">SUMIFS('Por foco'!$U$2:$U$579,'Por foco'!$A$2:$A$579,$A23,'Por foco'!$B$2:$B$579,$B23)</f>
        <v>0</v>
      </c>
      <c r="U23" s="2" t="n">
        <f aca="false">SUMIFS('Por foco'!$V$2:$V$579,'Por foco'!$A$2:$A$579,$A23,'Por foco'!$B$2:$B$579,$B23)</f>
        <v>0</v>
      </c>
      <c r="V23" s="2" t="n">
        <f aca="false">SUMIFS('Por foco'!$W$2:$W$579,'Por foco'!$A$2:$A$579,$A23,'Por foco'!$B$2:$B$579,$B23)</f>
        <v>0</v>
      </c>
      <c r="W23" s="2" t="n">
        <f aca="false">SUMIFS('Por foco'!$X$2:$X$579,'Por foco'!$A$2:$A$579,$A23,'Por foco'!$B$2:$B$579,$B23)</f>
        <v>5</v>
      </c>
    </row>
    <row r="24" customFormat="false" ht="15" hidden="false" customHeight="false" outlineLevel="0" collapsed="false">
      <c r="A24" s="2" t="s">
        <v>29</v>
      </c>
      <c r="B24" s="2" t="s">
        <v>45</v>
      </c>
      <c r="C24" s="2" t="n">
        <f aca="false">COUNTIFS('Por foco'!$A$2:$A$579,$A24,'Por foco'!$B$2:$B$579,$B24)</f>
        <v>4</v>
      </c>
      <c r="D24" s="2" t="n">
        <f aca="false">SUMIFS('Por foco'!$E$2:$E$579,'Por foco'!$A$2:$A$579,$A24,'Por foco'!$B$2:$B$579,$B24)</f>
        <v>315</v>
      </c>
      <c r="E24" s="2" t="n">
        <f aca="false">SUMIFS('Por foco'!$F$2:$F$579,'Por foco'!$A$2:$A$579,$A24,'Por foco'!$B$2:$B$579,$B24)</f>
        <v>170</v>
      </c>
      <c r="F24" s="2" t="n">
        <f aca="false">SUMIFS('Por foco'!$G$2:$G$579,'Por foco'!$A$2:$A$579,$A24,'Por foco'!$B$2:$B$579,$B24)</f>
        <v>5</v>
      </c>
      <c r="G24" s="2" t="n">
        <f aca="false">SUMIFS('Por foco'!$H$2:$H$579,'Por foco'!$A$2:$A$579,$A24,'Por foco'!$B$2:$B$579,$B24)</f>
        <v>5</v>
      </c>
      <c r="H24" s="2" t="n">
        <f aca="false">SUMIFS('Por foco'!$I$2:$I$579,'Por foco'!$A$2:$A$579,$A24,'Por foco'!$B$2:$B$579,$B24)</f>
        <v>0</v>
      </c>
      <c r="I24" s="2" t="n">
        <f aca="false">SUMIFS('Por foco'!$J$2:$J$579,'Por foco'!$A$2:$A$579,$A24,'Por foco'!$B$2:$B$579,$B24)</f>
        <v>25</v>
      </c>
      <c r="J24" s="2" t="n">
        <f aca="false">SUMIFS('Por foco'!$K$2:$K$579,'Por foco'!$A$2:$A$579,$A24,'Por foco'!$B$2:$B$579,$B24)</f>
        <v>0</v>
      </c>
      <c r="K24" s="2" t="n">
        <f aca="false">SUMIFS('Por foco'!$L$2:$L$579,'Por foco'!$A$2:$A$579,$A24,'Por foco'!$B$2:$B$579,$B24)</f>
        <v>0</v>
      </c>
      <c r="L24" s="2" t="n">
        <f aca="false">SUMIFS('Por foco'!$M$2:$M$579,'Por foco'!$A$2:$A$579,$A24,'Por foco'!$B$2:$B$579,$B24)</f>
        <v>0</v>
      </c>
      <c r="M24" s="2" t="n">
        <f aca="false">SUMIFS('Por foco'!$N$2:$N$579,'Por foco'!$A$2:$A$579,$A24,'Por foco'!$B$2:$B$579,$B24)</f>
        <v>0</v>
      </c>
      <c r="N24" s="2" t="n">
        <f aca="false">SUMIFS('Por foco'!$O$2:$O$579,'Por foco'!$A$2:$A$579,$A24,'Por foco'!$B$2:$B$579,$B24)</f>
        <v>0</v>
      </c>
      <c r="O24" s="2" t="n">
        <f aca="false">SUMIFS('Por foco'!$P$2:$P$579,'Por foco'!$A$2:$A$579,$A24,'Por foco'!$B$2:$B$579,$B24)</f>
        <v>0</v>
      </c>
      <c r="P24" s="2" t="n">
        <f aca="false">SUMIFS('Por foco'!$Q$2:$Q$579,'Por foco'!$A$2:$A$579,$A24,'Por foco'!$B$2:$B$579,$B24)</f>
        <v>0</v>
      </c>
      <c r="Q24" s="2" t="n">
        <f aca="false">SUMIFS('Por foco'!$R$2:$R$579,'Por foco'!$A$2:$A$579,$A24,'Por foco'!$B$2:$B$579,$B24)</f>
        <v>0</v>
      </c>
      <c r="R24" s="2" t="n">
        <f aca="false">SUMIFS('Por foco'!$S$2:$S$579,'Por foco'!$A$2:$A$579,$A24,'Por foco'!$B$2:$B$579,$B24)</f>
        <v>0</v>
      </c>
      <c r="S24" s="2" t="n">
        <f aca="false">SUMIFS('Por foco'!$T$2:$T$579,'Por foco'!$A$2:$A$579,$A24,'Por foco'!$B$2:$B$579,$B24)</f>
        <v>0</v>
      </c>
      <c r="T24" s="2" t="n">
        <f aca="false">SUMIFS('Por foco'!$U$2:$U$579,'Por foco'!$A$2:$A$579,$A24,'Por foco'!$B$2:$B$579,$B24)</f>
        <v>0</v>
      </c>
      <c r="U24" s="2" t="n">
        <f aca="false">SUMIFS('Por foco'!$V$2:$V$579,'Por foco'!$A$2:$A$579,$A24,'Por foco'!$B$2:$B$579,$B24)</f>
        <v>0</v>
      </c>
      <c r="V24" s="2" t="n">
        <f aca="false">SUMIFS('Por foco'!$W$2:$W$579,'Por foco'!$A$2:$A$579,$A24,'Por foco'!$B$2:$B$579,$B24)</f>
        <v>7</v>
      </c>
      <c r="W24" s="2" t="n">
        <f aca="false">SUMIFS('Por foco'!$X$2:$X$579,'Por foco'!$A$2:$A$579,$A24,'Por foco'!$B$2:$B$579,$B24)</f>
        <v>1</v>
      </c>
    </row>
    <row r="25" customFormat="false" ht="15" hidden="false" customHeight="false" outlineLevel="0" collapsed="false">
      <c r="A25" s="2" t="s">
        <v>29</v>
      </c>
      <c r="B25" s="2" t="s">
        <v>64</v>
      </c>
      <c r="C25" s="2" t="n">
        <f aca="false">COUNTIFS('Por foco'!$A$2:$A$579,$A25,'Por foco'!$B$2:$B$579,$B25)</f>
        <v>8</v>
      </c>
      <c r="D25" s="2" t="n">
        <f aca="false">SUMIFS('Por foco'!$E$2:$E$579,'Por foco'!$A$2:$A$579,$A25,'Por foco'!$B$2:$B$579,$B25)</f>
        <v>518</v>
      </c>
      <c r="E25" s="2" t="n">
        <f aca="false">SUMIFS('Por foco'!$F$2:$F$579,'Por foco'!$A$2:$A$579,$A25,'Por foco'!$B$2:$B$579,$B25)</f>
        <v>150</v>
      </c>
      <c r="F25" s="2" t="n">
        <f aca="false">SUMIFS('Por foco'!$G$2:$G$579,'Por foco'!$A$2:$A$579,$A25,'Por foco'!$B$2:$B$579,$B25)</f>
        <v>5</v>
      </c>
      <c r="G25" s="2" t="n">
        <f aca="false">SUMIFS('Por foco'!$H$2:$H$579,'Por foco'!$A$2:$A$579,$A25,'Por foco'!$B$2:$B$579,$B25)</f>
        <v>0</v>
      </c>
      <c r="H25" s="2" t="n">
        <f aca="false">SUMIFS('Por foco'!$I$2:$I$579,'Por foco'!$A$2:$A$579,$A25,'Por foco'!$B$2:$B$579,$B25)</f>
        <v>0</v>
      </c>
      <c r="I25" s="2" t="n">
        <f aca="false">SUMIFS('Por foco'!$J$2:$J$579,'Por foco'!$A$2:$A$579,$A25,'Por foco'!$B$2:$B$579,$B25)</f>
        <v>0</v>
      </c>
      <c r="J25" s="2" t="n">
        <f aca="false">SUMIFS('Por foco'!$K$2:$K$579,'Por foco'!$A$2:$A$579,$A25,'Por foco'!$B$2:$B$579,$B25)</f>
        <v>0</v>
      </c>
      <c r="K25" s="2" t="n">
        <f aca="false">SUMIFS('Por foco'!$L$2:$L$579,'Por foco'!$A$2:$A$579,$A25,'Por foco'!$B$2:$B$579,$B25)</f>
        <v>0</v>
      </c>
      <c r="L25" s="2" t="n">
        <f aca="false">SUMIFS('Por foco'!$M$2:$M$579,'Por foco'!$A$2:$A$579,$A25,'Por foco'!$B$2:$B$579,$B25)</f>
        <v>0</v>
      </c>
      <c r="M25" s="2" t="n">
        <f aca="false">SUMIFS('Por foco'!$N$2:$N$579,'Por foco'!$A$2:$A$579,$A25,'Por foco'!$B$2:$B$579,$B25)</f>
        <v>0</v>
      </c>
      <c r="N25" s="2" t="n">
        <f aca="false">SUMIFS('Por foco'!$O$2:$O$579,'Por foco'!$A$2:$A$579,$A25,'Por foco'!$B$2:$B$579,$B25)</f>
        <v>4</v>
      </c>
      <c r="O25" s="2" t="n">
        <f aca="false">SUMIFS('Por foco'!$P$2:$P$579,'Por foco'!$A$2:$A$579,$A25,'Por foco'!$B$2:$B$579,$B25)</f>
        <v>0</v>
      </c>
      <c r="P25" s="2" t="n">
        <f aca="false">SUMIFS('Por foco'!$Q$2:$Q$579,'Por foco'!$A$2:$A$579,$A25,'Por foco'!$B$2:$B$579,$B25)</f>
        <v>0</v>
      </c>
      <c r="Q25" s="2" t="n">
        <f aca="false">SUMIFS('Por foco'!$R$2:$R$579,'Por foco'!$A$2:$A$579,$A25,'Por foco'!$B$2:$B$579,$B25)</f>
        <v>0</v>
      </c>
      <c r="R25" s="2" t="n">
        <f aca="false">SUMIFS('Por foco'!$S$2:$S$579,'Por foco'!$A$2:$A$579,$A25,'Por foco'!$B$2:$B$579,$B25)</f>
        <v>0</v>
      </c>
      <c r="S25" s="2" t="n">
        <f aca="false">SUMIFS('Por foco'!$T$2:$T$579,'Por foco'!$A$2:$A$579,$A25,'Por foco'!$B$2:$B$579,$B25)</f>
        <v>0</v>
      </c>
      <c r="T25" s="2" t="n">
        <f aca="false">SUMIFS('Por foco'!$U$2:$U$579,'Por foco'!$A$2:$A$579,$A25,'Por foco'!$B$2:$B$579,$B25)</f>
        <v>0</v>
      </c>
      <c r="U25" s="2" t="n">
        <f aca="false">SUMIFS('Por foco'!$V$2:$V$579,'Por foco'!$A$2:$A$579,$A25,'Por foco'!$B$2:$B$579,$B25)</f>
        <v>0</v>
      </c>
      <c r="V25" s="2" t="n">
        <f aca="false">SUMIFS('Por foco'!$W$2:$W$579,'Por foco'!$A$2:$A$579,$A25,'Por foco'!$B$2:$B$579,$B25)</f>
        <v>0</v>
      </c>
      <c r="W25" s="2" t="n">
        <f aca="false">SUMIFS('Por foco'!$X$2:$X$579,'Por foco'!$A$2:$A$579,$A25,'Por foco'!$B$2:$B$579,$B25)</f>
        <v>4</v>
      </c>
    </row>
    <row r="26" customFormat="false" ht="15" hidden="false" customHeight="false" outlineLevel="0" collapsed="false">
      <c r="A26" s="2" t="s">
        <v>29</v>
      </c>
      <c r="B26" s="2" t="s">
        <v>65</v>
      </c>
      <c r="C26" s="2" t="n">
        <f aca="false">COUNTIFS('Por foco'!$A$2:$A$579,$A26,'Por foco'!$B$2:$B$579,$B26)</f>
        <v>7</v>
      </c>
      <c r="D26" s="2" t="n">
        <f aca="false">SUMIFS('Por foco'!$E$2:$E$579,'Por foco'!$A$2:$A$579,$A26,'Por foco'!$B$2:$B$579,$B26)</f>
        <v>469</v>
      </c>
      <c r="E26" s="2" t="n">
        <f aca="false">SUMIFS('Por foco'!$F$2:$F$579,'Por foco'!$A$2:$A$579,$A26,'Por foco'!$B$2:$B$579,$B26)</f>
        <v>300</v>
      </c>
      <c r="F26" s="2" t="n">
        <f aca="false">SUMIFS('Por foco'!$G$2:$G$579,'Por foco'!$A$2:$A$579,$A26,'Por foco'!$B$2:$B$579,$B26)</f>
        <v>0</v>
      </c>
      <c r="G26" s="2" t="n">
        <f aca="false">SUMIFS('Por foco'!$H$2:$H$579,'Por foco'!$A$2:$A$579,$A26,'Por foco'!$B$2:$B$579,$B26)</f>
        <v>0</v>
      </c>
      <c r="H26" s="2" t="n">
        <f aca="false">SUMIFS('Por foco'!$I$2:$I$579,'Por foco'!$A$2:$A$579,$A26,'Por foco'!$B$2:$B$579,$B26)</f>
        <v>0</v>
      </c>
      <c r="I26" s="2" t="n">
        <f aca="false">SUMIFS('Por foco'!$J$2:$J$579,'Por foco'!$A$2:$A$579,$A26,'Por foco'!$B$2:$B$579,$B26)</f>
        <v>0</v>
      </c>
      <c r="J26" s="2" t="n">
        <f aca="false">SUMIFS('Por foco'!$K$2:$K$579,'Por foco'!$A$2:$A$579,$A26,'Por foco'!$B$2:$B$579,$B26)</f>
        <v>0</v>
      </c>
      <c r="K26" s="2" t="n">
        <f aca="false">SUMIFS('Por foco'!$L$2:$L$579,'Por foco'!$A$2:$A$579,$A26,'Por foco'!$B$2:$B$579,$B26)</f>
        <v>0</v>
      </c>
      <c r="L26" s="2" t="n">
        <f aca="false">SUMIFS('Por foco'!$M$2:$M$579,'Por foco'!$A$2:$A$579,$A26,'Por foco'!$B$2:$B$579,$B26)</f>
        <v>0</v>
      </c>
      <c r="M26" s="2" t="n">
        <f aca="false">SUMIFS('Por foco'!$N$2:$N$579,'Por foco'!$A$2:$A$579,$A26,'Por foco'!$B$2:$B$579,$B26)</f>
        <v>0</v>
      </c>
      <c r="N26" s="2" t="n">
        <f aca="false">SUMIFS('Por foco'!$O$2:$O$579,'Por foco'!$A$2:$A$579,$A26,'Por foco'!$B$2:$B$579,$B26)</f>
        <v>4</v>
      </c>
      <c r="O26" s="2" t="n">
        <f aca="false">SUMIFS('Por foco'!$P$2:$P$579,'Por foco'!$A$2:$A$579,$A26,'Por foco'!$B$2:$B$579,$B26)</f>
        <v>0</v>
      </c>
      <c r="P26" s="2" t="n">
        <f aca="false">SUMIFS('Por foco'!$Q$2:$Q$579,'Por foco'!$A$2:$A$579,$A26,'Por foco'!$B$2:$B$579,$B26)</f>
        <v>0</v>
      </c>
      <c r="Q26" s="2" t="n">
        <f aca="false">SUMIFS('Por foco'!$R$2:$R$579,'Por foco'!$A$2:$A$579,$A26,'Por foco'!$B$2:$B$579,$B26)</f>
        <v>0</v>
      </c>
      <c r="R26" s="2" t="n">
        <f aca="false">SUMIFS('Por foco'!$S$2:$S$579,'Por foco'!$A$2:$A$579,$A26,'Por foco'!$B$2:$B$579,$B26)</f>
        <v>0</v>
      </c>
      <c r="S26" s="2" t="n">
        <f aca="false">SUMIFS('Por foco'!$T$2:$T$579,'Por foco'!$A$2:$A$579,$A26,'Por foco'!$B$2:$B$579,$B26)</f>
        <v>0</v>
      </c>
      <c r="T26" s="2" t="n">
        <f aca="false">SUMIFS('Por foco'!$U$2:$U$579,'Por foco'!$A$2:$A$579,$A26,'Por foco'!$B$2:$B$579,$B26)</f>
        <v>0</v>
      </c>
      <c r="U26" s="2" t="n">
        <f aca="false">SUMIFS('Por foco'!$V$2:$V$579,'Por foco'!$A$2:$A$579,$A26,'Por foco'!$B$2:$B$579,$B26)</f>
        <v>0</v>
      </c>
      <c r="V26" s="2" t="n">
        <f aca="false">SUMIFS('Por foco'!$W$2:$W$579,'Por foco'!$A$2:$A$579,$A26,'Por foco'!$B$2:$B$579,$B26)</f>
        <v>0</v>
      </c>
      <c r="W26" s="2" t="n">
        <f aca="false">SUMIFS('Por foco'!$X$2:$X$579,'Por foco'!$A$2:$A$579,$A26,'Por foco'!$B$2:$B$579,$B26)</f>
        <v>3</v>
      </c>
    </row>
    <row r="27" customFormat="false" ht="15" hidden="false" customHeight="false" outlineLevel="0" collapsed="false">
      <c r="A27" s="2" t="s">
        <v>29</v>
      </c>
      <c r="B27" s="2" t="s">
        <v>66</v>
      </c>
      <c r="C27" s="2" t="n">
        <f aca="false">COUNTIFS('Por foco'!$A$2:$A$579,$A27,'Por foco'!$B$2:$B$579,$B27)</f>
        <v>6</v>
      </c>
      <c r="D27" s="2" t="n">
        <f aca="false">SUMIFS('Por foco'!$E$2:$E$579,'Por foco'!$A$2:$A$579,$A27,'Por foco'!$B$2:$B$579,$B27)</f>
        <v>364</v>
      </c>
      <c r="E27" s="2" t="n">
        <f aca="false">SUMIFS('Por foco'!$F$2:$F$579,'Por foco'!$A$2:$A$579,$A27,'Por foco'!$B$2:$B$579,$B27)</f>
        <v>0</v>
      </c>
      <c r="F27" s="2" t="n">
        <f aca="false">SUMIFS('Por foco'!$G$2:$G$579,'Por foco'!$A$2:$A$579,$A27,'Por foco'!$B$2:$B$579,$B27)</f>
        <v>0</v>
      </c>
      <c r="G27" s="2" t="n">
        <f aca="false">SUMIFS('Por foco'!$H$2:$H$579,'Por foco'!$A$2:$A$579,$A27,'Por foco'!$B$2:$B$579,$B27)</f>
        <v>0</v>
      </c>
      <c r="H27" s="2" t="n">
        <f aca="false">SUMIFS('Por foco'!$I$2:$I$579,'Por foco'!$A$2:$A$579,$A27,'Por foco'!$B$2:$B$579,$B27)</f>
        <v>0</v>
      </c>
      <c r="I27" s="2" t="n">
        <f aca="false">SUMIFS('Por foco'!$J$2:$J$579,'Por foco'!$A$2:$A$579,$A27,'Por foco'!$B$2:$B$579,$B27)</f>
        <v>0</v>
      </c>
      <c r="J27" s="2" t="n">
        <f aca="false">SUMIFS('Por foco'!$K$2:$K$579,'Por foco'!$A$2:$A$579,$A27,'Por foco'!$B$2:$B$579,$B27)</f>
        <v>0</v>
      </c>
      <c r="K27" s="2" t="n">
        <f aca="false">SUMIFS('Por foco'!$L$2:$L$579,'Por foco'!$A$2:$A$579,$A27,'Por foco'!$B$2:$B$579,$B27)</f>
        <v>0</v>
      </c>
      <c r="L27" s="2" t="n">
        <f aca="false">SUMIFS('Por foco'!$M$2:$M$579,'Por foco'!$A$2:$A$579,$A27,'Por foco'!$B$2:$B$579,$B27)</f>
        <v>1</v>
      </c>
      <c r="M27" s="2" t="n">
        <f aca="false">SUMIFS('Por foco'!$N$2:$N$579,'Por foco'!$A$2:$A$579,$A27,'Por foco'!$B$2:$B$579,$B27)</f>
        <v>3</v>
      </c>
      <c r="N27" s="2" t="n">
        <f aca="false">SUMIFS('Por foco'!$O$2:$O$579,'Por foco'!$A$2:$A$579,$A27,'Por foco'!$B$2:$B$579,$B27)</f>
        <v>2</v>
      </c>
      <c r="O27" s="2" t="n">
        <f aca="false">SUMIFS('Por foco'!$P$2:$P$579,'Por foco'!$A$2:$A$579,$A27,'Por foco'!$B$2:$B$579,$B27)</f>
        <v>2</v>
      </c>
      <c r="P27" s="2" t="n">
        <f aca="false">SUMIFS('Por foco'!$Q$2:$Q$579,'Por foco'!$A$2:$A$579,$A27,'Por foco'!$B$2:$B$579,$B27)</f>
        <v>2</v>
      </c>
      <c r="Q27" s="2" t="n">
        <f aca="false">SUMIFS('Por foco'!$R$2:$R$579,'Por foco'!$A$2:$A$579,$A27,'Por foco'!$B$2:$B$579,$B27)</f>
        <v>4</v>
      </c>
      <c r="R27" s="2" t="n">
        <f aca="false">SUMIFS('Por foco'!$S$2:$S$579,'Por foco'!$A$2:$A$579,$A27,'Por foco'!$B$2:$B$579,$B27)</f>
        <v>0</v>
      </c>
      <c r="S27" s="2" t="n">
        <f aca="false">SUMIFS('Por foco'!$T$2:$T$579,'Por foco'!$A$2:$A$579,$A27,'Por foco'!$B$2:$B$579,$B27)</f>
        <v>0</v>
      </c>
      <c r="T27" s="2" t="n">
        <f aca="false">SUMIFS('Por foco'!$U$2:$U$579,'Por foco'!$A$2:$A$579,$A27,'Por foco'!$B$2:$B$579,$B27)</f>
        <v>0</v>
      </c>
      <c r="U27" s="2" t="n">
        <f aca="false">SUMIFS('Por foco'!$V$2:$V$579,'Por foco'!$A$2:$A$579,$A27,'Por foco'!$B$2:$B$579,$B27)</f>
        <v>0</v>
      </c>
      <c r="V27" s="2" t="n">
        <f aca="false">SUMIFS('Por foco'!$W$2:$W$579,'Por foco'!$A$2:$A$579,$A27,'Por foco'!$B$2:$B$579,$B27)</f>
        <v>0</v>
      </c>
      <c r="W27" s="2" t="n">
        <f aca="false">SUMIFS('Por foco'!$X$2:$X$579,'Por foco'!$A$2:$A$579,$A27,'Por foco'!$B$2:$B$579,$B27)</f>
        <v>1</v>
      </c>
    </row>
    <row r="28" customFormat="false" ht="15" hidden="false" customHeight="false" outlineLevel="0" collapsed="false">
      <c r="A28" s="2" t="s">
        <v>29</v>
      </c>
      <c r="B28" s="2" t="s">
        <v>67</v>
      </c>
      <c r="C28" s="2" t="n">
        <f aca="false">COUNTIFS('Por foco'!$A$2:$A$579,$A28,'Por foco'!$B$2:$B$579,$B28)</f>
        <v>6</v>
      </c>
      <c r="D28" s="2" t="n">
        <f aca="false">SUMIFS('Por foco'!$E$2:$E$579,'Por foco'!$A$2:$A$579,$A28,'Por foco'!$B$2:$B$579,$B28)</f>
        <v>357</v>
      </c>
      <c r="E28" s="2" t="n">
        <f aca="false">SUMIFS('Por foco'!$F$2:$F$579,'Por foco'!$A$2:$A$579,$A28,'Por foco'!$B$2:$B$579,$B28)</f>
        <v>0</v>
      </c>
      <c r="F28" s="2" t="n">
        <f aca="false">SUMIFS('Por foco'!$G$2:$G$579,'Por foco'!$A$2:$A$579,$A28,'Por foco'!$B$2:$B$579,$B28)</f>
        <v>0</v>
      </c>
      <c r="G28" s="2" t="n">
        <f aca="false">SUMIFS('Por foco'!$H$2:$H$579,'Por foco'!$A$2:$A$579,$A28,'Por foco'!$B$2:$B$579,$B28)</f>
        <v>0</v>
      </c>
      <c r="H28" s="2" t="n">
        <f aca="false">SUMIFS('Por foco'!$I$2:$I$579,'Por foco'!$A$2:$A$579,$A28,'Por foco'!$B$2:$B$579,$B28)</f>
        <v>100000</v>
      </c>
      <c r="I28" s="2" t="n">
        <f aca="false">SUMIFS('Por foco'!$J$2:$J$579,'Por foco'!$A$2:$A$579,$A28,'Por foco'!$B$2:$B$579,$B28)</f>
        <v>50</v>
      </c>
      <c r="J28" s="2" t="n">
        <f aca="false">SUMIFS('Por foco'!$K$2:$K$579,'Por foco'!$A$2:$A$579,$A28,'Por foco'!$B$2:$B$579,$B28)</f>
        <v>0</v>
      </c>
      <c r="K28" s="2" t="n">
        <f aca="false">SUMIFS('Por foco'!$L$2:$L$579,'Por foco'!$A$2:$A$579,$A28,'Por foco'!$B$2:$B$579,$B28)</f>
        <v>0</v>
      </c>
      <c r="L28" s="2" t="n">
        <f aca="false">SUMIFS('Por foco'!$M$2:$M$579,'Por foco'!$A$2:$A$579,$A28,'Por foco'!$B$2:$B$579,$B28)</f>
        <v>0</v>
      </c>
      <c r="M28" s="2" t="n">
        <f aca="false">SUMIFS('Por foco'!$N$2:$N$579,'Por foco'!$A$2:$A$579,$A28,'Por foco'!$B$2:$B$579,$B28)</f>
        <v>3</v>
      </c>
      <c r="N28" s="2" t="n">
        <f aca="false">SUMIFS('Por foco'!$O$2:$O$579,'Por foco'!$A$2:$A$579,$A28,'Por foco'!$B$2:$B$579,$B28)</f>
        <v>0</v>
      </c>
      <c r="O28" s="2" t="n">
        <f aca="false">SUMIFS('Por foco'!$P$2:$P$579,'Por foco'!$A$2:$A$579,$A28,'Por foco'!$B$2:$B$579,$B28)</f>
        <v>2</v>
      </c>
      <c r="P28" s="2" t="n">
        <f aca="false">SUMIFS('Por foco'!$Q$2:$Q$579,'Por foco'!$A$2:$A$579,$A28,'Por foco'!$B$2:$B$579,$B28)</f>
        <v>0</v>
      </c>
      <c r="Q28" s="2" t="n">
        <f aca="false">SUMIFS('Por foco'!$R$2:$R$579,'Por foco'!$A$2:$A$579,$A28,'Por foco'!$B$2:$B$579,$B28)</f>
        <v>0</v>
      </c>
      <c r="R28" s="2" t="n">
        <f aca="false">SUMIFS('Por foco'!$S$2:$S$579,'Por foco'!$A$2:$A$579,$A28,'Por foco'!$B$2:$B$579,$B28)</f>
        <v>0</v>
      </c>
      <c r="S28" s="2" t="n">
        <f aca="false">SUMIFS('Por foco'!$T$2:$T$579,'Por foco'!$A$2:$A$579,$A28,'Por foco'!$B$2:$B$579,$B28)</f>
        <v>0</v>
      </c>
      <c r="T28" s="2" t="n">
        <f aca="false">SUMIFS('Por foco'!$U$2:$U$579,'Por foco'!$A$2:$A$579,$A28,'Por foco'!$B$2:$B$579,$B28)</f>
        <v>0</v>
      </c>
      <c r="U28" s="2" t="n">
        <f aca="false">SUMIFS('Por foco'!$V$2:$V$579,'Por foco'!$A$2:$A$579,$A28,'Por foco'!$B$2:$B$579,$B28)</f>
        <v>0</v>
      </c>
      <c r="V28" s="2" t="n">
        <f aca="false">SUMIFS('Por foco'!$W$2:$W$579,'Por foco'!$A$2:$A$579,$A28,'Por foco'!$B$2:$B$579,$B28)</f>
        <v>0</v>
      </c>
      <c r="W28" s="2" t="n">
        <f aca="false">SUMIFS('Por foco'!$X$2:$X$579,'Por foco'!$A$2:$A$579,$A28,'Por foco'!$B$2:$B$579,$B28)</f>
        <v>2</v>
      </c>
    </row>
    <row r="29" customFormat="false" ht="15" hidden="false" customHeight="false" outlineLevel="0" collapsed="false">
      <c r="A29" s="2" t="s">
        <v>29</v>
      </c>
      <c r="B29" s="2" t="s">
        <v>68</v>
      </c>
      <c r="C29" s="2" t="n">
        <f aca="false">COUNTIFS('Por foco'!$A$2:$A$579,$A29,'Por foco'!$B$2:$B$579,$B29)</f>
        <v>6</v>
      </c>
      <c r="D29" s="2" t="n">
        <f aca="false">SUMIFS('Por foco'!$E$2:$E$579,'Por foco'!$A$2:$A$579,$A29,'Por foco'!$B$2:$B$579,$B29)</f>
        <v>378</v>
      </c>
      <c r="E29" s="2" t="n">
        <f aca="false">SUMIFS('Por foco'!$F$2:$F$579,'Por foco'!$A$2:$A$579,$A29,'Por foco'!$B$2:$B$579,$B29)</f>
        <v>0</v>
      </c>
      <c r="F29" s="2" t="n">
        <f aca="false">SUMIFS('Por foco'!$G$2:$G$579,'Por foco'!$A$2:$A$579,$A29,'Por foco'!$B$2:$B$579,$B29)</f>
        <v>0</v>
      </c>
      <c r="G29" s="2" t="n">
        <f aca="false">SUMIFS('Por foco'!$H$2:$H$579,'Por foco'!$A$2:$A$579,$A29,'Por foco'!$B$2:$B$579,$B29)</f>
        <v>0</v>
      </c>
      <c r="H29" s="2" t="n">
        <f aca="false">SUMIFS('Por foco'!$I$2:$I$579,'Por foco'!$A$2:$A$579,$A29,'Por foco'!$B$2:$B$579,$B29)</f>
        <v>0</v>
      </c>
      <c r="I29" s="2" t="n">
        <f aca="false">SUMIFS('Por foco'!$J$2:$J$579,'Por foco'!$A$2:$A$579,$A29,'Por foco'!$B$2:$B$579,$B29)</f>
        <v>0</v>
      </c>
      <c r="J29" s="2" t="n">
        <f aca="false">SUMIFS('Por foco'!$K$2:$K$579,'Por foco'!$A$2:$A$579,$A29,'Por foco'!$B$2:$B$579,$B29)</f>
        <v>50</v>
      </c>
      <c r="K29" s="2" t="n">
        <f aca="false">SUMIFS('Por foco'!$L$2:$L$579,'Por foco'!$A$2:$A$579,$A29,'Por foco'!$B$2:$B$579,$B29)</f>
        <v>0</v>
      </c>
      <c r="L29" s="2" t="n">
        <f aca="false">SUMIFS('Por foco'!$M$2:$M$579,'Por foco'!$A$2:$A$579,$A29,'Por foco'!$B$2:$B$579,$B29)</f>
        <v>0</v>
      </c>
      <c r="M29" s="2" t="n">
        <f aca="false">SUMIFS('Por foco'!$N$2:$N$579,'Por foco'!$A$2:$A$579,$A29,'Por foco'!$B$2:$B$579,$B29)</f>
        <v>3</v>
      </c>
      <c r="N29" s="2" t="n">
        <f aca="false">SUMIFS('Por foco'!$O$2:$O$579,'Por foco'!$A$2:$A$579,$A29,'Por foco'!$B$2:$B$579,$B29)</f>
        <v>0</v>
      </c>
      <c r="O29" s="2" t="n">
        <f aca="false">SUMIFS('Por foco'!$P$2:$P$579,'Por foco'!$A$2:$A$579,$A29,'Por foco'!$B$2:$B$579,$B29)</f>
        <v>0</v>
      </c>
      <c r="P29" s="2" t="n">
        <f aca="false">SUMIFS('Por foco'!$Q$2:$Q$579,'Por foco'!$A$2:$A$579,$A29,'Por foco'!$B$2:$B$579,$B29)</f>
        <v>5</v>
      </c>
      <c r="Q29" s="2" t="n">
        <f aca="false">SUMIFS('Por foco'!$R$2:$R$579,'Por foco'!$A$2:$A$579,$A29,'Por foco'!$B$2:$B$579,$B29)</f>
        <v>0</v>
      </c>
      <c r="R29" s="2" t="n">
        <f aca="false">SUMIFS('Por foco'!$S$2:$S$579,'Por foco'!$A$2:$A$579,$A29,'Por foco'!$B$2:$B$579,$B29)</f>
        <v>0</v>
      </c>
      <c r="S29" s="2" t="n">
        <f aca="false">SUMIFS('Por foco'!$T$2:$T$579,'Por foco'!$A$2:$A$579,$A29,'Por foco'!$B$2:$B$579,$B29)</f>
        <v>0</v>
      </c>
      <c r="T29" s="2" t="n">
        <f aca="false">SUMIFS('Por foco'!$U$2:$U$579,'Por foco'!$A$2:$A$579,$A29,'Por foco'!$B$2:$B$579,$B29)</f>
        <v>0</v>
      </c>
      <c r="U29" s="2" t="n">
        <f aca="false">SUMIFS('Por foco'!$V$2:$V$579,'Por foco'!$A$2:$A$579,$A29,'Por foco'!$B$2:$B$579,$B29)</f>
        <v>120</v>
      </c>
      <c r="V29" s="2" t="n">
        <f aca="false">SUMIFS('Por foco'!$W$2:$W$579,'Por foco'!$A$2:$A$579,$A29,'Por foco'!$B$2:$B$579,$B29)</f>
        <v>0</v>
      </c>
      <c r="W29" s="2" t="n">
        <f aca="false">SUMIFS('Por foco'!$X$2:$X$579,'Por foco'!$A$2:$A$579,$A29,'Por foco'!$B$2:$B$579,$B29)</f>
        <v>1</v>
      </c>
    </row>
    <row r="30" customFormat="false" ht="15" hidden="false" customHeight="false" outlineLevel="0" collapsed="false">
      <c r="A30" s="2" t="s">
        <v>29</v>
      </c>
      <c r="B30" s="2" t="s">
        <v>69</v>
      </c>
      <c r="C30" s="2" t="n">
        <f aca="false">COUNTIFS('Por foco'!$A$2:$A$579,$A30,'Por foco'!$B$2:$B$579,$B30)</f>
        <v>6</v>
      </c>
      <c r="D30" s="2" t="n">
        <f aca="false">SUMIFS('Por foco'!$E$2:$E$579,'Por foco'!$A$2:$A$579,$A30,'Por foco'!$B$2:$B$579,$B30)</f>
        <v>329</v>
      </c>
      <c r="E30" s="2" t="n">
        <f aca="false">SUMIFS('Por foco'!$F$2:$F$579,'Por foco'!$A$2:$A$579,$A30,'Por foco'!$B$2:$B$579,$B30)</f>
        <v>150</v>
      </c>
      <c r="F30" s="2" t="n">
        <f aca="false">SUMIFS('Por foco'!$G$2:$G$579,'Por foco'!$A$2:$A$579,$A30,'Por foco'!$B$2:$B$579,$B30)</f>
        <v>0</v>
      </c>
      <c r="G30" s="2" t="n">
        <f aca="false">SUMIFS('Por foco'!$H$2:$H$579,'Por foco'!$A$2:$A$579,$A30,'Por foco'!$B$2:$B$579,$B30)</f>
        <v>0</v>
      </c>
      <c r="H30" s="2" t="n">
        <f aca="false">SUMIFS('Por foco'!$I$2:$I$579,'Por foco'!$A$2:$A$579,$A30,'Por foco'!$B$2:$B$579,$B30)</f>
        <v>0</v>
      </c>
      <c r="I30" s="2" t="n">
        <f aca="false">SUMIFS('Por foco'!$J$2:$J$579,'Por foco'!$A$2:$A$579,$A30,'Por foco'!$B$2:$B$579,$B30)</f>
        <v>0</v>
      </c>
      <c r="J30" s="2" t="n">
        <f aca="false">SUMIFS('Por foco'!$K$2:$K$579,'Por foco'!$A$2:$A$579,$A30,'Por foco'!$B$2:$B$579,$B30)</f>
        <v>0</v>
      </c>
      <c r="K30" s="2" t="n">
        <f aca="false">SUMIFS('Por foco'!$L$2:$L$579,'Por foco'!$A$2:$A$579,$A30,'Por foco'!$B$2:$B$579,$B30)</f>
        <v>0</v>
      </c>
      <c r="L30" s="2" t="n">
        <f aca="false">SUMIFS('Por foco'!$M$2:$M$579,'Por foco'!$A$2:$A$579,$A30,'Por foco'!$B$2:$B$579,$B30)</f>
        <v>0</v>
      </c>
      <c r="M30" s="2" t="n">
        <f aca="false">SUMIFS('Por foco'!$N$2:$N$579,'Por foco'!$A$2:$A$579,$A30,'Por foco'!$B$2:$B$579,$B30)</f>
        <v>0</v>
      </c>
      <c r="N30" s="2" t="n">
        <f aca="false">SUMIFS('Por foco'!$O$2:$O$579,'Por foco'!$A$2:$A$579,$A30,'Por foco'!$B$2:$B$579,$B30)</f>
        <v>2</v>
      </c>
      <c r="O30" s="2" t="n">
        <f aca="false">SUMIFS('Por foco'!$P$2:$P$579,'Por foco'!$A$2:$A$579,$A30,'Por foco'!$B$2:$B$579,$B30)</f>
        <v>2</v>
      </c>
      <c r="P30" s="2" t="n">
        <f aca="false">SUMIFS('Por foco'!$Q$2:$Q$579,'Por foco'!$A$2:$A$579,$A30,'Por foco'!$B$2:$B$579,$B30)</f>
        <v>0</v>
      </c>
      <c r="Q30" s="2" t="n">
        <f aca="false">SUMIFS('Por foco'!$R$2:$R$579,'Por foco'!$A$2:$A$579,$A30,'Por foco'!$B$2:$B$579,$B30)</f>
        <v>0</v>
      </c>
      <c r="R30" s="2" t="n">
        <f aca="false">SUMIFS('Por foco'!$S$2:$S$579,'Por foco'!$A$2:$A$579,$A30,'Por foco'!$B$2:$B$579,$B30)</f>
        <v>0</v>
      </c>
      <c r="S30" s="2" t="n">
        <f aca="false">SUMIFS('Por foco'!$T$2:$T$579,'Por foco'!$A$2:$A$579,$A30,'Por foco'!$B$2:$B$579,$B30)</f>
        <v>0</v>
      </c>
      <c r="T30" s="2" t="n">
        <f aca="false">SUMIFS('Por foco'!$U$2:$U$579,'Por foco'!$A$2:$A$579,$A30,'Por foco'!$B$2:$B$579,$B30)</f>
        <v>0</v>
      </c>
      <c r="U30" s="2" t="n">
        <f aca="false">SUMIFS('Por foco'!$V$2:$V$579,'Por foco'!$A$2:$A$579,$A30,'Por foco'!$B$2:$B$579,$B30)</f>
        <v>0</v>
      </c>
      <c r="V30" s="2" t="n">
        <f aca="false">SUMIFS('Por foco'!$W$2:$W$579,'Por foco'!$A$2:$A$579,$A30,'Por foco'!$B$2:$B$579,$B30)</f>
        <v>0</v>
      </c>
      <c r="W30" s="2" t="n">
        <f aca="false">SUMIFS('Por foco'!$X$2:$X$579,'Por foco'!$A$2:$A$579,$A30,'Por foco'!$B$2:$B$579,$B30)</f>
        <v>2</v>
      </c>
    </row>
    <row r="31" customFormat="false" ht="15" hidden="false" customHeight="false" outlineLevel="0" collapsed="false">
      <c r="A31" s="2" t="s">
        <v>29</v>
      </c>
      <c r="B31" s="2" t="s">
        <v>70</v>
      </c>
      <c r="C31" s="2" t="n">
        <f aca="false">COUNTIFS('Por foco'!$A$2:$A$579,$A31,'Por foco'!$B$2:$B$579,$B31)</f>
        <v>6</v>
      </c>
      <c r="D31" s="2" t="n">
        <f aca="false">SUMIFS('Por foco'!$E$2:$E$579,'Por foco'!$A$2:$A$579,$A31,'Por foco'!$B$2:$B$579,$B31)</f>
        <v>413</v>
      </c>
      <c r="E31" s="2" t="n">
        <f aca="false">SUMIFS('Por foco'!$F$2:$F$579,'Por foco'!$A$2:$A$579,$A31,'Por foco'!$B$2:$B$579,$B31)</f>
        <v>100</v>
      </c>
      <c r="F31" s="2" t="n">
        <f aca="false">SUMIFS('Por foco'!$G$2:$G$579,'Por foco'!$A$2:$A$579,$A31,'Por foco'!$B$2:$B$579,$B31)</f>
        <v>0</v>
      </c>
      <c r="G31" s="2" t="n">
        <f aca="false">SUMIFS('Por foco'!$H$2:$H$579,'Por foco'!$A$2:$A$579,$A31,'Por foco'!$B$2:$B$579,$B31)</f>
        <v>0</v>
      </c>
      <c r="H31" s="2" t="n">
        <f aca="false">SUMIFS('Por foco'!$I$2:$I$579,'Por foco'!$A$2:$A$579,$A31,'Por foco'!$B$2:$B$579,$B31)</f>
        <v>0</v>
      </c>
      <c r="I31" s="2" t="n">
        <f aca="false">SUMIFS('Por foco'!$J$2:$J$579,'Por foco'!$A$2:$A$579,$A31,'Por foco'!$B$2:$B$579,$B31)</f>
        <v>0</v>
      </c>
      <c r="J31" s="2" t="n">
        <f aca="false">SUMIFS('Por foco'!$K$2:$K$579,'Por foco'!$A$2:$A$579,$A31,'Por foco'!$B$2:$B$579,$B31)</f>
        <v>0</v>
      </c>
      <c r="K31" s="2" t="n">
        <f aca="false">SUMIFS('Por foco'!$L$2:$L$579,'Por foco'!$A$2:$A$579,$A31,'Por foco'!$B$2:$B$579,$B31)</f>
        <v>0</v>
      </c>
      <c r="L31" s="2" t="n">
        <f aca="false">SUMIFS('Por foco'!$M$2:$M$579,'Por foco'!$A$2:$A$579,$A31,'Por foco'!$B$2:$B$579,$B31)</f>
        <v>1</v>
      </c>
      <c r="M31" s="2" t="n">
        <f aca="false">SUMIFS('Por foco'!$N$2:$N$579,'Por foco'!$A$2:$A$579,$A31,'Por foco'!$B$2:$B$579,$B31)</f>
        <v>0</v>
      </c>
      <c r="N31" s="2" t="n">
        <f aca="false">SUMIFS('Por foco'!$O$2:$O$579,'Por foco'!$A$2:$A$579,$A31,'Por foco'!$B$2:$B$579,$B31)</f>
        <v>2</v>
      </c>
      <c r="O31" s="2" t="n">
        <f aca="false">SUMIFS('Por foco'!$P$2:$P$579,'Por foco'!$A$2:$A$579,$A31,'Por foco'!$B$2:$B$579,$B31)</f>
        <v>0</v>
      </c>
      <c r="P31" s="2" t="n">
        <f aca="false">SUMIFS('Por foco'!$Q$2:$Q$579,'Por foco'!$A$2:$A$579,$A31,'Por foco'!$B$2:$B$579,$B31)</f>
        <v>0</v>
      </c>
      <c r="Q31" s="2" t="n">
        <f aca="false">SUMIFS('Por foco'!$R$2:$R$579,'Por foco'!$A$2:$A$579,$A31,'Por foco'!$B$2:$B$579,$B31)</f>
        <v>0</v>
      </c>
      <c r="R31" s="2" t="n">
        <f aca="false">SUMIFS('Por foco'!$S$2:$S$579,'Por foco'!$A$2:$A$579,$A31,'Por foco'!$B$2:$B$579,$B31)</f>
        <v>0</v>
      </c>
      <c r="S31" s="2" t="n">
        <f aca="false">SUMIFS('Por foco'!$T$2:$T$579,'Por foco'!$A$2:$A$579,$A31,'Por foco'!$B$2:$B$579,$B31)</f>
        <v>0</v>
      </c>
      <c r="T31" s="2" t="n">
        <f aca="false">SUMIFS('Por foco'!$U$2:$U$579,'Por foco'!$A$2:$A$579,$A31,'Por foco'!$B$2:$B$579,$B31)</f>
        <v>0</v>
      </c>
      <c r="U31" s="2" t="n">
        <f aca="false">SUMIFS('Por foco'!$V$2:$V$579,'Por foco'!$A$2:$A$579,$A31,'Por foco'!$B$2:$B$579,$B31)</f>
        <v>0</v>
      </c>
      <c r="V31" s="2" t="n">
        <f aca="false">SUMIFS('Por foco'!$W$2:$W$579,'Por foco'!$A$2:$A$579,$A31,'Por foco'!$B$2:$B$579,$B31)</f>
        <v>0</v>
      </c>
      <c r="W31" s="2" t="n">
        <f aca="false">SUMIFS('Por foco'!$X$2:$X$579,'Por foco'!$A$2:$A$579,$A31,'Por foco'!$B$2:$B$579,$B31)</f>
        <v>2</v>
      </c>
    </row>
    <row r="32" customFormat="false" ht="15" hidden="false" customHeight="false" outlineLevel="0" collapsed="false">
      <c r="A32" s="2" t="s">
        <v>30</v>
      </c>
      <c r="B32" s="2" t="s">
        <v>71</v>
      </c>
      <c r="C32" s="2" t="n">
        <f aca="false">COUNTIFS('Por foco'!$A$2:$A$579,$A32,'Por foco'!$B$2:$B$579,$B32)</f>
        <v>9</v>
      </c>
      <c r="D32" s="2" t="n">
        <f aca="false">SUMIFS('Por foco'!$E$2:$E$579,'Por foco'!$A$2:$A$579,$A32,'Por foco'!$B$2:$B$579,$B32)</f>
        <v>539</v>
      </c>
      <c r="E32" s="2" t="n">
        <f aca="false">SUMIFS('Por foco'!$F$2:$F$579,'Por foco'!$A$2:$A$579,$A32,'Por foco'!$B$2:$B$579,$B32)</f>
        <v>400</v>
      </c>
      <c r="F32" s="2" t="n">
        <f aca="false">SUMIFS('Por foco'!$G$2:$G$579,'Por foco'!$A$2:$A$579,$A32,'Por foco'!$B$2:$B$579,$B32)</f>
        <v>0</v>
      </c>
      <c r="G32" s="2" t="n">
        <f aca="false">SUMIFS('Por foco'!$H$2:$H$579,'Por foco'!$A$2:$A$579,$A32,'Por foco'!$B$2:$B$579,$B32)</f>
        <v>0</v>
      </c>
      <c r="H32" s="2" t="n">
        <f aca="false">SUMIFS('Por foco'!$I$2:$I$579,'Por foco'!$A$2:$A$579,$A32,'Por foco'!$B$2:$B$579,$B32)</f>
        <v>0</v>
      </c>
      <c r="I32" s="2" t="n">
        <f aca="false">SUMIFS('Por foco'!$J$2:$J$579,'Por foco'!$A$2:$A$579,$A32,'Por foco'!$B$2:$B$579,$B32)</f>
        <v>0</v>
      </c>
      <c r="J32" s="2" t="n">
        <f aca="false">SUMIFS('Por foco'!$K$2:$K$579,'Por foco'!$A$2:$A$579,$A32,'Por foco'!$B$2:$B$579,$B32)</f>
        <v>0</v>
      </c>
      <c r="K32" s="2" t="n">
        <f aca="false">SUMIFS('Por foco'!$L$2:$L$579,'Por foco'!$A$2:$A$579,$A32,'Por foco'!$B$2:$B$579,$B32)</f>
        <v>0</v>
      </c>
      <c r="L32" s="2" t="n">
        <f aca="false">SUMIFS('Por foco'!$M$2:$M$579,'Por foco'!$A$2:$A$579,$A32,'Por foco'!$B$2:$B$579,$B32)</f>
        <v>0</v>
      </c>
      <c r="M32" s="2" t="n">
        <f aca="false">SUMIFS('Por foco'!$N$2:$N$579,'Por foco'!$A$2:$A$579,$A32,'Por foco'!$B$2:$B$579,$B32)</f>
        <v>0</v>
      </c>
      <c r="N32" s="2" t="n">
        <f aca="false">SUMIFS('Por foco'!$O$2:$O$579,'Por foco'!$A$2:$A$579,$A32,'Por foco'!$B$2:$B$579,$B32)</f>
        <v>0</v>
      </c>
      <c r="O32" s="2" t="n">
        <f aca="false">SUMIFS('Por foco'!$P$2:$P$579,'Por foco'!$A$2:$A$579,$A32,'Por foco'!$B$2:$B$579,$B32)</f>
        <v>0</v>
      </c>
      <c r="P32" s="2" t="n">
        <f aca="false">SUMIFS('Por foco'!$Q$2:$Q$579,'Por foco'!$A$2:$A$579,$A32,'Por foco'!$B$2:$B$579,$B32)</f>
        <v>2</v>
      </c>
      <c r="Q32" s="2" t="n">
        <f aca="false">SUMIFS('Por foco'!$R$2:$R$579,'Por foco'!$A$2:$A$579,$A32,'Por foco'!$B$2:$B$579,$B32)</f>
        <v>0</v>
      </c>
      <c r="R32" s="2" t="n">
        <f aca="false">SUMIFS('Por foco'!$S$2:$S$579,'Por foco'!$A$2:$A$579,$A32,'Por foco'!$B$2:$B$579,$B32)</f>
        <v>0</v>
      </c>
      <c r="S32" s="2" t="n">
        <f aca="false">SUMIFS('Por foco'!$T$2:$T$579,'Por foco'!$A$2:$A$579,$A32,'Por foco'!$B$2:$B$579,$B32)</f>
        <v>0</v>
      </c>
      <c r="T32" s="2" t="n">
        <f aca="false">SUMIFS('Por foco'!$U$2:$U$579,'Por foco'!$A$2:$A$579,$A32,'Por foco'!$B$2:$B$579,$B32)</f>
        <v>0</v>
      </c>
      <c r="U32" s="2" t="n">
        <f aca="false">SUMIFS('Por foco'!$V$2:$V$579,'Por foco'!$A$2:$A$579,$A32,'Por foco'!$B$2:$B$579,$B32)</f>
        <v>0</v>
      </c>
      <c r="V32" s="2" t="n">
        <f aca="false">SUMIFS('Por foco'!$W$2:$W$579,'Por foco'!$A$2:$A$579,$A32,'Por foco'!$B$2:$B$579,$B32)</f>
        <v>0</v>
      </c>
      <c r="W32" s="2" t="n">
        <f aca="false">SUMIFS('Por foco'!$X$2:$X$579,'Por foco'!$A$2:$A$579,$A32,'Por foco'!$B$2:$B$579,$B32)</f>
        <v>3</v>
      </c>
    </row>
    <row r="33" customFormat="false" ht="15" hidden="false" customHeight="false" outlineLevel="0" collapsed="false">
      <c r="A33" s="2" t="s">
        <v>30</v>
      </c>
      <c r="B33" s="2" t="s">
        <v>72</v>
      </c>
      <c r="C33" s="2" t="n">
        <f aca="false">COUNTIFS('Por foco'!$A$2:$A$579,$A33,'Por foco'!$B$2:$B$579,$B33)</f>
        <v>7</v>
      </c>
      <c r="D33" s="2" t="n">
        <f aca="false">SUMIFS('Por foco'!$E$2:$E$579,'Por foco'!$A$2:$A$579,$A33,'Por foco'!$B$2:$B$579,$B33)</f>
        <v>448</v>
      </c>
      <c r="E33" s="2" t="n">
        <f aca="false">SUMIFS('Por foco'!$F$2:$F$579,'Por foco'!$A$2:$A$579,$A33,'Por foco'!$B$2:$B$579,$B33)</f>
        <v>100</v>
      </c>
      <c r="F33" s="2" t="n">
        <f aca="false">SUMIFS('Por foco'!$G$2:$G$579,'Por foco'!$A$2:$A$579,$A33,'Por foco'!$B$2:$B$579,$B33)</f>
        <v>0</v>
      </c>
      <c r="G33" s="2" t="n">
        <f aca="false">SUMIFS('Por foco'!$H$2:$H$579,'Por foco'!$A$2:$A$579,$A33,'Por foco'!$B$2:$B$579,$B33)</f>
        <v>10</v>
      </c>
      <c r="H33" s="2" t="n">
        <f aca="false">SUMIFS('Por foco'!$I$2:$I$579,'Por foco'!$A$2:$A$579,$A33,'Por foco'!$B$2:$B$579,$B33)</f>
        <v>0</v>
      </c>
      <c r="I33" s="2" t="n">
        <f aca="false">SUMIFS('Por foco'!$J$2:$J$579,'Por foco'!$A$2:$A$579,$A33,'Por foco'!$B$2:$B$579,$B33)</f>
        <v>0</v>
      </c>
      <c r="J33" s="2" t="n">
        <f aca="false">SUMIFS('Por foco'!$K$2:$K$579,'Por foco'!$A$2:$A$579,$A33,'Por foco'!$B$2:$B$579,$B33)</f>
        <v>25</v>
      </c>
      <c r="K33" s="2" t="n">
        <f aca="false">SUMIFS('Por foco'!$L$2:$L$579,'Por foco'!$A$2:$A$579,$A33,'Por foco'!$B$2:$B$579,$B33)</f>
        <v>0</v>
      </c>
      <c r="L33" s="2" t="n">
        <f aca="false">SUMIFS('Por foco'!$M$2:$M$579,'Por foco'!$A$2:$A$579,$A33,'Por foco'!$B$2:$B$579,$B33)</f>
        <v>0</v>
      </c>
      <c r="M33" s="2" t="n">
        <f aca="false">SUMIFS('Por foco'!$N$2:$N$579,'Por foco'!$A$2:$A$579,$A33,'Por foco'!$B$2:$B$579,$B33)</f>
        <v>1</v>
      </c>
      <c r="N33" s="2" t="n">
        <f aca="false">SUMIFS('Por foco'!$O$2:$O$579,'Por foco'!$A$2:$A$579,$A33,'Por foco'!$B$2:$B$579,$B33)</f>
        <v>0</v>
      </c>
      <c r="O33" s="2" t="n">
        <f aca="false">SUMIFS('Por foco'!$P$2:$P$579,'Por foco'!$A$2:$A$579,$A33,'Por foco'!$B$2:$B$579,$B33)</f>
        <v>0</v>
      </c>
      <c r="P33" s="2" t="n">
        <f aca="false">SUMIFS('Por foco'!$Q$2:$Q$579,'Por foco'!$A$2:$A$579,$A33,'Por foco'!$B$2:$B$579,$B33)</f>
        <v>2</v>
      </c>
      <c r="Q33" s="2" t="n">
        <f aca="false">SUMIFS('Por foco'!$R$2:$R$579,'Por foco'!$A$2:$A$579,$A33,'Por foco'!$B$2:$B$579,$B33)</f>
        <v>0</v>
      </c>
      <c r="R33" s="2" t="n">
        <f aca="false">SUMIFS('Por foco'!$S$2:$S$579,'Por foco'!$A$2:$A$579,$A33,'Por foco'!$B$2:$B$579,$B33)</f>
        <v>0</v>
      </c>
      <c r="S33" s="2" t="n">
        <f aca="false">SUMIFS('Por foco'!$T$2:$T$579,'Por foco'!$A$2:$A$579,$A33,'Por foco'!$B$2:$B$579,$B33)</f>
        <v>0</v>
      </c>
      <c r="T33" s="2" t="n">
        <f aca="false">SUMIFS('Por foco'!$U$2:$U$579,'Por foco'!$A$2:$A$579,$A33,'Por foco'!$B$2:$B$579,$B33)</f>
        <v>0</v>
      </c>
      <c r="U33" s="2" t="n">
        <f aca="false">SUMIFS('Por foco'!$V$2:$V$579,'Por foco'!$A$2:$A$579,$A33,'Por foco'!$B$2:$B$579,$B33)</f>
        <v>0</v>
      </c>
      <c r="V33" s="2" t="n">
        <f aca="false">SUMIFS('Por foco'!$W$2:$W$579,'Por foco'!$A$2:$A$579,$A33,'Por foco'!$B$2:$B$579,$B33)</f>
        <v>1</v>
      </c>
      <c r="W33" s="2" t="n">
        <f aca="false">SUMIFS('Por foco'!$X$2:$X$579,'Por foco'!$A$2:$A$579,$A33,'Por foco'!$B$2:$B$579,$B33)</f>
        <v>2</v>
      </c>
    </row>
    <row r="34" customFormat="false" ht="15" hidden="false" customHeight="false" outlineLevel="0" collapsed="false">
      <c r="A34" s="2" t="s">
        <v>30</v>
      </c>
      <c r="B34" s="2" t="s">
        <v>45</v>
      </c>
      <c r="C34" s="2" t="n">
        <f aca="false">COUNTIFS('Por foco'!$A$2:$A$579,$A34,'Por foco'!$B$2:$B$579,$B34)</f>
        <v>4</v>
      </c>
      <c r="D34" s="2" t="n">
        <f aca="false">SUMIFS('Por foco'!$E$2:$E$579,'Por foco'!$A$2:$A$579,$A34,'Por foco'!$B$2:$B$579,$B34)</f>
        <v>315</v>
      </c>
      <c r="E34" s="2" t="n">
        <f aca="false">SUMIFS('Por foco'!$F$2:$F$579,'Por foco'!$A$2:$A$579,$A34,'Por foco'!$B$2:$B$579,$B34)</f>
        <v>170</v>
      </c>
      <c r="F34" s="2" t="n">
        <f aca="false">SUMIFS('Por foco'!$G$2:$G$579,'Por foco'!$A$2:$A$579,$A34,'Por foco'!$B$2:$B$579,$B34)</f>
        <v>5</v>
      </c>
      <c r="G34" s="2" t="n">
        <f aca="false">SUMIFS('Por foco'!$H$2:$H$579,'Por foco'!$A$2:$A$579,$A34,'Por foco'!$B$2:$B$579,$B34)</f>
        <v>5</v>
      </c>
      <c r="H34" s="2" t="n">
        <f aca="false">SUMIFS('Por foco'!$I$2:$I$579,'Por foco'!$A$2:$A$579,$A34,'Por foco'!$B$2:$B$579,$B34)</f>
        <v>0</v>
      </c>
      <c r="I34" s="2" t="n">
        <f aca="false">SUMIFS('Por foco'!$J$2:$J$579,'Por foco'!$A$2:$A$579,$A34,'Por foco'!$B$2:$B$579,$B34)</f>
        <v>25</v>
      </c>
      <c r="J34" s="2" t="n">
        <f aca="false">SUMIFS('Por foco'!$K$2:$K$579,'Por foco'!$A$2:$A$579,$A34,'Por foco'!$B$2:$B$579,$B34)</f>
        <v>0</v>
      </c>
      <c r="K34" s="2" t="n">
        <f aca="false">SUMIFS('Por foco'!$L$2:$L$579,'Por foco'!$A$2:$A$579,$A34,'Por foco'!$B$2:$B$579,$B34)</f>
        <v>0</v>
      </c>
      <c r="L34" s="2" t="n">
        <f aca="false">SUMIFS('Por foco'!$M$2:$M$579,'Por foco'!$A$2:$A$579,$A34,'Por foco'!$B$2:$B$579,$B34)</f>
        <v>0</v>
      </c>
      <c r="M34" s="2" t="n">
        <f aca="false">SUMIFS('Por foco'!$N$2:$N$579,'Por foco'!$A$2:$A$579,$A34,'Por foco'!$B$2:$B$579,$B34)</f>
        <v>0</v>
      </c>
      <c r="N34" s="2" t="n">
        <f aca="false">SUMIFS('Por foco'!$O$2:$O$579,'Por foco'!$A$2:$A$579,$A34,'Por foco'!$B$2:$B$579,$B34)</f>
        <v>0</v>
      </c>
      <c r="O34" s="2" t="n">
        <f aca="false">SUMIFS('Por foco'!$P$2:$P$579,'Por foco'!$A$2:$A$579,$A34,'Por foco'!$B$2:$B$579,$B34)</f>
        <v>0</v>
      </c>
      <c r="P34" s="2" t="n">
        <f aca="false">SUMIFS('Por foco'!$Q$2:$Q$579,'Por foco'!$A$2:$A$579,$A34,'Por foco'!$B$2:$B$579,$B34)</f>
        <v>0</v>
      </c>
      <c r="Q34" s="2" t="n">
        <f aca="false">SUMIFS('Por foco'!$R$2:$R$579,'Por foco'!$A$2:$A$579,$A34,'Por foco'!$B$2:$B$579,$B34)</f>
        <v>0</v>
      </c>
      <c r="R34" s="2" t="n">
        <f aca="false">SUMIFS('Por foco'!$S$2:$S$579,'Por foco'!$A$2:$A$579,$A34,'Por foco'!$B$2:$B$579,$B34)</f>
        <v>0</v>
      </c>
      <c r="S34" s="2" t="n">
        <f aca="false">SUMIFS('Por foco'!$T$2:$T$579,'Por foco'!$A$2:$A$579,$A34,'Por foco'!$B$2:$B$579,$B34)</f>
        <v>0</v>
      </c>
      <c r="T34" s="2" t="n">
        <f aca="false">SUMIFS('Por foco'!$U$2:$U$579,'Por foco'!$A$2:$A$579,$A34,'Por foco'!$B$2:$B$579,$B34)</f>
        <v>0</v>
      </c>
      <c r="U34" s="2" t="n">
        <f aca="false">SUMIFS('Por foco'!$V$2:$V$579,'Por foco'!$A$2:$A$579,$A34,'Por foco'!$B$2:$B$579,$B34)</f>
        <v>0</v>
      </c>
      <c r="V34" s="2" t="n">
        <f aca="false">SUMIFS('Por foco'!$W$2:$W$579,'Por foco'!$A$2:$A$579,$A34,'Por foco'!$B$2:$B$579,$B34)</f>
        <v>7</v>
      </c>
      <c r="W34" s="2" t="n">
        <f aca="false">SUMIFS('Por foco'!$X$2:$X$579,'Por foco'!$A$2:$A$579,$A34,'Por foco'!$B$2:$B$579,$B34)</f>
        <v>1</v>
      </c>
    </row>
    <row r="35" customFormat="false" ht="15" hidden="false" customHeight="false" outlineLevel="0" collapsed="false">
      <c r="A35" s="2" t="s">
        <v>30</v>
      </c>
      <c r="B35" s="2" t="s">
        <v>73</v>
      </c>
      <c r="C35" s="2" t="n">
        <f aca="false">COUNTIFS('Por foco'!$A$2:$A$579,$A35,'Por foco'!$B$2:$B$579,$B35)</f>
        <v>7</v>
      </c>
      <c r="D35" s="2" t="n">
        <f aca="false">SUMIFS('Por foco'!$E$2:$E$579,'Por foco'!$A$2:$A$579,$A35,'Por foco'!$B$2:$B$579,$B35)</f>
        <v>469</v>
      </c>
      <c r="E35" s="2" t="n">
        <f aca="false">SUMIFS('Por foco'!$F$2:$F$579,'Por foco'!$A$2:$A$579,$A35,'Por foco'!$B$2:$B$579,$B35)</f>
        <v>100</v>
      </c>
      <c r="F35" s="2" t="n">
        <f aca="false">SUMIFS('Por foco'!$G$2:$G$579,'Por foco'!$A$2:$A$579,$A35,'Por foco'!$B$2:$B$579,$B35)</f>
        <v>0</v>
      </c>
      <c r="G35" s="2" t="n">
        <f aca="false">SUMIFS('Por foco'!$H$2:$H$579,'Por foco'!$A$2:$A$579,$A35,'Por foco'!$B$2:$B$579,$B35)</f>
        <v>0</v>
      </c>
      <c r="H35" s="2" t="n">
        <f aca="false">SUMIFS('Por foco'!$I$2:$I$579,'Por foco'!$A$2:$A$579,$A35,'Por foco'!$B$2:$B$579,$B35)</f>
        <v>0</v>
      </c>
      <c r="I35" s="2" t="n">
        <f aca="false">SUMIFS('Por foco'!$J$2:$J$579,'Por foco'!$A$2:$A$579,$A35,'Por foco'!$B$2:$B$579,$B35)</f>
        <v>0</v>
      </c>
      <c r="J35" s="2" t="n">
        <f aca="false">SUMIFS('Por foco'!$K$2:$K$579,'Por foco'!$A$2:$A$579,$A35,'Por foco'!$B$2:$B$579,$B35)</f>
        <v>0</v>
      </c>
      <c r="K35" s="2" t="n">
        <f aca="false">SUMIFS('Por foco'!$L$2:$L$579,'Por foco'!$A$2:$A$579,$A35,'Por foco'!$B$2:$B$579,$B35)</f>
        <v>0</v>
      </c>
      <c r="L35" s="2" t="n">
        <f aca="false">SUMIFS('Por foco'!$M$2:$M$579,'Por foco'!$A$2:$A$579,$A35,'Por foco'!$B$2:$B$579,$B35)</f>
        <v>0</v>
      </c>
      <c r="M35" s="2" t="n">
        <f aca="false">SUMIFS('Por foco'!$N$2:$N$579,'Por foco'!$A$2:$A$579,$A35,'Por foco'!$B$2:$B$579,$B35)</f>
        <v>0</v>
      </c>
      <c r="N35" s="2" t="n">
        <f aca="false">SUMIFS('Por foco'!$O$2:$O$579,'Por foco'!$A$2:$A$579,$A35,'Por foco'!$B$2:$B$579,$B35)</f>
        <v>7</v>
      </c>
      <c r="O35" s="2" t="n">
        <f aca="false">SUMIFS('Por foco'!$P$2:$P$579,'Por foco'!$A$2:$A$579,$A35,'Por foco'!$B$2:$B$579,$B35)</f>
        <v>0</v>
      </c>
      <c r="P35" s="2" t="n">
        <f aca="false">SUMIFS('Por foco'!$Q$2:$Q$579,'Por foco'!$A$2:$A$579,$A35,'Por foco'!$B$2:$B$579,$B35)</f>
        <v>2</v>
      </c>
      <c r="Q35" s="2" t="n">
        <f aca="false">SUMIFS('Por foco'!$R$2:$R$579,'Por foco'!$A$2:$A$579,$A35,'Por foco'!$B$2:$B$579,$B35)</f>
        <v>0</v>
      </c>
      <c r="R35" s="2" t="n">
        <f aca="false">SUMIFS('Por foco'!$S$2:$S$579,'Por foco'!$A$2:$A$579,$A35,'Por foco'!$B$2:$B$579,$B35)</f>
        <v>0</v>
      </c>
      <c r="S35" s="2" t="n">
        <f aca="false">SUMIFS('Por foco'!$T$2:$T$579,'Por foco'!$A$2:$A$579,$A35,'Por foco'!$B$2:$B$579,$B35)</f>
        <v>0</v>
      </c>
      <c r="T35" s="2" t="n">
        <f aca="false">SUMIFS('Por foco'!$U$2:$U$579,'Por foco'!$A$2:$A$579,$A35,'Por foco'!$B$2:$B$579,$B35)</f>
        <v>0</v>
      </c>
      <c r="U35" s="2" t="n">
        <f aca="false">SUMIFS('Por foco'!$V$2:$V$579,'Por foco'!$A$2:$A$579,$A35,'Por foco'!$B$2:$B$579,$B35)</f>
        <v>0</v>
      </c>
      <c r="V35" s="2" t="n">
        <f aca="false">SUMIFS('Por foco'!$W$2:$W$579,'Por foco'!$A$2:$A$579,$A35,'Por foco'!$B$2:$B$579,$B35)</f>
        <v>0</v>
      </c>
      <c r="W35" s="2" t="n">
        <f aca="false">SUMIFS('Por foco'!$X$2:$X$579,'Por foco'!$A$2:$A$579,$A35,'Por foco'!$B$2:$B$579,$B35)</f>
        <v>2</v>
      </c>
    </row>
    <row r="36" customFormat="false" ht="15" hidden="false" customHeight="false" outlineLevel="0" collapsed="false">
      <c r="A36" s="2" t="s">
        <v>30</v>
      </c>
      <c r="B36" s="2" t="s">
        <v>74</v>
      </c>
      <c r="C36" s="2" t="n">
        <f aca="false">COUNTIFS('Por foco'!$A$2:$A$579,$A36,'Por foco'!$B$2:$B$579,$B36)</f>
        <v>6</v>
      </c>
      <c r="D36" s="2" t="n">
        <f aca="false">SUMIFS('Por foco'!$E$2:$E$579,'Por foco'!$A$2:$A$579,$A36,'Por foco'!$B$2:$B$579,$B36)</f>
        <v>420</v>
      </c>
      <c r="E36" s="2" t="n">
        <f aca="false">SUMIFS('Por foco'!$F$2:$F$579,'Por foco'!$A$2:$A$579,$A36,'Por foco'!$B$2:$B$579,$B36)</f>
        <v>100</v>
      </c>
      <c r="F36" s="2" t="n">
        <f aca="false">SUMIFS('Por foco'!$G$2:$G$579,'Por foco'!$A$2:$A$579,$A36,'Por foco'!$B$2:$B$579,$B36)</f>
        <v>0</v>
      </c>
      <c r="G36" s="2" t="n">
        <f aca="false">SUMIFS('Por foco'!$H$2:$H$579,'Por foco'!$A$2:$A$579,$A36,'Por foco'!$B$2:$B$579,$B36)</f>
        <v>0</v>
      </c>
      <c r="H36" s="2" t="n">
        <f aca="false">SUMIFS('Por foco'!$I$2:$I$579,'Por foco'!$A$2:$A$579,$A36,'Por foco'!$B$2:$B$579,$B36)</f>
        <v>0</v>
      </c>
      <c r="I36" s="2" t="n">
        <f aca="false">SUMIFS('Por foco'!$J$2:$J$579,'Por foco'!$A$2:$A$579,$A36,'Por foco'!$B$2:$B$579,$B36)</f>
        <v>0</v>
      </c>
      <c r="J36" s="2" t="n">
        <f aca="false">SUMIFS('Por foco'!$K$2:$K$579,'Por foco'!$A$2:$A$579,$A36,'Por foco'!$B$2:$B$579,$B36)</f>
        <v>25</v>
      </c>
      <c r="K36" s="2" t="n">
        <f aca="false">SUMIFS('Por foco'!$L$2:$L$579,'Por foco'!$A$2:$A$579,$A36,'Por foco'!$B$2:$B$579,$B36)</f>
        <v>0</v>
      </c>
      <c r="L36" s="2" t="n">
        <f aca="false">SUMIFS('Por foco'!$M$2:$M$579,'Por foco'!$A$2:$A$579,$A36,'Por foco'!$B$2:$B$579,$B36)</f>
        <v>0</v>
      </c>
      <c r="M36" s="2" t="n">
        <f aca="false">SUMIFS('Por foco'!$N$2:$N$579,'Por foco'!$A$2:$A$579,$A36,'Por foco'!$B$2:$B$579,$B36)</f>
        <v>0</v>
      </c>
      <c r="N36" s="2" t="n">
        <f aca="false">SUMIFS('Por foco'!$O$2:$O$579,'Por foco'!$A$2:$A$579,$A36,'Por foco'!$B$2:$B$579,$B36)</f>
        <v>0</v>
      </c>
      <c r="O36" s="2" t="n">
        <f aca="false">SUMIFS('Por foco'!$P$2:$P$579,'Por foco'!$A$2:$A$579,$A36,'Por foco'!$B$2:$B$579,$B36)</f>
        <v>3</v>
      </c>
      <c r="P36" s="2" t="n">
        <f aca="false">SUMIFS('Por foco'!$Q$2:$Q$579,'Por foco'!$A$2:$A$579,$A36,'Por foco'!$B$2:$B$579,$B36)</f>
        <v>3</v>
      </c>
      <c r="Q36" s="2" t="n">
        <f aca="false">SUMIFS('Por foco'!$R$2:$R$579,'Por foco'!$A$2:$A$579,$A36,'Por foco'!$B$2:$B$579,$B36)</f>
        <v>0</v>
      </c>
      <c r="R36" s="2" t="n">
        <f aca="false">SUMIFS('Por foco'!$S$2:$S$579,'Por foco'!$A$2:$A$579,$A36,'Por foco'!$B$2:$B$579,$B36)</f>
        <v>0</v>
      </c>
      <c r="S36" s="2" t="n">
        <f aca="false">SUMIFS('Por foco'!$T$2:$T$579,'Por foco'!$A$2:$A$579,$A36,'Por foco'!$B$2:$B$579,$B36)</f>
        <v>0</v>
      </c>
      <c r="T36" s="2" t="n">
        <f aca="false">SUMIFS('Por foco'!$U$2:$U$579,'Por foco'!$A$2:$A$579,$A36,'Por foco'!$B$2:$B$579,$B36)</f>
        <v>0</v>
      </c>
      <c r="U36" s="2" t="n">
        <f aca="false">SUMIFS('Por foco'!$V$2:$V$579,'Por foco'!$A$2:$A$579,$A36,'Por foco'!$B$2:$B$579,$B36)</f>
        <v>0</v>
      </c>
      <c r="V36" s="2" t="n">
        <f aca="false">SUMIFS('Por foco'!$W$2:$W$579,'Por foco'!$A$2:$A$579,$A36,'Por foco'!$B$2:$B$579,$B36)</f>
        <v>0</v>
      </c>
      <c r="W36" s="2" t="n">
        <f aca="false">SUMIFS('Por foco'!$X$2:$X$579,'Por foco'!$A$2:$A$579,$A36,'Por foco'!$B$2:$B$579,$B36)</f>
        <v>2</v>
      </c>
    </row>
    <row r="37" customFormat="false" ht="15" hidden="false" customHeight="false" outlineLevel="0" collapsed="false">
      <c r="A37" s="2" t="s">
        <v>30</v>
      </c>
      <c r="B37" s="2" t="s">
        <v>75</v>
      </c>
      <c r="C37" s="2" t="n">
        <f aca="false">COUNTIFS('Por foco'!$A$2:$A$579,$A37,'Por foco'!$B$2:$B$579,$B37)</f>
        <v>6</v>
      </c>
      <c r="D37" s="2" t="n">
        <f aca="false">SUMIFS('Por foco'!$E$2:$E$579,'Por foco'!$A$2:$A$579,$A37,'Por foco'!$B$2:$B$579,$B37)</f>
        <v>399</v>
      </c>
      <c r="E37" s="2" t="n">
        <f aca="false">SUMIFS('Por foco'!$F$2:$F$579,'Por foco'!$A$2:$A$579,$A37,'Por foco'!$B$2:$B$579,$B37)</f>
        <v>0</v>
      </c>
      <c r="F37" s="2" t="n">
        <f aca="false">SUMIFS('Por foco'!$G$2:$G$579,'Por foco'!$A$2:$A$579,$A37,'Por foco'!$B$2:$B$579,$B37)</f>
        <v>0</v>
      </c>
      <c r="G37" s="2" t="n">
        <f aca="false">SUMIFS('Por foco'!$H$2:$H$579,'Por foco'!$A$2:$A$579,$A37,'Por foco'!$B$2:$B$579,$B37)</f>
        <v>0</v>
      </c>
      <c r="H37" s="2" t="n">
        <f aca="false">SUMIFS('Por foco'!$I$2:$I$579,'Por foco'!$A$2:$A$579,$A37,'Por foco'!$B$2:$B$579,$B37)</f>
        <v>0</v>
      </c>
      <c r="I37" s="2" t="n">
        <f aca="false">SUMIFS('Por foco'!$J$2:$J$579,'Por foco'!$A$2:$A$579,$A37,'Por foco'!$B$2:$B$579,$B37)</f>
        <v>0</v>
      </c>
      <c r="J37" s="2" t="n">
        <f aca="false">SUMIFS('Por foco'!$K$2:$K$579,'Por foco'!$A$2:$A$579,$A37,'Por foco'!$B$2:$B$579,$B37)</f>
        <v>0</v>
      </c>
      <c r="K37" s="2" t="n">
        <f aca="false">SUMIFS('Por foco'!$L$2:$L$579,'Por foco'!$A$2:$A$579,$A37,'Por foco'!$B$2:$B$579,$B37)</f>
        <v>0</v>
      </c>
      <c r="L37" s="2" t="n">
        <f aca="false">SUMIFS('Por foco'!$M$2:$M$579,'Por foco'!$A$2:$A$579,$A37,'Por foco'!$B$2:$B$579,$B37)</f>
        <v>1</v>
      </c>
      <c r="M37" s="2" t="n">
        <f aca="false">SUMIFS('Por foco'!$N$2:$N$579,'Por foco'!$A$2:$A$579,$A37,'Por foco'!$B$2:$B$579,$B37)</f>
        <v>1</v>
      </c>
      <c r="N37" s="2" t="n">
        <f aca="false">SUMIFS('Por foco'!$O$2:$O$579,'Por foco'!$A$2:$A$579,$A37,'Por foco'!$B$2:$B$579,$B37)</f>
        <v>2</v>
      </c>
      <c r="O37" s="2" t="n">
        <f aca="false">SUMIFS('Por foco'!$P$2:$P$579,'Por foco'!$A$2:$A$579,$A37,'Por foco'!$B$2:$B$579,$B37)</f>
        <v>0</v>
      </c>
      <c r="P37" s="2" t="n">
        <f aca="false">SUMIFS('Por foco'!$Q$2:$Q$579,'Por foco'!$A$2:$A$579,$A37,'Por foco'!$B$2:$B$579,$B37)</f>
        <v>4</v>
      </c>
      <c r="Q37" s="2" t="n">
        <f aca="false">SUMIFS('Por foco'!$R$2:$R$579,'Por foco'!$A$2:$A$579,$A37,'Por foco'!$B$2:$B$579,$B37)</f>
        <v>1</v>
      </c>
      <c r="R37" s="2" t="n">
        <f aca="false">SUMIFS('Por foco'!$S$2:$S$579,'Por foco'!$A$2:$A$579,$A37,'Por foco'!$B$2:$B$579,$B37)</f>
        <v>0</v>
      </c>
      <c r="S37" s="2" t="n">
        <f aca="false">SUMIFS('Por foco'!$T$2:$T$579,'Por foco'!$A$2:$A$579,$A37,'Por foco'!$B$2:$B$579,$B37)</f>
        <v>0</v>
      </c>
      <c r="T37" s="2" t="n">
        <f aca="false">SUMIFS('Por foco'!$U$2:$U$579,'Por foco'!$A$2:$A$579,$A37,'Por foco'!$B$2:$B$579,$B37)</f>
        <v>0</v>
      </c>
      <c r="U37" s="2" t="n">
        <f aca="false">SUMIFS('Por foco'!$V$2:$V$579,'Por foco'!$A$2:$A$579,$A37,'Por foco'!$B$2:$B$579,$B37)</f>
        <v>0</v>
      </c>
      <c r="V37" s="2" t="n">
        <f aca="false">SUMIFS('Por foco'!$W$2:$W$579,'Por foco'!$A$2:$A$579,$A37,'Por foco'!$B$2:$B$579,$B37)</f>
        <v>0</v>
      </c>
      <c r="W37" s="2" t="n">
        <f aca="false">SUMIFS('Por foco'!$X$2:$X$579,'Por foco'!$A$2:$A$579,$A37,'Por foco'!$B$2:$B$579,$B37)</f>
        <v>1</v>
      </c>
    </row>
    <row r="38" customFormat="false" ht="15" hidden="false" customHeight="false" outlineLevel="0" collapsed="false">
      <c r="A38" s="2" t="s">
        <v>30</v>
      </c>
      <c r="B38" s="2" t="s">
        <v>76</v>
      </c>
      <c r="C38" s="2" t="n">
        <f aca="false">COUNTIFS('Por foco'!$A$2:$A$579,$A38,'Por foco'!$B$2:$B$579,$B38)</f>
        <v>6</v>
      </c>
      <c r="D38" s="2" t="n">
        <f aca="false">SUMIFS('Por foco'!$E$2:$E$579,'Por foco'!$A$2:$A$579,$A38,'Por foco'!$B$2:$B$579,$B38)</f>
        <v>343</v>
      </c>
      <c r="E38" s="2" t="n">
        <f aca="false">SUMIFS('Por foco'!$F$2:$F$579,'Por foco'!$A$2:$A$579,$A38,'Por foco'!$B$2:$B$579,$B38)</f>
        <v>0</v>
      </c>
      <c r="F38" s="2" t="n">
        <f aca="false">SUMIFS('Por foco'!$G$2:$G$579,'Por foco'!$A$2:$A$579,$A38,'Por foco'!$B$2:$B$579,$B38)</f>
        <v>0</v>
      </c>
      <c r="G38" s="2" t="n">
        <f aca="false">SUMIFS('Por foco'!$H$2:$H$579,'Por foco'!$A$2:$A$579,$A38,'Por foco'!$B$2:$B$579,$B38)</f>
        <v>0</v>
      </c>
      <c r="H38" s="2" t="n">
        <f aca="false">SUMIFS('Por foco'!$I$2:$I$579,'Por foco'!$A$2:$A$579,$A38,'Por foco'!$B$2:$B$579,$B38)</f>
        <v>75000</v>
      </c>
      <c r="I38" s="2" t="n">
        <f aca="false">SUMIFS('Por foco'!$J$2:$J$579,'Por foco'!$A$2:$A$579,$A38,'Por foco'!$B$2:$B$579,$B38)</f>
        <v>125</v>
      </c>
      <c r="J38" s="2" t="n">
        <f aca="false">SUMIFS('Por foco'!$K$2:$K$579,'Por foco'!$A$2:$A$579,$A38,'Por foco'!$B$2:$B$579,$B38)</f>
        <v>25</v>
      </c>
      <c r="K38" s="2" t="n">
        <f aca="false">SUMIFS('Por foco'!$L$2:$L$579,'Por foco'!$A$2:$A$579,$A38,'Por foco'!$B$2:$B$579,$B38)</f>
        <v>0</v>
      </c>
      <c r="L38" s="2" t="n">
        <f aca="false">SUMIFS('Por foco'!$M$2:$M$579,'Por foco'!$A$2:$A$579,$A38,'Por foco'!$B$2:$B$579,$B38)</f>
        <v>0</v>
      </c>
      <c r="M38" s="2" t="n">
        <f aca="false">SUMIFS('Por foco'!$N$2:$N$579,'Por foco'!$A$2:$A$579,$A38,'Por foco'!$B$2:$B$579,$B38)</f>
        <v>2</v>
      </c>
      <c r="N38" s="2" t="n">
        <f aca="false">SUMIFS('Por foco'!$O$2:$O$579,'Por foco'!$A$2:$A$579,$A38,'Por foco'!$B$2:$B$579,$B38)</f>
        <v>0</v>
      </c>
      <c r="O38" s="2" t="n">
        <f aca="false">SUMIFS('Por foco'!$P$2:$P$579,'Por foco'!$A$2:$A$579,$A38,'Por foco'!$B$2:$B$579,$B38)</f>
        <v>0</v>
      </c>
      <c r="P38" s="2" t="n">
        <f aca="false">SUMIFS('Por foco'!$Q$2:$Q$579,'Por foco'!$A$2:$A$579,$A38,'Por foco'!$B$2:$B$579,$B38)</f>
        <v>0</v>
      </c>
      <c r="Q38" s="2" t="n">
        <f aca="false">SUMIFS('Por foco'!$R$2:$R$579,'Por foco'!$A$2:$A$579,$A38,'Por foco'!$B$2:$B$579,$B38)</f>
        <v>0</v>
      </c>
      <c r="R38" s="2" t="n">
        <f aca="false">SUMIFS('Por foco'!$S$2:$S$579,'Por foco'!$A$2:$A$579,$A38,'Por foco'!$B$2:$B$579,$B38)</f>
        <v>0</v>
      </c>
      <c r="S38" s="2" t="n">
        <f aca="false">SUMIFS('Por foco'!$T$2:$T$579,'Por foco'!$A$2:$A$579,$A38,'Por foco'!$B$2:$B$579,$B38)</f>
        <v>0</v>
      </c>
      <c r="T38" s="2" t="n">
        <f aca="false">SUMIFS('Por foco'!$U$2:$U$579,'Por foco'!$A$2:$A$579,$A38,'Por foco'!$B$2:$B$579,$B38)</f>
        <v>0</v>
      </c>
      <c r="U38" s="2" t="n">
        <f aca="false">SUMIFS('Por foco'!$V$2:$V$579,'Por foco'!$A$2:$A$579,$A38,'Por foco'!$B$2:$B$579,$B38)</f>
        <v>0</v>
      </c>
      <c r="V38" s="2" t="n">
        <f aca="false">SUMIFS('Por foco'!$W$2:$W$579,'Por foco'!$A$2:$A$579,$A38,'Por foco'!$B$2:$B$579,$B38)</f>
        <v>0</v>
      </c>
      <c r="W38" s="2" t="n">
        <f aca="false">SUMIFS('Por foco'!$X$2:$X$579,'Por foco'!$A$2:$A$579,$A38,'Por foco'!$B$2:$B$579,$B38)</f>
        <v>1</v>
      </c>
    </row>
    <row r="39" customFormat="false" ht="15" hidden="false" customHeight="false" outlineLevel="0" collapsed="false">
      <c r="A39" s="2" t="s">
        <v>30</v>
      </c>
      <c r="B39" s="2" t="s">
        <v>77</v>
      </c>
      <c r="C39" s="2" t="n">
        <f aca="false">COUNTIFS('Por foco'!$A$2:$A$579,$A39,'Por foco'!$B$2:$B$579,$B39)</f>
        <v>6</v>
      </c>
      <c r="D39" s="2" t="n">
        <f aca="false">SUMIFS('Por foco'!$E$2:$E$579,'Por foco'!$A$2:$A$579,$A39,'Por foco'!$B$2:$B$579,$B39)</f>
        <v>378</v>
      </c>
      <c r="E39" s="2" t="n">
        <f aca="false">SUMIFS('Por foco'!$F$2:$F$579,'Por foco'!$A$2:$A$579,$A39,'Por foco'!$B$2:$B$579,$B39)</f>
        <v>50</v>
      </c>
      <c r="F39" s="2" t="n">
        <f aca="false">SUMIFS('Por foco'!$G$2:$G$579,'Por foco'!$A$2:$A$579,$A39,'Por foco'!$B$2:$B$579,$B39)</f>
        <v>0</v>
      </c>
      <c r="G39" s="2" t="n">
        <f aca="false">SUMIFS('Por foco'!$H$2:$H$579,'Por foco'!$A$2:$A$579,$A39,'Por foco'!$B$2:$B$579,$B39)</f>
        <v>0</v>
      </c>
      <c r="H39" s="2" t="n">
        <f aca="false">SUMIFS('Por foco'!$I$2:$I$579,'Por foco'!$A$2:$A$579,$A39,'Por foco'!$B$2:$B$579,$B39)</f>
        <v>0</v>
      </c>
      <c r="I39" s="2" t="n">
        <f aca="false">SUMIFS('Por foco'!$J$2:$J$579,'Por foco'!$A$2:$A$579,$A39,'Por foco'!$B$2:$B$579,$B39)</f>
        <v>0</v>
      </c>
      <c r="J39" s="2" t="n">
        <f aca="false">SUMIFS('Por foco'!$K$2:$K$579,'Por foco'!$A$2:$A$579,$A39,'Por foco'!$B$2:$B$579,$B39)</f>
        <v>50</v>
      </c>
      <c r="K39" s="2" t="n">
        <f aca="false">SUMIFS('Por foco'!$L$2:$L$579,'Por foco'!$A$2:$A$579,$A39,'Por foco'!$B$2:$B$579,$B39)</f>
        <v>0</v>
      </c>
      <c r="L39" s="2" t="n">
        <f aca="false">SUMIFS('Por foco'!$M$2:$M$579,'Por foco'!$A$2:$A$579,$A39,'Por foco'!$B$2:$B$579,$B39)</f>
        <v>0</v>
      </c>
      <c r="M39" s="2" t="n">
        <f aca="false">SUMIFS('Por foco'!$N$2:$N$579,'Por foco'!$A$2:$A$579,$A39,'Por foco'!$B$2:$B$579,$B39)</f>
        <v>3</v>
      </c>
      <c r="N39" s="2" t="n">
        <f aca="false">SUMIFS('Por foco'!$O$2:$O$579,'Por foco'!$A$2:$A$579,$A39,'Por foco'!$B$2:$B$579,$B39)</f>
        <v>0</v>
      </c>
      <c r="O39" s="2" t="n">
        <f aca="false">SUMIFS('Por foco'!$P$2:$P$579,'Por foco'!$A$2:$A$579,$A39,'Por foco'!$B$2:$B$579,$B39)</f>
        <v>0</v>
      </c>
      <c r="P39" s="2" t="n">
        <f aca="false">SUMIFS('Por foco'!$Q$2:$Q$579,'Por foco'!$A$2:$A$579,$A39,'Por foco'!$B$2:$B$579,$B39)</f>
        <v>3</v>
      </c>
      <c r="Q39" s="2" t="n">
        <f aca="false">SUMIFS('Por foco'!$R$2:$R$579,'Por foco'!$A$2:$A$579,$A39,'Por foco'!$B$2:$B$579,$B39)</f>
        <v>0</v>
      </c>
      <c r="R39" s="2" t="n">
        <f aca="false">SUMIFS('Por foco'!$S$2:$S$579,'Por foco'!$A$2:$A$579,$A39,'Por foco'!$B$2:$B$579,$B39)</f>
        <v>0</v>
      </c>
      <c r="S39" s="2" t="n">
        <f aca="false">SUMIFS('Por foco'!$T$2:$T$579,'Por foco'!$A$2:$A$579,$A39,'Por foco'!$B$2:$B$579,$B39)</f>
        <v>0</v>
      </c>
      <c r="T39" s="2" t="n">
        <f aca="false">SUMIFS('Por foco'!$U$2:$U$579,'Por foco'!$A$2:$A$579,$A39,'Por foco'!$B$2:$B$579,$B39)</f>
        <v>0</v>
      </c>
      <c r="U39" s="2" t="n">
        <f aca="false">SUMIFS('Por foco'!$V$2:$V$579,'Por foco'!$A$2:$A$579,$A39,'Por foco'!$B$2:$B$579,$B39)</f>
        <v>80</v>
      </c>
      <c r="V39" s="2" t="n">
        <f aca="false">SUMIFS('Por foco'!$W$2:$W$579,'Por foco'!$A$2:$A$579,$A39,'Por foco'!$B$2:$B$579,$B39)</f>
        <v>0</v>
      </c>
      <c r="W39" s="2" t="n">
        <f aca="false">SUMIFS('Por foco'!$X$2:$X$579,'Por foco'!$A$2:$A$579,$A39,'Por foco'!$B$2:$B$579,$B39)</f>
        <v>1</v>
      </c>
    </row>
    <row r="40" customFormat="false" ht="15" hidden="false" customHeight="false" outlineLevel="0" collapsed="false">
      <c r="A40" s="2" t="s">
        <v>30</v>
      </c>
      <c r="B40" s="2" t="s">
        <v>78</v>
      </c>
      <c r="C40" s="2" t="n">
        <f aca="false">COUNTIFS('Por foco'!$A$2:$A$579,$A40,'Por foco'!$B$2:$B$579,$B40)</f>
        <v>13</v>
      </c>
      <c r="D40" s="2" t="n">
        <f aca="false">SUMIFS('Por foco'!$E$2:$E$579,'Por foco'!$A$2:$A$579,$A40,'Por foco'!$B$2:$B$579,$B40)</f>
        <v>826</v>
      </c>
      <c r="E40" s="2" t="n">
        <f aca="false">SUMIFS('Por foco'!$F$2:$F$579,'Por foco'!$A$2:$A$579,$A40,'Por foco'!$B$2:$B$579,$B40)</f>
        <v>800</v>
      </c>
      <c r="F40" s="2" t="n">
        <f aca="false">SUMIFS('Por foco'!$G$2:$G$579,'Por foco'!$A$2:$A$579,$A40,'Por foco'!$B$2:$B$579,$B40)</f>
        <v>0</v>
      </c>
      <c r="G40" s="2" t="n">
        <f aca="false">SUMIFS('Por foco'!$H$2:$H$579,'Por foco'!$A$2:$A$579,$A40,'Por foco'!$B$2:$B$579,$B40)</f>
        <v>0</v>
      </c>
      <c r="H40" s="2" t="n">
        <f aca="false">SUMIFS('Por foco'!$I$2:$I$579,'Por foco'!$A$2:$A$579,$A40,'Por foco'!$B$2:$B$579,$B40)</f>
        <v>0</v>
      </c>
      <c r="I40" s="2" t="n">
        <f aca="false">SUMIFS('Por foco'!$J$2:$J$579,'Por foco'!$A$2:$A$579,$A40,'Por foco'!$B$2:$B$579,$B40)</f>
        <v>0</v>
      </c>
      <c r="J40" s="2" t="n">
        <f aca="false">SUMIFS('Por foco'!$K$2:$K$579,'Por foco'!$A$2:$A$579,$A40,'Por foco'!$B$2:$B$579,$B40)</f>
        <v>130</v>
      </c>
      <c r="K40" s="2" t="n">
        <f aca="false">SUMIFS('Por foco'!$L$2:$L$579,'Por foco'!$A$2:$A$579,$A40,'Por foco'!$B$2:$B$579,$B40)</f>
        <v>0</v>
      </c>
      <c r="L40" s="2" t="n">
        <f aca="false">SUMIFS('Por foco'!$M$2:$M$579,'Por foco'!$A$2:$A$579,$A40,'Por foco'!$B$2:$B$579,$B40)</f>
        <v>1</v>
      </c>
      <c r="M40" s="2" t="n">
        <f aca="false">SUMIFS('Por foco'!$N$2:$N$579,'Por foco'!$A$2:$A$579,$A40,'Por foco'!$B$2:$B$579,$B40)</f>
        <v>0</v>
      </c>
      <c r="N40" s="2" t="n">
        <f aca="false">SUMIFS('Por foco'!$O$2:$O$579,'Por foco'!$A$2:$A$579,$A40,'Por foco'!$B$2:$B$579,$B40)</f>
        <v>0</v>
      </c>
      <c r="O40" s="2" t="n">
        <f aca="false">SUMIFS('Por foco'!$P$2:$P$579,'Por foco'!$A$2:$A$579,$A40,'Por foco'!$B$2:$B$579,$B40)</f>
        <v>0</v>
      </c>
      <c r="P40" s="2" t="n">
        <f aca="false">SUMIFS('Por foco'!$Q$2:$Q$579,'Por foco'!$A$2:$A$579,$A40,'Por foco'!$B$2:$B$579,$B40)</f>
        <v>5</v>
      </c>
      <c r="Q40" s="2" t="n">
        <f aca="false">SUMIFS('Por foco'!$R$2:$R$579,'Por foco'!$A$2:$A$579,$A40,'Por foco'!$B$2:$B$579,$B40)</f>
        <v>6</v>
      </c>
      <c r="R40" s="2" t="n">
        <f aca="false">SUMIFS('Por foco'!$S$2:$S$579,'Por foco'!$A$2:$A$579,$A40,'Por foco'!$B$2:$B$579,$B40)</f>
        <v>3</v>
      </c>
      <c r="S40" s="2" t="n">
        <f aca="false">SUMIFS('Por foco'!$T$2:$T$579,'Por foco'!$A$2:$A$579,$A40,'Por foco'!$B$2:$B$579,$B40)</f>
        <v>0</v>
      </c>
      <c r="T40" s="2" t="n">
        <f aca="false">SUMIFS('Por foco'!$U$2:$U$579,'Por foco'!$A$2:$A$579,$A40,'Por foco'!$B$2:$B$579,$B40)</f>
        <v>0</v>
      </c>
      <c r="U40" s="2" t="n">
        <f aca="false">SUMIFS('Por foco'!$V$2:$V$579,'Por foco'!$A$2:$A$579,$A40,'Por foco'!$B$2:$B$579,$B40)</f>
        <v>0</v>
      </c>
      <c r="V40" s="2" t="n">
        <f aca="false">SUMIFS('Por foco'!$W$2:$W$579,'Por foco'!$A$2:$A$579,$A40,'Por foco'!$B$2:$B$579,$B40)</f>
        <v>4</v>
      </c>
      <c r="W40" s="2" t="n">
        <f aca="false">SUMIFS('Por foco'!$X$2:$X$579,'Por foco'!$A$2:$A$579,$A40,'Por foco'!$B$2:$B$579,$B40)</f>
        <v>3</v>
      </c>
    </row>
    <row r="41" customFormat="false" ht="15" hidden="false" customHeight="false" outlineLevel="0" collapsed="false">
      <c r="A41" s="2" t="s">
        <v>31</v>
      </c>
      <c r="B41" s="2" t="s">
        <v>79</v>
      </c>
      <c r="C41" s="2" t="n">
        <f aca="false">COUNTIFS('Por foco'!$A$2:$A$579,$A41,'Por foco'!$B$2:$B$579,$B41)</f>
        <v>10</v>
      </c>
      <c r="D41" s="2" t="n">
        <f aca="false">SUMIFS('Por foco'!$E$2:$E$579,'Por foco'!$A$2:$A$579,$A41,'Por foco'!$B$2:$B$579,$B41)</f>
        <v>658</v>
      </c>
      <c r="E41" s="2" t="n">
        <f aca="false">SUMIFS('Por foco'!$F$2:$F$579,'Por foco'!$A$2:$A$579,$A41,'Por foco'!$B$2:$B$579,$B41)</f>
        <v>400</v>
      </c>
      <c r="F41" s="2" t="n">
        <f aca="false">SUMIFS('Por foco'!$G$2:$G$579,'Por foco'!$A$2:$A$579,$A41,'Por foco'!$B$2:$B$579,$B41)</f>
        <v>8</v>
      </c>
      <c r="G41" s="2" t="n">
        <f aca="false">SUMIFS('Por foco'!$H$2:$H$579,'Por foco'!$A$2:$A$579,$A41,'Por foco'!$B$2:$B$579,$B41)</f>
        <v>0</v>
      </c>
      <c r="H41" s="2" t="n">
        <f aca="false">SUMIFS('Por foco'!$I$2:$I$579,'Por foco'!$A$2:$A$579,$A41,'Por foco'!$B$2:$B$579,$B41)</f>
        <v>0</v>
      </c>
      <c r="I41" s="2" t="n">
        <f aca="false">SUMIFS('Por foco'!$J$2:$J$579,'Por foco'!$A$2:$A$579,$A41,'Por foco'!$B$2:$B$579,$B41)</f>
        <v>0</v>
      </c>
      <c r="J41" s="2" t="n">
        <f aca="false">SUMIFS('Por foco'!$K$2:$K$579,'Por foco'!$A$2:$A$579,$A41,'Por foco'!$B$2:$B$579,$B41)</f>
        <v>0</v>
      </c>
      <c r="K41" s="2" t="n">
        <f aca="false">SUMIFS('Por foco'!$L$2:$L$579,'Por foco'!$A$2:$A$579,$A41,'Por foco'!$B$2:$B$579,$B41)</f>
        <v>0</v>
      </c>
      <c r="L41" s="2" t="n">
        <f aca="false">SUMIFS('Por foco'!$M$2:$M$579,'Por foco'!$A$2:$A$579,$A41,'Por foco'!$B$2:$B$579,$B41)</f>
        <v>1</v>
      </c>
      <c r="M41" s="2" t="n">
        <f aca="false">SUMIFS('Por foco'!$N$2:$N$579,'Por foco'!$A$2:$A$579,$A41,'Por foco'!$B$2:$B$579,$B41)</f>
        <v>1</v>
      </c>
      <c r="N41" s="2" t="n">
        <f aca="false">SUMIFS('Por foco'!$O$2:$O$579,'Por foco'!$A$2:$A$579,$A41,'Por foco'!$B$2:$B$579,$B41)</f>
        <v>0</v>
      </c>
      <c r="O41" s="2" t="n">
        <f aca="false">SUMIFS('Por foco'!$P$2:$P$579,'Por foco'!$A$2:$A$579,$A41,'Por foco'!$B$2:$B$579,$B41)</f>
        <v>0</v>
      </c>
      <c r="P41" s="2" t="n">
        <f aca="false">SUMIFS('Por foco'!$Q$2:$Q$579,'Por foco'!$A$2:$A$579,$A41,'Por foco'!$B$2:$B$579,$B41)</f>
        <v>0</v>
      </c>
      <c r="Q41" s="2" t="n">
        <f aca="false">SUMIFS('Por foco'!$R$2:$R$579,'Por foco'!$A$2:$A$579,$A41,'Por foco'!$B$2:$B$579,$B41)</f>
        <v>0</v>
      </c>
      <c r="R41" s="2" t="n">
        <f aca="false">SUMIFS('Por foco'!$S$2:$S$579,'Por foco'!$A$2:$A$579,$A41,'Por foco'!$B$2:$B$579,$B41)</f>
        <v>0</v>
      </c>
      <c r="S41" s="2" t="n">
        <f aca="false">SUMIFS('Por foco'!$T$2:$T$579,'Por foco'!$A$2:$A$579,$A41,'Por foco'!$B$2:$B$579,$B41)</f>
        <v>0</v>
      </c>
      <c r="T41" s="2" t="n">
        <f aca="false">SUMIFS('Por foco'!$U$2:$U$579,'Por foco'!$A$2:$A$579,$A41,'Por foco'!$B$2:$B$579,$B41)</f>
        <v>0</v>
      </c>
      <c r="U41" s="2" t="n">
        <f aca="false">SUMIFS('Por foco'!$V$2:$V$579,'Por foco'!$A$2:$A$579,$A41,'Por foco'!$B$2:$B$579,$B41)</f>
        <v>0</v>
      </c>
      <c r="V41" s="2" t="n">
        <f aca="false">SUMIFS('Por foco'!$W$2:$W$579,'Por foco'!$A$2:$A$579,$A41,'Por foco'!$B$2:$B$579,$B41)</f>
        <v>2</v>
      </c>
      <c r="W41" s="2" t="n">
        <f aca="false">SUMIFS('Por foco'!$X$2:$X$579,'Por foco'!$A$2:$A$579,$A41,'Por foco'!$B$2:$B$579,$B41)</f>
        <v>4</v>
      </c>
    </row>
    <row r="42" customFormat="false" ht="15" hidden="false" customHeight="false" outlineLevel="0" collapsed="false">
      <c r="A42" s="2" t="s">
        <v>31</v>
      </c>
      <c r="B42" s="2" t="s">
        <v>80</v>
      </c>
      <c r="C42" s="2" t="n">
        <f aca="false">COUNTIFS('Por foco'!$A$2:$A$579,$A42,'Por foco'!$B$2:$B$579,$B42)</f>
        <v>9</v>
      </c>
      <c r="D42" s="2" t="n">
        <f aca="false">SUMIFS('Por foco'!$E$2:$E$579,'Por foco'!$A$2:$A$579,$A42,'Por foco'!$B$2:$B$579,$B42)</f>
        <v>595</v>
      </c>
      <c r="E42" s="2" t="n">
        <f aca="false">SUMIFS('Por foco'!$F$2:$F$579,'Por foco'!$A$2:$A$579,$A42,'Por foco'!$B$2:$B$579,$B42)</f>
        <v>150</v>
      </c>
      <c r="F42" s="2" t="n">
        <f aca="false">SUMIFS('Por foco'!$G$2:$G$579,'Por foco'!$A$2:$A$579,$A42,'Por foco'!$B$2:$B$579,$B42)</f>
        <v>0</v>
      </c>
      <c r="G42" s="2" t="n">
        <f aca="false">SUMIFS('Por foco'!$H$2:$H$579,'Por foco'!$A$2:$A$579,$A42,'Por foco'!$B$2:$B$579,$B42)</f>
        <v>15</v>
      </c>
      <c r="H42" s="2" t="n">
        <f aca="false">SUMIFS('Por foco'!$I$2:$I$579,'Por foco'!$A$2:$A$579,$A42,'Por foco'!$B$2:$B$579,$B42)</f>
        <v>50000</v>
      </c>
      <c r="I42" s="2" t="n">
        <f aca="false">SUMIFS('Por foco'!$J$2:$J$579,'Por foco'!$A$2:$A$579,$A42,'Por foco'!$B$2:$B$579,$B42)</f>
        <v>75</v>
      </c>
      <c r="J42" s="2" t="n">
        <f aca="false">SUMIFS('Por foco'!$K$2:$K$579,'Por foco'!$A$2:$A$579,$A42,'Por foco'!$B$2:$B$579,$B42)</f>
        <v>0</v>
      </c>
      <c r="K42" s="2" t="n">
        <f aca="false">SUMIFS('Por foco'!$L$2:$L$579,'Por foco'!$A$2:$A$579,$A42,'Por foco'!$B$2:$B$579,$B42)</f>
        <v>0</v>
      </c>
      <c r="L42" s="2" t="n">
        <f aca="false">SUMIFS('Por foco'!$M$2:$M$579,'Por foco'!$A$2:$A$579,$A42,'Por foco'!$B$2:$B$579,$B42)</f>
        <v>1</v>
      </c>
      <c r="M42" s="2" t="n">
        <f aca="false">SUMIFS('Por foco'!$N$2:$N$579,'Por foco'!$A$2:$A$579,$A42,'Por foco'!$B$2:$B$579,$B42)</f>
        <v>0</v>
      </c>
      <c r="N42" s="2" t="n">
        <f aca="false">SUMIFS('Por foco'!$O$2:$O$579,'Por foco'!$A$2:$A$579,$A42,'Por foco'!$B$2:$B$579,$B42)</f>
        <v>0</v>
      </c>
      <c r="O42" s="2" t="n">
        <f aca="false">SUMIFS('Por foco'!$P$2:$P$579,'Por foco'!$A$2:$A$579,$A42,'Por foco'!$B$2:$B$579,$B42)</f>
        <v>0</v>
      </c>
      <c r="P42" s="2" t="n">
        <f aca="false">SUMIFS('Por foco'!$Q$2:$Q$579,'Por foco'!$A$2:$A$579,$A42,'Por foco'!$B$2:$B$579,$B42)</f>
        <v>0</v>
      </c>
      <c r="Q42" s="2" t="n">
        <f aca="false">SUMIFS('Por foco'!$R$2:$R$579,'Por foco'!$A$2:$A$579,$A42,'Por foco'!$B$2:$B$579,$B42)</f>
        <v>2</v>
      </c>
      <c r="R42" s="2" t="n">
        <f aca="false">SUMIFS('Por foco'!$S$2:$S$579,'Por foco'!$A$2:$A$579,$A42,'Por foco'!$B$2:$B$579,$B42)</f>
        <v>0</v>
      </c>
      <c r="S42" s="2" t="n">
        <f aca="false">SUMIFS('Por foco'!$T$2:$T$579,'Por foco'!$A$2:$A$579,$A42,'Por foco'!$B$2:$B$579,$B42)</f>
        <v>0</v>
      </c>
      <c r="T42" s="2" t="n">
        <f aca="false">SUMIFS('Por foco'!$U$2:$U$579,'Por foco'!$A$2:$A$579,$A42,'Por foco'!$B$2:$B$579,$B42)</f>
        <v>0</v>
      </c>
      <c r="U42" s="2" t="n">
        <f aca="false">SUMIFS('Por foco'!$V$2:$V$579,'Por foco'!$A$2:$A$579,$A42,'Por foco'!$B$2:$B$579,$B42)</f>
        <v>0</v>
      </c>
      <c r="V42" s="2" t="n">
        <f aca="false">SUMIFS('Por foco'!$W$2:$W$579,'Por foco'!$A$2:$A$579,$A42,'Por foco'!$B$2:$B$579,$B42)</f>
        <v>13</v>
      </c>
      <c r="W42" s="2" t="n">
        <f aca="false">SUMIFS('Por foco'!$X$2:$X$579,'Por foco'!$A$2:$A$579,$A42,'Por foco'!$B$2:$B$579,$B42)</f>
        <v>2</v>
      </c>
    </row>
    <row r="43" customFormat="false" ht="15" hidden="false" customHeight="false" outlineLevel="0" collapsed="false">
      <c r="A43" s="2" t="s">
        <v>31</v>
      </c>
      <c r="B43" s="2" t="s">
        <v>45</v>
      </c>
      <c r="C43" s="2" t="n">
        <f aca="false">COUNTIFS('Por foco'!$A$2:$A$579,$A43,'Por foco'!$B$2:$B$579,$B43)</f>
        <v>4</v>
      </c>
      <c r="D43" s="2" t="n">
        <f aca="false">SUMIFS('Por foco'!$E$2:$E$579,'Por foco'!$A$2:$A$579,$A43,'Por foco'!$B$2:$B$579,$B43)</f>
        <v>315</v>
      </c>
      <c r="E43" s="2" t="n">
        <f aca="false">SUMIFS('Por foco'!$F$2:$F$579,'Por foco'!$A$2:$A$579,$A43,'Por foco'!$B$2:$B$579,$B43)</f>
        <v>170</v>
      </c>
      <c r="F43" s="2" t="n">
        <f aca="false">SUMIFS('Por foco'!$G$2:$G$579,'Por foco'!$A$2:$A$579,$A43,'Por foco'!$B$2:$B$579,$B43)</f>
        <v>5</v>
      </c>
      <c r="G43" s="2" t="n">
        <f aca="false">SUMIFS('Por foco'!$H$2:$H$579,'Por foco'!$A$2:$A$579,$A43,'Por foco'!$B$2:$B$579,$B43)</f>
        <v>5</v>
      </c>
      <c r="H43" s="2" t="n">
        <f aca="false">SUMIFS('Por foco'!$I$2:$I$579,'Por foco'!$A$2:$A$579,$A43,'Por foco'!$B$2:$B$579,$B43)</f>
        <v>0</v>
      </c>
      <c r="I43" s="2" t="n">
        <f aca="false">SUMIFS('Por foco'!$J$2:$J$579,'Por foco'!$A$2:$A$579,$A43,'Por foco'!$B$2:$B$579,$B43)</f>
        <v>25</v>
      </c>
      <c r="J43" s="2" t="n">
        <f aca="false">SUMIFS('Por foco'!$K$2:$K$579,'Por foco'!$A$2:$A$579,$A43,'Por foco'!$B$2:$B$579,$B43)</f>
        <v>0</v>
      </c>
      <c r="K43" s="2" t="n">
        <f aca="false">SUMIFS('Por foco'!$L$2:$L$579,'Por foco'!$A$2:$A$579,$A43,'Por foco'!$B$2:$B$579,$B43)</f>
        <v>0</v>
      </c>
      <c r="L43" s="2" t="n">
        <f aca="false">SUMIFS('Por foco'!$M$2:$M$579,'Por foco'!$A$2:$A$579,$A43,'Por foco'!$B$2:$B$579,$B43)</f>
        <v>0</v>
      </c>
      <c r="M43" s="2" t="n">
        <f aca="false">SUMIFS('Por foco'!$N$2:$N$579,'Por foco'!$A$2:$A$579,$A43,'Por foco'!$B$2:$B$579,$B43)</f>
        <v>0</v>
      </c>
      <c r="N43" s="2" t="n">
        <f aca="false">SUMIFS('Por foco'!$O$2:$O$579,'Por foco'!$A$2:$A$579,$A43,'Por foco'!$B$2:$B$579,$B43)</f>
        <v>0</v>
      </c>
      <c r="O43" s="2" t="n">
        <f aca="false">SUMIFS('Por foco'!$P$2:$P$579,'Por foco'!$A$2:$A$579,$A43,'Por foco'!$B$2:$B$579,$B43)</f>
        <v>0</v>
      </c>
      <c r="P43" s="2" t="n">
        <f aca="false">SUMIFS('Por foco'!$Q$2:$Q$579,'Por foco'!$A$2:$A$579,$A43,'Por foco'!$B$2:$B$579,$B43)</f>
        <v>0</v>
      </c>
      <c r="Q43" s="2" t="n">
        <f aca="false">SUMIFS('Por foco'!$R$2:$R$579,'Por foco'!$A$2:$A$579,$A43,'Por foco'!$B$2:$B$579,$B43)</f>
        <v>0</v>
      </c>
      <c r="R43" s="2" t="n">
        <f aca="false">SUMIFS('Por foco'!$S$2:$S$579,'Por foco'!$A$2:$A$579,$A43,'Por foco'!$B$2:$B$579,$B43)</f>
        <v>0</v>
      </c>
      <c r="S43" s="2" t="n">
        <f aca="false">SUMIFS('Por foco'!$T$2:$T$579,'Por foco'!$A$2:$A$579,$A43,'Por foco'!$B$2:$B$579,$B43)</f>
        <v>0</v>
      </c>
      <c r="T43" s="2" t="n">
        <f aca="false">SUMIFS('Por foco'!$U$2:$U$579,'Por foco'!$A$2:$A$579,$A43,'Por foco'!$B$2:$B$579,$B43)</f>
        <v>0</v>
      </c>
      <c r="U43" s="2" t="n">
        <f aca="false">SUMIFS('Por foco'!$V$2:$V$579,'Por foco'!$A$2:$A$579,$A43,'Por foco'!$B$2:$B$579,$B43)</f>
        <v>0</v>
      </c>
      <c r="V43" s="2" t="n">
        <f aca="false">SUMIFS('Por foco'!$W$2:$W$579,'Por foco'!$A$2:$A$579,$A43,'Por foco'!$B$2:$B$579,$B43)</f>
        <v>7</v>
      </c>
      <c r="W43" s="2" t="n">
        <f aca="false">SUMIFS('Por foco'!$X$2:$X$579,'Por foco'!$A$2:$A$579,$A43,'Por foco'!$B$2:$B$579,$B43)</f>
        <v>1</v>
      </c>
    </row>
    <row r="44" customFormat="false" ht="15" hidden="false" customHeight="false" outlineLevel="0" collapsed="false">
      <c r="A44" s="2" t="s">
        <v>31</v>
      </c>
      <c r="B44" s="2" t="s">
        <v>81</v>
      </c>
      <c r="C44" s="2" t="n">
        <f aca="false">COUNTIFS('Por foco'!$A$2:$A$579,$A44,'Por foco'!$B$2:$B$579,$B44)</f>
        <v>7</v>
      </c>
      <c r="D44" s="2" t="n">
        <f aca="false">SUMIFS('Por foco'!$E$2:$E$579,'Por foco'!$A$2:$A$579,$A44,'Por foco'!$B$2:$B$579,$B44)</f>
        <v>469</v>
      </c>
      <c r="E44" s="2" t="n">
        <f aca="false">SUMIFS('Por foco'!$F$2:$F$579,'Por foco'!$A$2:$A$579,$A44,'Por foco'!$B$2:$B$579,$B44)</f>
        <v>100</v>
      </c>
      <c r="F44" s="2" t="n">
        <f aca="false">SUMIFS('Por foco'!$G$2:$G$579,'Por foco'!$A$2:$A$579,$A44,'Por foco'!$B$2:$B$579,$B44)</f>
        <v>10</v>
      </c>
      <c r="G44" s="2" t="n">
        <f aca="false">SUMIFS('Por foco'!$H$2:$H$579,'Por foco'!$A$2:$A$579,$A44,'Por foco'!$B$2:$B$579,$B44)</f>
        <v>0</v>
      </c>
      <c r="H44" s="2" t="n">
        <f aca="false">SUMIFS('Por foco'!$I$2:$I$579,'Por foco'!$A$2:$A$579,$A44,'Por foco'!$B$2:$B$579,$B44)</f>
        <v>0</v>
      </c>
      <c r="I44" s="2" t="n">
        <f aca="false">SUMIFS('Por foco'!$J$2:$J$579,'Por foco'!$A$2:$A$579,$A44,'Por foco'!$B$2:$B$579,$B44)</f>
        <v>0</v>
      </c>
      <c r="J44" s="2" t="n">
        <f aca="false">SUMIFS('Por foco'!$K$2:$K$579,'Por foco'!$A$2:$A$579,$A44,'Por foco'!$B$2:$B$579,$B44)</f>
        <v>0</v>
      </c>
      <c r="K44" s="2" t="n">
        <f aca="false">SUMIFS('Por foco'!$L$2:$L$579,'Por foco'!$A$2:$A$579,$A44,'Por foco'!$B$2:$B$579,$B44)</f>
        <v>0</v>
      </c>
      <c r="L44" s="2" t="n">
        <f aca="false">SUMIFS('Por foco'!$M$2:$M$579,'Por foco'!$A$2:$A$579,$A44,'Por foco'!$B$2:$B$579,$B44)</f>
        <v>0</v>
      </c>
      <c r="M44" s="2" t="n">
        <f aca="false">SUMIFS('Por foco'!$N$2:$N$579,'Por foco'!$A$2:$A$579,$A44,'Por foco'!$B$2:$B$579,$B44)</f>
        <v>0</v>
      </c>
      <c r="N44" s="2" t="n">
        <f aca="false">SUMIFS('Por foco'!$O$2:$O$579,'Por foco'!$A$2:$A$579,$A44,'Por foco'!$B$2:$B$579,$B44)</f>
        <v>5</v>
      </c>
      <c r="O44" s="2" t="n">
        <f aca="false">SUMIFS('Por foco'!$P$2:$P$579,'Por foco'!$A$2:$A$579,$A44,'Por foco'!$B$2:$B$579,$B44)</f>
        <v>0</v>
      </c>
      <c r="P44" s="2" t="n">
        <f aca="false">SUMIFS('Por foco'!$Q$2:$Q$579,'Por foco'!$A$2:$A$579,$A44,'Por foco'!$B$2:$B$579,$B44)</f>
        <v>0</v>
      </c>
      <c r="Q44" s="2" t="n">
        <f aca="false">SUMIFS('Por foco'!$R$2:$R$579,'Por foco'!$A$2:$A$579,$A44,'Por foco'!$B$2:$B$579,$B44)</f>
        <v>0</v>
      </c>
      <c r="R44" s="2" t="n">
        <f aca="false">SUMIFS('Por foco'!$S$2:$S$579,'Por foco'!$A$2:$A$579,$A44,'Por foco'!$B$2:$B$579,$B44)</f>
        <v>0</v>
      </c>
      <c r="S44" s="2" t="n">
        <f aca="false">SUMIFS('Por foco'!$T$2:$T$579,'Por foco'!$A$2:$A$579,$A44,'Por foco'!$B$2:$B$579,$B44)</f>
        <v>0</v>
      </c>
      <c r="T44" s="2" t="n">
        <f aca="false">SUMIFS('Por foco'!$U$2:$U$579,'Por foco'!$A$2:$A$579,$A44,'Por foco'!$B$2:$B$579,$B44)</f>
        <v>0</v>
      </c>
      <c r="U44" s="2" t="n">
        <f aca="false">SUMIFS('Por foco'!$V$2:$V$579,'Por foco'!$A$2:$A$579,$A44,'Por foco'!$B$2:$B$579,$B44)</f>
        <v>0</v>
      </c>
      <c r="V44" s="2" t="n">
        <f aca="false">SUMIFS('Por foco'!$W$2:$W$579,'Por foco'!$A$2:$A$579,$A44,'Por foco'!$B$2:$B$579,$B44)</f>
        <v>0</v>
      </c>
      <c r="W44" s="2" t="n">
        <f aca="false">SUMIFS('Por foco'!$X$2:$X$579,'Por foco'!$A$2:$A$579,$A44,'Por foco'!$B$2:$B$579,$B44)</f>
        <v>3</v>
      </c>
    </row>
    <row r="45" customFormat="false" ht="15" hidden="false" customHeight="false" outlineLevel="0" collapsed="false">
      <c r="A45" s="2" t="s">
        <v>31</v>
      </c>
      <c r="B45" s="2" t="s">
        <v>82</v>
      </c>
      <c r="C45" s="2" t="n">
        <f aca="false">COUNTIFS('Por foco'!$A$2:$A$579,$A45,'Por foco'!$B$2:$B$579,$B45)</f>
        <v>6</v>
      </c>
      <c r="D45" s="2" t="n">
        <f aca="false">SUMIFS('Por foco'!$E$2:$E$579,'Por foco'!$A$2:$A$579,$A45,'Por foco'!$B$2:$B$579,$B45)</f>
        <v>420</v>
      </c>
      <c r="E45" s="2" t="n">
        <f aca="false">SUMIFS('Por foco'!$F$2:$F$579,'Por foco'!$A$2:$A$579,$A45,'Por foco'!$B$2:$B$579,$B45)</f>
        <v>100</v>
      </c>
      <c r="F45" s="2" t="n">
        <f aca="false">SUMIFS('Por foco'!$G$2:$G$579,'Por foco'!$A$2:$A$579,$A45,'Por foco'!$B$2:$B$579,$B45)</f>
        <v>0</v>
      </c>
      <c r="G45" s="2" t="n">
        <f aca="false">SUMIFS('Por foco'!$H$2:$H$579,'Por foco'!$A$2:$A$579,$A45,'Por foco'!$B$2:$B$579,$B45)</f>
        <v>0</v>
      </c>
      <c r="H45" s="2" t="n">
        <f aca="false">SUMIFS('Por foco'!$I$2:$I$579,'Por foco'!$A$2:$A$579,$A45,'Por foco'!$B$2:$B$579,$B45)</f>
        <v>0</v>
      </c>
      <c r="I45" s="2" t="n">
        <f aca="false">SUMIFS('Por foco'!$J$2:$J$579,'Por foco'!$A$2:$A$579,$A45,'Por foco'!$B$2:$B$579,$B45)</f>
        <v>0</v>
      </c>
      <c r="J45" s="2" t="n">
        <f aca="false">SUMIFS('Por foco'!$K$2:$K$579,'Por foco'!$A$2:$A$579,$A45,'Por foco'!$B$2:$B$579,$B45)</f>
        <v>0</v>
      </c>
      <c r="K45" s="2" t="n">
        <f aca="false">SUMIFS('Por foco'!$L$2:$L$579,'Por foco'!$A$2:$A$579,$A45,'Por foco'!$B$2:$B$579,$B45)</f>
        <v>0</v>
      </c>
      <c r="L45" s="2" t="n">
        <f aca="false">SUMIFS('Por foco'!$M$2:$M$579,'Por foco'!$A$2:$A$579,$A45,'Por foco'!$B$2:$B$579,$B45)</f>
        <v>0</v>
      </c>
      <c r="M45" s="2" t="n">
        <f aca="false">SUMIFS('Por foco'!$N$2:$N$579,'Por foco'!$A$2:$A$579,$A45,'Por foco'!$B$2:$B$579,$B45)</f>
        <v>1</v>
      </c>
      <c r="N45" s="2" t="n">
        <f aca="false">SUMIFS('Por foco'!$O$2:$O$579,'Por foco'!$A$2:$A$579,$A45,'Por foco'!$B$2:$B$579,$B45)</f>
        <v>4</v>
      </c>
      <c r="O45" s="2" t="n">
        <f aca="false">SUMIFS('Por foco'!$P$2:$P$579,'Por foco'!$A$2:$A$579,$A45,'Por foco'!$B$2:$B$579,$B45)</f>
        <v>0</v>
      </c>
      <c r="P45" s="2" t="n">
        <f aca="false">SUMIFS('Por foco'!$Q$2:$Q$579,'Por foco'!$A$2:$A$579,$A45,'Por foco'!$B$2:$B$579,$B45)</f>
        <v>0</v>
      </c>
      <c r="Q45" s="2" t="n">
        <f aca="false">SUMIFS('Por foco'!$R$2:$R$579,'Por foco'!$A$2:$A$579,$A45,'Por foco'!$B$2:$B$579,$B45)</f>
        <v>0</v>
      </c>
      <c r="R45" s="2" t="n">
        <f aca="false">SUMIFS('Por foco'!$S$2:$S$579,'Por foco'!$A$2:$A$579,$A45,'Por foco'!$B$2:$B$579,$B45)</f>
        <v>0</v>
      </c>
      <c r="S45" s="2" t="n">
        <f aca="false">SUMIFS('Por foco'!$T$2:$T$579,'Por foco'!$A$2:$A$579,$A45,'Por foco'!$B$2:$B$579,$B45)</f>
        <v>0</v>
      </c>
      <c r="T45" s="2" t="n">
        <f aca="false">SUMIFS('Por foco'!$U$2:$U$579,'Por foco'!$A$2:$A$579,$A45,'Por foco'!$B$2:$B$579,$B45)</f>
        <v>0</v>
      </c>
      <c r="U45" s="2" t="n">
        <f aca="false">SUMIFS('Por foco'!$V$2:$V$579,'Por foco'!$A$2:$A$579,$A45,'Por foco'!$B$2:$B$579,$B45)</f>
        <v>0</v>
      </c>
      <c r="V45" s="2" t="n">
        <f aca="false">SUMIFS('Por foco'!$W$2:$W$579,'Por foco'!$A$2:$A$579,$A45,'Por foco'!$B$2:$B$579,$B45)</f>
        <v>0</v>
      </c>
      <c r="W45" s="2" t="n">
        <f aca="false">SUMIFS('Por foco'!$X$2:$X$579,'Por foco'!$A$2:$A$579,$A45,'Por foco'!$B$2:$B$579,$B45)</f>
        <v>3</v>
      </c>
    </row>
    <row r="46" customFormat="false" ht="15" hidden="false" customHeight="false" outlineLevel="0" collapsed="false">
      <c r="A46" s="2" t="s">
        <v>31</v>
      </c>
      <c r="B46" s="2" t="s">
        <v>83</v>
      </c>
      <c r="C46" s="2" t="n">
        <f aca="false">COUNTIFS('Por foco'!$A$2:$A$579,$A46,'Por foco'!$B$2:$B$579,$B46)</f>
        <v>6</v>
      </c>
      <c r="D46" s="2" t="n">
        <f aca="false">SUMIFS('Por foco'!$E$2:$E$579,'Por foco'!$A$2:$A$579,$A46,'Por foco'!$B$2:$B$579,$B46)</f>
        <v>364</v>
      </c>
      <c r="E46" s="2" t="n">
        <f aca="false">SUMIFS('Por foco'!$F$2:$F$579,'Por foco'!$A$2:$A$579,$A46,'Por foco'!$B$2:$B$579,$B46)</f>
        <v>0</v>
      </c>
      <c r="F46" s="2" t="n">
        <f aca="false">SUMIFS('Por foco'!$G$2:$G$579,'Por foco'!$A$2:$A$579,$A46,'Por foco'!$B$2:$B$579,$B46)</f>
        <v>0</v>
      </c>
      <c r="G46" s="2" t="n">
        <f aca="false">SUMIFS('Por foco'!$H$2:$H$579,'Por foco'!$A$2:$A$579,$A46,'Por foco'!$B$2:$B$579,$B46)</f>
        <v>0</v>
      </c>
      <c r="H46" s="2" t="n">
        <f aca="false">SUMIFS('Por foco'!$I$2:$I$579,'Por foco'!$A$2:$A$579,$A46,'Por foco'!$B$2:$B$579,$B46)</f>
        <v>0</v>
      </c>
      <c r="I46" s="2" t="n">
        <f aca="false">SUMIFS('Por foco'!$J$2:$J$579,'Por foco'!$A$2:$A$579,$A46,'Por foco'!$B$2:$B$579,$B46)</f>
        <v>0</v>
      </c>
      <c r="J46" s="2" t="n">
        <f aca="false">SUMIFS('Por foco'!$K$2:$K$579,'Por foco'!$A$2:$A$579,$A46,'Por foco'!$B$2:$B$579,$B46)</f>
        <v>0</v>
      </c>
      <c r="K46" s="2" t="n">
        <f aca="false">SUMIFS('Por foco'!$L$2:$L$579,'Por foco'!$A$2:$A$579,$A46,'Por foco'!$B$2:$B$579,$B46)</f>
        <v>0</v>
      </c>
      <c r="L46" s="2" t="n">
        <f aca="false">SUMIFS('Por foco'!$M$2:$M$579,'Por foco'!$A$2:$A$579,$A46,'Por foco'!$B$2:$B$579,$B46)</f>
        <v>1</v>
      </c>
      <c r="M46" s="2" t="n">
        <f aca="false">SUMIFS('Por foco'!$N$2:$N$579,'Por foco'!$A$2:$A$579,$A46,'Por foco'!$B$2:$B$579,$B46)</f>
        <v>1</v>
      </c>
      <c r="N46" s="2" t="n">
        <f aca="false">SUMIFS('Por foco'!$O$2:$O$579,'Por foco'!$A$2:$A$579,$A46,'Por foco'!$B$2:$B$579,$B46)</f>
        <v>4</v>
      </c>
      <c r="O46" s="2" t="n">
        <f aca="false">SUMIFS('Por foco'!$P$2:$P$579,'Por foco'!$A$2:$A$579,$A46,'Por foco'!$B$2:$B$579,$B46)</f>
        <v>2</v>
      </c>
      <c r="P46" s="2" t="n">
        <f aca="false">SUMIFS('Por foco'!$Q$2:$Q$579,'Por foco'!$A$2:$A$579,$A46,'Por foco'!$B$2:$B$579,$B46)</f>
        <v>2</v>
      </c>
      <c r="Q46" s="2" t="n">
        <f aca="false">SUMIFS('Por foco'!$R$2:$R$579,'Por foco'!$A$2:$A$579,$A46,'Por foco'!$B$2:$B$579,$B46)</f>
        <v>0</v>
      </c>
      <c r="R46" s="2" t="n">
        <f aca="false">SUMIFS('Por foco'!$S$2:$S$579,'Por foco'!$A$2:$A$579,$A46,'Por foco'!$B$2:$B$579,$B46)</f>
        <v>0</v>
      </c>
      <c r="S46" s="2" t="n">
        <f aca="false">SUMIFS('Por foco'!$T$2:$T$579,'Por foco'!$A$2:$A$579,$A46,'Por foco'!$B$2:$B$579,$B46)</f>
        <v>0</v>
      </c>
      <c r="T46" s="2" t="n">
        <f aca="false">SUMIFS('Por foco'!$U$2:$U$579,'Por foco'!$A$2:$A$579,$A46,'Por foco'!$B$2:$B$579,$B46)</f>
        <v>0</v>
      </c>
      <c r="U46" s="2" t="n">
        <f aca="false">SUMIFS('Por foco'!$V$2:$V$579,'Por foco'!$A$2:$A$579,$A46,'Por foco'!$B$2:$B$579,$B46)</f>
        <v>0</v>
      </c>
      <c r="V46" s="2" t="n">
        <f aca="false">SUMIFS('Por foco'!$W$2:$W$579,'Por foco'!$A$2:$A$579,$A46,'Por foco'!$B$2:$B$579,$B46)</f>
        <v>0</v>
      </c>
      <c r="W46" s="2" t="n">
        <f aca="false">SUMIFS('Por foco'!$X$2:$X$579,'Por foco'!$A$2:$A$579,$A46,'Por foco'!$B$2:$B$579,$B46)</f>
        <v>1</v>
      </c>
    </row>
    <row r="47" customFormat="false" ht="15" hidden="false" customHeight="false" outlineLevel="0" collapsed="false">
      <c r="A47" s="2" t="s">
        <v>31</v>
      </c>
      <c r="B47" s="2" t="s">
        <v>84</v>
      </c>
      <c r="C47" s="2" t="n">
        <f aca="false">COUNTIFS('Por foco'!$A$2:$A$579,$A47,'Por foco'!$B$2:$B$579,$B47)</f>
        <v>6</v>
      </c>
      <c r="D47" s="2" t="n">
        <f aca="false">SUMIFS('Por foco'!$E$2:$E$579,'Por foco'!$A$2:$A$579,$A47,'Por foco'!$B$2:$B$579,$B47)</f>
        <v>357</v>
      </c>
      <c r="E47" s="2" t="n">
        <f aca="false">SUMIFS('Por foco'!$F$2:$F$579,'Por foco'!$A$2:$A$579,$A47,'Por foco'!$B$2:$B$579,$B47)</f>
        <v>0</v>
      </c>
      <c r="F47" s="2" t="n">
        <f aca="false">SUMIFS('Por foco'!$G$2:$G$579,'Por foco'!$A$2:$A$579,$A47,'Por foco'!$B$2:$B$579,$B47)</f>
        <v>0</v>
      </c>
      <c r="G47" s="2" t="n">
        <f aca="false">SUMIFS('Por foco'!$H$2:$H$579,'Por foco'!$A$2:$A$579,$A47,'Por foco'!$B$2:$B$579,$B47)</f>
        <v>0</v>
      </c>
      <c r="H47" s="2" t="n">
        <f aca="false">SUMIFS('Por foco'!$I$2:$I$579,'Por foco'!$A$2:$A$579,$A47,'Por foco'!$B$2:$B$579,$B47)</f>
        <v>30000</v>
      </c>
      <c r="I47" s="2" t="n">
        <f aca="false">SUMIFS('Por foco'!$J$2:$J$579,'Por foco'!$A$2:$A$579,$A47,'Por foco'!$B$2:$B$579,$B47)</f>
        <v>225</v>
      </c>
      <c r="J47" s="2" t="n">
        <f aca="false">SUMIFS('Por foco'!$K$2:$K$579,'Por foco'!$A$2:$A$579,$A47,'Por foco'!$B$2:$B$579,$B47)</f>
        <v>0</v>
      </c>
      <c r="K47" s="2" t="n">
        <f aca="false">SUMIFS('Por foco'!$L$2:$L$579,'Por foco'!$A$2:$A$579,$A47,'Por foco'!$B$2:$B$579,$B47)</f>
        <v>0</v>
      </c>
      <c r="L47" s="2" t="n">
        <f aca="false">SUMIFS('Por foco'!$M$2:$M$579,'Por foco'!$A$2:$A$579,$A47,'Por foco'!$B$2:$B$579,$B47)</f>
        <v>0</v>
      </c>
      <c r="M47" s="2" t="n">
        <f aca="false">SUMIFS('Por foco'!$N$2:$N$579,'Por foco'!$A$2:$A$579,$A47,'Por foco'!$B$2:$B$579,$B47)</f>
        <v>5</v>
      </c>
      <c r="N47" s="2" t="n">
        <f aca="false">SUMIFS('Por foco'!$O$2:$O$579,'Por foco'!$A$2:$A$579,$A47,'Por foco'!$B$2:$B$579,$B47)</f>
        <v>0</v>
      </c>
      <c r="O47" s="2" t="n">
        <f aca="false">SUMIFS('Por foco'!$P$2:$P$579,'Por foco'!$A$2:$A$579,$A47,'Por foco'!$B$2:$B$579,$B47)</f>
        <v>0</v>
      </c>
      <c r="P47" s="2" t="n">
        <f aca="false">SUMIFS('Por foco'!$Q$2:$Q$579,'Por foco'!$A$2:$A$579,$A47,'Por foco'!$B$2:$B$579,$B47)</f>
        <v>0</v>
      </c>
      <c r="Q47" s="2" t="n">
        <f aca="false">SUMIFS('Por foco'!$R$2:$R$579,'Por foco'!$A$2:$A$579,$A47,'Por foco'!$B$2:$B$579,$B47)</f>
        <v>0</v>
      </c>
      <c r="R47" s="2" t="n">
        <f aca="false">SUMIFS('Por foco'!$S$2:$S$579,'Por foco'!$A$2:$A$579,$A47,'Por foco'!$B$2:$B$579,$B47)</f>
        <v>0</v>
      </c>
      <c r="S47" s="2" t="n">
        <f aca="false">SUMIFS('Por foco'!$T$2:$T$579,'Por foco'!$A$2:$A$579,$A47,'Por foco'!$B$2:$B$579,$B47)</f>
        <v>0</v>
      </c>
      <c r="T47" s="2" t="n">
        <f aca="false">SUMIFS('Por foco'!$U$2:$U$579,'Por foco'!$A$2:$A$579,$A47,'Por foco'!$B$2:$B$579,$B47)</f>
        <v>0</v>
      </c>
      <c r="U47" s="2" t="n">
        <f aca="false">SUMIFS('Por foco'!$V$2:$V$579,'Por foco'!$A$2:$A$579,$A47,'Por foco'!$B$2:$B$579,$B47)</f>
        <v>0</v>
      </c>
      <c r="V47" s="2" t="n">
        <f aca="false">SUMIFS('Por foco'!$W$2:$W$579,'Por foco'!$A$2:$A$579,$A47,'Por foco'!$B$2:$B$579,$B47)</f>
        <v>0</v>
      </c>
      <c r="W47" s="2" t="n">
        <f aca="false">SUMIFS('Por foco'!$X$2:$X$579,'Por foco'!$A$2:$A$579,$A47,'Por foco'!$B$2:$B$579,$B47)</f>
        <v>2</v>
      </c>
    </row>
    <row r="48" customFormat="false" ht="15" hidden="false" customHeight="false" outlineLevel="0" collapsed="false">
      <c r="A48" s="2" t="s">
        <v>31</v>
      </c>
      <c r="B48" s="2" t="s">
        <v>85</v>
      </c>
      <c r="C48" s="2" t="n">
        <f aca="false">COUNTIFS('Por foco'!$A$2:$A$579,$A48,'Por foco'!$B$2:$B$579,$B48)</f>
        <v>6</v>
      </c>
      <c r="D48" s="2" t="n">
        <f aca="false">SUMIFS('Por foco'!$E$2:$E$579,'Por foco'!$A$2:$A$579,$A48,'Por foco'!$B$2:$B$579,$B48)</f>
        <v>343</v>
      </c>
      <c r="E48" s="2" t="n">
        <f aca="false">SUMIFS('Por foco'!$F$2:$F$579,'Por foco'!$A$2:$A$579,$A48,'Por foco'!$B$2:$B$579,$B48)</f>
        <v>50</v>
      </c>
      <c r="F48" s="2" t="n">
        <f aca="false">SUMIFS('Por foco'!$G$2:$G$579,'Por foco'!$A$2:$A$579,$A48,'Por foco'!$B$2:$B$579,$B48)</f>
        <v>0</v>
      </c>
      <c r="G48" s="2" t="n">
        <f aca="false">SUMIFS('Por foco'!$H$2:$H$579,'Por foco'!$A$2:$A$579,$A48,'Por foco'!$B$2:$B$579,$B48)</f>
        <v>0</v>
      </c>
      <c r="H48" s="2" t="n">
        <f aca="false">SUMIFS('Por foco'!$I$2:$I$579,'Por foco'!$A$2:$A$579,$A48,'Por foco'!$B$2:$B$579,$B48)</f>
        <v>0</v>
      </c>
      <c r="I48" s="2" t="n">
        <f aca="false">SUMIFS('Por foco'!$J$2:$J$579,'Por foco'!$A$2:$A$579,$A48,'Por foco'!$B$2:$B$579,$B48)</f>
        <v>0</v>
      </c>
      <c r="J48" s="2" t="n">
        <f aca="false">SUMIFS('Por foco'!$K$2:$K$579,'Por foco'!$A$2:$A$579,$A48,'Por foco'!$B$2:$B$579,$B48)</f>
        <v>25</v>
      </c>
      <c r="K48" s="2" t="n">
        <f aca="false">SUMIFS('Por foco'!$L$2:$L$579,'Por foco'!$A$2:$A$579,$A48,'Por foco'!$B$2:$B$579,$B48)</f>
        <v>50</v>
      </c>
      <c r="L48" s="2" t="n">
        <f aca="false">SUMIFS('Por foco'!$M$2:$M$579,'Por foco'!$A$2:$A$579,$A48,'Por foco'!$B$2:$B$579,$B48)</f>
        <v>0</v>
      </c>
      <c r="M48" s="2" t="n">
        <f aca="false">SUMIFS('Por foco'!$N$2:$N$579,'Por foco'!$A$2:$A$579,$A48,'Por foco'!$B$2:$B$579,$B48)</f>
        <v>7</v>
      </c>
      <c r="N48" s="2" t="n">
        <f aca="false">SUMIFS('Por foco'!$O$2:$O$579,'Por foco'!$A$2:$A$579,$A48,'Por foco'!$B$2:$B$579,$B48)</f>
        <v>0</v>
      </c>
      <c r="O48" s="2" t="n">
        <f aca="false">SUMIFS('Por foco'!$P$2:$P$579,'Por foco'!$A$2:$A$579,$A48,'Por foco'!$B$2:$B$579,$B48)</f>
        <v>0</v>
      </c>
      <c r="P48" s="2" t="n">
        <f aca="false">SUMIFS('Por foco'!$Q$2:$Q$579,'Por foco'!$A$2:$A$579,$A48,'Por foco'!$B$2:$B$579,$B48)</f>
        <v>2</v>
      </c>
      <c r="Q48" s="2" t="n">
        <f aca="false">SUMIFS('Por foco'!$R$2:$R$579,'Por foco'!$A$2:$A$579,$A48,'Por foco'!$B$2:$B$579,$B48)</f>
        <v>0</v>
      </c>
      <c r="R48" s="2" t="n">
        <f aca="false">SUMIFS('Por foco'!$S$2:$S$579,'Por foco'!$A$2:$A$579,$A48,'Por foco'!$B$2:$B$579,$B48)</f>
        <v>5</v>
      </c>
      <c r="S48" s="2" t="n">
        <f aca="false">SUMIFS('Por foco'!$T$2:$T$579,'Por foco'!$A$2:$A$579,$A48,'Por foco'!$B$2:$B$579,$B48)</f>
        <v>0</v>
      </c>
      <c r="T48" s="2" t="n">
        <f aca="false">SUMIFS('Por foco'!$U$2:$U$579,'Por foco'!$A$2:$A$579,$A48,'Por foco'!$B$2:$B$579,$B48)</f>
        <v>0</v>
      </c>
      <c r="U48" s="2" t="n">
        <f aca="false">SUMIFS('Por foco'!$V$2:$V$579,'Por foco'!$A$2:$A$579,$A48,'Por foco'!$B$2:$B$579,$B48)</f>
        <v>300</v>
      </c>
      <c r="V48" s="2" t="n">
        <f aca="false">SUMIFS('Por foco'!$W$2:$W$579,'Por foco'!$A$2:$A$579,$A48,'Por foco'!$B$2:$B$579,$B48)</f>
        <v>0</v>
      </c>
      <c r="W48" s="2" t="n">
        <f aca="false">SUMIFS('Por foco'!$X$2:$X$579,'Por foco'!$A$2:$A$579,$A48,'Por foco'!$B$2:$B$579,$B48)</f>
        <v>2</v>
      </c>
    </row>
    <row r="49" customFormat="false" ht="15" hidden="false" customHeight="false" outlineLevel="0" collapsed="false">
      <c r="A49" s="2" t="s">
        <v>31</v>
      </c>
      <c r="B49" s="2" t="s">
        <v>86</v>
      </c>
      <c r="C49" s="2" t="n">
        <f aca="false">COUNTIFS('Por foco'!$A$2:$A$579,$A49,'Por foco'!$B$2:$B$579,$B49)</f>
        <v>8</v>
      </c>
      <c r="D49" s="2" t="n">
        <f aca="false">SUMIFS('Por foco'!$E$2:$E$579,'Por foco'!$A$2:$A$579,$A49,'Por foco'!$B$2:$B$579,$B49)</f>
        <v>483</v>
      </c>
      <c r="E49" s="2" t="n">
        <f aca="false">SUMIFS('Por foco'!$F$2:$F$579,'Por foco'!$A$2:$A$579,$A49,'Por foco'!$B$2:$B$579,$B49)</f>
        <v>150</v>
      </c>
      <c r="F49" s="2" t="n">
        <f aca="false">SUMIFS('Por foco'!$G$2:$G$579,'Por foco'!$A$2:$A$579,$A49,'Por foco'!$B$2:$B$579,$B49)</f>
        <v>5</v>
      </c>
      <c r="G49" s="2" t="n">
        <f aca="false">SUMIFS('Por foco'!$H$2:$H$579,'Por foco'!$A$2:$A$579,$A49,'Por foco'!$B$2:$B$579,$B49)</f>
        <v>0</v>
      </c>
      <c r="H49" s="2" t="n">
        <f aca="false">SUMIFS('Por foco'!$I$2:$I$579,'Por foco'!$A$2:$A$579,$A49,'Por foco'!$B$2:$B$579,$B49)</f>
        <v>0</v>
      </c>
      <c r="I49" s="2" t="n">
        <f aca="false">SUMIFS('Por foco'!$J$2:$J$579,'Por foco'!$A$2:$A$579,$A49,'Por foco'!$B$2:$B$579,$B49)</f>
        <v>0</v>
      </c>
      <c r="J49" s="2" t="n">
        <f aca="false">SUMIFS('Por foco'!$K$2:$K$579,'Por foco'!$A$2:$A$579,$A49,'Por foco'!$B$2:$B$579,$B49)</f>
        <v>0</v>
      </c>
      <c r="K49" s="2" t="n">
        <f aca="false">SUMIFS('Por foco'!$L$2:$L$579,'Por foco'!$A$2:$A$579,$A49,'Por foco'!$B$2:$B$579,$B49)</f>
        <v>0</v>
      </c>
      <c r="L49" s="2" t="n">
        <f aca="false">SUMIFS('Por foco'!$M$2:$M$579,'Por foco'!$A$2:$A$579,$A49,'Por foco'!$B$2:$B$579,$B49)</f>
        <v>1</v>
      </c>
      <c r="M49" s="2" t="n">
        <f aca="false">SUMIFS('Por foco'!$N$2:$N$579,'Por foco'!$A$2:$A$579,$A49,'Por foco'!$B$2:$B$579,$B49)</f>
        <v>0</v>
      </c>
      <c r="N49" s="2" t="n">
        <f aca="false">SUMIFS('Por foco'!$O$2:$O$579,'Por foco'!$A$2:$A$579,$A49,'Por foco'!$B$2:$B$579,$B49)</f>
        <v>2</v>
      </c>
      <c r="O49" s="2" t="n">
        <f aca="false">SUMIFS('Por foco'!$P$2:$P$579,'Por foco'!$A$2:$A$579,$A49,'Por foco'!$B$2:$B$579,$B49)</f>
        <v>0</v>
      </c>
      <c r="P49" s="2" t="n">
        <f aca="false">SUMIFS('Por foco'!$Q$2:$Q$579,'Por foco'!$A$2:$A$579,$A49,'Por foco'!$B$2:$B$579,$B49)</f>
        <v>0</v>
      </c>
      <c r="Q49" s="2" t="n">
        <f aca="false">SUMIFS('Por foco'!$R$2:$R$579,'Por foco'!$A$2:$A$579,$A49,'Por foco'!$B$2:$B$579,$B49)</f>
        <v>0</v>
      </c>
      <c r="R49" s="2" t="n">
        <f aca="false">SUMIFS('Por foco'!$S$2:$S$579,'Por foco'!$A$2:$A$579,$A49,'Por foco'!$B$2:$B$579,$B49)</f>
        <v>0</v>
      </c>
      <c r="S49" s="2" t="n">
        <f aca="false">SUMIFS('Por foco'!$T$2:$T$579,'Por foco'!$A$2:$A$579,$A49,'Por foco'!$B$2:$B$579,$B49)</f>
        <v>0</v>
      </c>
      <c r="T49" s="2" t="n">
        <f aca="false">SUMIFS('Por foco'!$U$2:$U$579,'Por foco'!$A$2:$A$579,$A49,'Por foco'!$B$2:$B$579,$B49)</f>
        <v>0</v>
      </c>
      <c r="U49" s="2" t="n">
        <f aca="false">SUMIFS('Por foco'!$V$2:$V$579,'Por foco'!$A$2:$A$579,$A49,'Por foco'!$B$2:$B$579,$B49)</f>
        <v>0</v>
      </c>
      <c r="V49" s="2" t="n">
        <f aca="false">SUMIFS('Por foco'!$W$2:$W$579,'Por foco'!$A$2:$A$579,$A49,'Por foco'!$B$2:$B$579,$B49)</f>
        <v>0</v>
      </c>
      <c r="W49" s="2" t="n">
        <f aca="false">SUMIFS('Por foco'!$X$2:$X$579,'Por foco'!$A$2:$A$579,$A49,'Por foco'!$B$2:$B$579,$B49)</f>
        <v>0</v>
      </c>
    </row>
    <row r="50" customFormat="false" ht="15" hidden="false" customHeight="false" outlineLevel="0" collapsed="false">
      <c r="A50" s="2" t="s">
        <v>31</v>
      </c>
      <c r="B50" s="2" t="s">
        <v>87</v>
      </c>
      <c r="C50" s="2" t="n">
        <f aca="false">COUNTIFS('Por foco'!$A$2:$A$579,$A50,'Por foco'!$B$2:$B$579,$B50)</f>
        <v>6</v>
      </c>
      <c r="D50" s="2" t="n">
        <f aca="false">SUMIFS('Por foco'!$E$2:$E$579,'Por foco'!$A$2:$A$579,$A50,'Por foco'!$B$2:$B$579,$B50)</f>
        <v>413</v>
      </c>
      <c r="E50" s="2" t="n">
        <f aca="false">SUMIFS('Por foco'!$F$2:$F$579,'Por foco'!$A$2:$A$579,$A50,'Por foco'!$B$2:$B$579,$B50)</f>
        <v>50</v>
      </c>
      <c r="F50" s="2" t="n">
        <f aca="false">SUMIFS('Por foco'!$G$2:$G$579,'Por foco'!$A$2:$A$579,$A50,'Por foco'!$B$2:$B$579,$B50)</f>
        <v>10</v>
      </c>
      <c r="G50" s="2" t="n">
        <f aca="false">SUMIFS('Por foco'!$H$2:$H$579,'Por foco'!$A$2:$A$579,$A50,'Por foco'!$B$2:$B$579,$B50)</f>
        <v>5</v>
      </c>
      <c r="H50" s="2" t="n">
        <f aca="false">SUMIFS('Por foco'!$I$2:$I$579,'Por foco'!$A$2:$A$579,$A50,'Por foco'!$B$2:$B$579,$B50)</f>
        <v>0</v>
      </c>
      <c r="I50" s="2" t="n">
        <f aca="false">SUMIFS('Por foco'!$J$2:$J$579,'Por foco'!$A$2:$A$579,$A50,'Por foco'!$B$2:$B$579,$B50)</f>
        <v>0</v>
      </c>
      <c r="J50" s="2" t="n">
        <f aca="false">SUMIFS('Por foco'!$K$2:$K$579,'Por foco'!$A$2:$A$579,$A50,'Por foco'!$B$2:$B$579,$B50)</f>
        <v>0</v>
      </c>
      <c r="K50" s="2" t="n">
        <f aca="false">SUMIFS('Por foco'!$L$2:$L$579,'Por foco'!$A$2:$A$579,$A50,'Por foco'!$B$2:$B$579,$B50)</f>
        <v>0</v>
      </c>
      <c r="L50" s="2" t="n">
        <f aca="false">SUMIFS('Por foco'!$M$2:$M$579,'Por foco'!$A$2:$A$579,$A50,'Por foco'!$B$2:$B$579,$B50)</f>
        <v>0</v>
      </c>
      <c r="M50" s="2" t="n">
        <f aca="false">SUMIFS('Por foco'!$N$2:$N$579,'Por foco'!$A$2:$A$579,$A50,'Por foco'!$B$2:$B$579,$B50)</f>
        <v>1</v>
      </c>
      <c r="N50" s="2" t="n">
        <f aca="false">SUMIFS('Por foco'!$O$2:$O$579,'Por foco'!$A$2:$A$579,$A50,'Por foco'!$B$2:$B$579,$B50)</f>
        <v>1</v>
      </c>
      <c r="O50" s="2" t="n">
        <f aca="false">SUMIFS('Por foco'!$P$2:$P$579,'Por foco'!$A$2:$A$579,$A50,'Por foco'!$B$2:$B$579,$B50)</f>
        <v>0</v>
      </c>
      <c r="P50" s="2" t="n">
        <f aca="false">SUMIFS('Por foco'!$Q$2:$Q$579,'Por foco'!$A$2:$A$579,$A50,'Por foco'!$B$2:$B$579,$B50)</f>
        <v>0</v>
      </c>
      <c r="Q50" s="2" t="n">
        <f aca="false">SUMIFS('Por foco'!$R$2:$R$579,'Por foco'!$A$2:$A$579,$A50,'Por foco'!$B$2:$B$579,$B50)</f>
        <v>0</v>
      </c>
      <c r="R50" s="2" t="n">
        <f aca="false">SUMIFS('Por foco'!$S$2:$S$579,'Por foco'!$A$2:$A$579,$A50,'Por foco'!$B$2:$B$579,$B50)</f>
        <v>0</v>
      </c>
      <c r="S50" s="2" t="n">
        <f aca="false">SUMIFS('Por foco'!$T$2:$T$579,'Por foco'!$A$2:$A$579,$A50,'Por foco'!$B$2:$B$579,$B50)</f>
        <v>0</v>
      </c>
      <c r="T50" s="2" t="n">
        <f aca="false">SUMIFS('Por foco'!$U$2:$U$579,'Por foco'!$A$2:$A$579,$A50,'Por foco'!$B$2:$B$579,$B50)</f>
        <v>0</v>
      </c>
      <c r="U50" s="2" t="n">
        <f aca="false">SUMIFS('Por foco'!$V$2:$V$579,'Por foco'!$A$2:$A$579,$A50,'Por foco'!$B$2:$B$579,$B50)</f>
        <v>0</v>
      </c>
      <c r="V50" s="2" t="n">
        <f aca="false">SUMIFS('Por foco'!$W$2:$W$579,'Por foco'!$A$2:$A$579,$A50,'Por foco'!$B$2:$B$579,$B50)</f>
        <v>0</v>
      </c>
      <c r="W50" s="2" t="n">
        <f aca="false">SUMIFS('Por foco'!$X$2:$X$579,'Por foco'!$A$2:$A$579,$A50,'Por foco'!$B$2:$B$579,$B50)</f>
        <v>2</v>
      </c>
    </row>
    <row r="51" customFormat="false" ht="15" hidden="false" customHeight="false" outlineLevel="0" collapsed="false">
      <c r="A51" s="2" t="s">
        <v>32</v>
      </c>
      <c r="B51" s="2" t="s">
        <v>88</v>
      </c>
      <c r="C51" s="2" t="n">
        <f aca="false">COUNTIFS('Por foco'!$A$2:$A$579,$A51,'Por foco'!$B$2:$B$579,$B51)</f>
        <v>9</v>
      </c>
      <c r="D51" s="2" t="n">
        <f aca="false">SUMIFS('Por foco'!$E$2:$E$579,'Por foco'!$A$2:$A$579,$A51,'Por foco'!$B$2:$B$579,$B51)</f>
        <v>560</v>
      </c>
      <c r="E51" s="2" t="n">
        <f aca="false">SUMIFS('Por foco'!$F$2:$F$579,'Por foco'!$A$2:$A$579,$A51,'Por foco'!$B$2:$B$579,$B51)</f>
        <v>400</v>
      </c>
      <c r="F51" s="2" t="n">
        <f aca="false">SUMIFS('Por foco'!$G$2:$G$579,'Por foco'!$A$2:$A$579,$A51,'Por foco'!$B$2:$B$579,$B51)</f>
        <v>3</v>
      </c>
      <c r="G51" s="2" t="n">
        <f aca="false">SUMIFS('Por foco'!$H$2:$H$579,'Por foco'!$A$2:$A$579,$A51,'Por foco'!$B$2:$B$579,$B51)</f>
        <v>0</v>
      </c>
      <c r="H51" s="2" t="n">
        <f aca="false">SUMIFS('Por foco'!$I$2:$I$579,'Por foco'!$A$2:$A$579,$A51,'Por foco'!$B$2:$B$579,$B51)</f>
        <v>0</v>
      </c>
      <c r="I51" s="2" t="n">
        <f aca="false">SUMIFS('Por foco'!$J$2:$J$579,'Por foco'!$A$2:$A$579,$A51,'Por foco'!$B$2:$B$579,$B51)</f>
        <v>0</v>
      </c>
      <c r="J51" s="2" t="n">
        <f aca="false">SUMIFS('Por foco'!$K$2:$K$579,'Por foco'!$A$2:$A$579,$A51,'Por foco'!$B$2:$B$579,$B51)</f>
        <v>0</v>
      </c>
      <c r="K51" s="2" t="n">
        <f aca="false">SUMIFS('Por foco'!$L$2:$L$579,'Por foco'!$A$2:$A$579,$A51,'Por foco'!$B$2:$B$579,$B51)</f>
        <v>0</v>
      </c>
      <c r="L51" s="2" t="n">
        <f aca="false">SUMIFS('Por foco'!$M$2:$M$579,'Por foco'!$A$2:$A$579,$A51,'Por foco'!$B$2:$B$579,$B51)</f>
        <v>1</v>
      </c>
      <c r="M51" s="2" t="n">
        <f aca="false">SUMIFS('Por foco'!$N$2:$N$579,'Por foco'!$A$2:$A$579,$A51,'Por foco'!$B$2:$B$579,$B51)</f>
        <v>0</v>
      </c>
      <c r="N51" s="2" t="n">
        <f aca="false">SUMIFS('Por foco'!$O$2:$O$579,'Por foco'!$A$2:$A$579,$A51,'Por foco'!$B$2:$B$579,$B51)</f>
        <v>0</v>
      </c>
      <c r="O51" s="2" t="n">
        <f aca="false">SUMIFS('Por foco'!$P$2:$P$579,'Por foco'!$A$2:$A$579,$A51,'Por foco'!$B$2:$B$579,$B51)</f>
        <v>0</v>
      </c>
      <c r="P51" s="2" t="n">
        <f aca="false">SUMIFS('Por foco'!$Q$2:$Q$579,'Por foco'!$A$2:$A$579,$A51,'Por foco'!$B$2:$B$579,$B51)</f>
        <v>0</v>
      </c>
      <c r="Q51" s="2" t="n">
        <f aca="false">SUMIFS('Por foco'!$R$2:$R$579,'Por foco'!$A$2:$A$579,$A51,'Por foco'!$B$2:$B$579,$B51)</f>
        <v>0</v>
      </c>
      <c r="R51" s="2" t="n">
        <f aca="false">SUMIFS('Por foco'!$S$2:$S$579,'Por foco'!$A$2:$A$579,$A51,'Por foco'!$B$2:$B$579,$B51)</f>
        <v>0</v>
      </c>
      <c r="S51" s="2" t="n">
        <f aca="false">SUMIFS('Por foco'!$T$2:$T$579,'Por foco'!$A$2:$A$579,$A51,'Por foco'!$B$2:$B$579,$B51)</f>
        <v>0</v>
      </c>
      <c r="T51" s="2" t="n">
        <f aca="false">SUMIFS('Por foco'!$U$2:$U$579,'Por foco'!$A$2:$A$579,$A51,'Por foco'!$B$2:$B$579,$B51)</f>
        <v>0</v>
      </c>
      <c r="U51" s="2" t="n">
        <f aca="false">SUMIFS('Por foco'!$V$2:$V$579,'Por foco'!$A$2:$A$579,$A51,'Por foco'!$B$2:$B$579,$B51)</f>
        <v>0</v>
      </c>
      <c r="V51" s="2" t="n">
        <f aca="false">SUMIFS('Por foco'!$W$2:$W$579,'Por foco'!$A$2:$A$579,$A51,'Por foco'!$B$2:$B$579,$B51)</f>
        <v>2</v>
      </c>
      <c r="W51" s="2" t="n">
        <f aca="false">SUMIFS('Por foco'!$X$2:$X$579,'Por foco'!$A$2:$A$579,$A51,'Por foco'!$B$2:$B$579,$B51)</f>
        <v>3</v>
      </c>
    </row>
    <row r="52" customFormat="false" ht="15" hidden="false" customHeight="false" outlineLevel="0" collapsed="false">
      <c r="A52" s="2" t="s">
        <v>32</v>
      </c>
      <c r="B52" s="2" t="s">
        <v>89</v>
      </c>
      <c r="C52" s="2" t="n">
        <f aca="false">COUNTIFS('Por foco'!$A$2:$A$579,$A52,'Por foco'!$B$2:$B$579,$B52)</f>
        <v>7</v>
      </c>
      <c r="D52" s="2" t="n">
        <f aca="false">SUMIFS('Por foco'!$E$2:$E$579,'Por foco'!$A$2:$A$579,$A52,'Por foco'!$B$2:$B$579,$B52)</f>
        <v>448</v>
      </c>
      <c r="E52" s="2" t="n">
        <f aca="false">SUMIFS('Por foco'!$F$2:$F$579,'Por foco'!$A$2:$A$579,$A52,'Por foco'!$B$2:$B$579,$B52)</f>
        <v>0</v>
      </c>
      <c r="F52" s="2" t="n">
        <f aca="false">SUMIFS('Por foco'!$G$2:$G$579,'Por foco'!$A$2:$A$579,$A52,'Por foco'!$B$2:$B$579,$B52)</f>
        <v>0</v>
      </c>
      <c r="G52" s="2" t="n">
        <f aca="false">SUMIFS('Por foco'!$H$2:$H$579,'Por foco'!$A$2:$A$579,$A52,'Por foco'!$B$2:$B$579,$B52)</f>
        <v>10</v>
      </c>
      <c r="H52" s="2" t="n">
        <f aca="false">SUMIFS('Por foco'!$I$2:$I$579,'Por foco'!$A$2:$A$579,$A52,'Por foco'!$B$2:$B$579,$B52)</f>
        <v>200000</v>
      </c>
      <c r="I52" s="2" t="n">
        <f aca="false">SUMIFS('Por foco'!$J$2:$J$579,'Por foco'!$A$2:$A$579,$A52,'Por foco'!$B$2:$B$579,$B52)</f>
        <v>125</v>
      </c>
      <c r="J52" s="2" t="n">
        <f aca="false">SUMIFS('Por foco'!$K$2:$K$579,'Por foco'!$A$2:$A$579,$A52,'Por foco'!$B$2:$B$579,$B52)</f>
        <v>0</v>
      </c>
      <c r="K52" s="2" t="n">
        <f aca="false">SUMIFS('Por foco'!$L$2:$L$579,'Por foco'!$A$2:$A$579,$A52,'Por foco'!$B$2:$B$579,$B52)</f>
        <v>0</v>
      </c>
      <c r="L52" s="2" t="n">
        <f aca="false">SUMIFS('Por foco'!$M$2:$M$579,'Por foco'!$A$2:$A$579,$A52,'Por foco'!$B$2:$B$579,$B52)</f>
        <v>1</v>
      </c>
      <c r="M52" s="2" t="n">
        <f aca="false">SUMIFS('Por foco'!$N$2:$N$579,'Por foco'!$A$2:$A$579,$A52,'Por foco'!$B$2:$B$579,$B52)</f>
        <v>2</v>
      </c>
      <c r="N52" s="2" t="n">
        <f aca="false">SUMIFS('Por foco'!$O$2:$O$579,'Por foco'!$A$2:$A$579,$A52,'Por foco'!$B$2:$B$579,$B52)</f>
        <v>0</v>
      </c>
      <c r="O52" s="2" t="n">
        <f aca="false">SUMIFS('Por foco'!$P$2:$P$579,'Por foco'!$A$2:$A$579,$A52,'Por foco'!$B$2:$B$579,$B52)</f>
        <v>0</v>
      </c>
      <c r="P52" s="2" t="n">
        <f aca="false">SUMIFS('Por foco'!$Q$2:$Q$579,'Por foco'!$A$2:$A$579,$A52,'Por foco'!$B$2:$B$579,$B52)</f>
        <v>0</v>
      </c>
      <c r="Q52" s="2" t="n">
        <f aca="false">SUMIFS('Por foco'!$R$2:$R$579,'Por foco'!$A$2:$A$579,$A52,'Por foco'!$B$2:$B$579,$B52)</f>
        <v>0</v>
      </c>
      <c r="R52" s="2" t="n">
        <f aca="false">SUMIFS('Por foco'!$S$2:$S$579,'Por foco'!$A$2:$A$579,$A52,'Por foco'!$B$2:$B$579,$B52)</f>
        <v>0</v>
      </c>
      <c r="S52" s="2" t="n">
        <f aca="false">SUMIFS('Por foco'!$T$2:$T$579,'Por foco'!$A$2:$A$579,$A52,'Por foco'!$B$2:$B$579,$B52)</f>
        <v>0</v>
      </c>
      <c r="T52" s="2" t="n">
        <f aca="false">SUMIFS('Por foco'!$U$2:$U$579,'Por foco'!$A$2:$A$579,$A52,'Por foco'!$B$2:$B$579,$B52)</f>
        <v>0</v>
      </c>
      <c r="U52" s="2" t="n">
        <f aca="false">SUMIFS('Por foco'!$V$2:$V$579,'Por foco'!$A$2:$A$579,$A52,'Por foco'!$B$2:$B$579,$B52)</f>
        <v>0</v>
      </c>
      <c r="V52" s="2" t="n">
        <f aca="false">SUMIFS('Por foco'!$W$2:$W$579,'Por foco'!$A$2:$A$579,$A52,'Por foco'!$B$2:$B$579,$B52)</f>
        <v>1</v>
      </c>
      <c r="W52" s="2" t="n">
        <f aca="false">SUMIFS('Por foco'!$X$2:$X$579,'Por foco'!$A$2:$A$579,$A52,'Por foco'!$B$2:$B$579,$B52)</f>
        <v>2</v>
      </c>
    </row>
    <row r="53" customFormat="false" ht="15" hidden="false" customHeight="false" outlineLevel="0" collapsed="false">
      <c r="A53" s="2" t="s">
        <v>32</v>
      </c>
      <c r="B53" s="2" t="s">
        <v>45</v>
      </c>
      <c r="C53" s="2" t="n">
        <f aca="false">COUNTIFS('Por foco'!$A$2:$A$579,$A53,'Por foco'!$B$2:$B$579,$B53)</f>
        <v>4</v>
      </c>
      <c r="D53" s="2" t="n">
        <f aca="false">SUMIFS('Por foco'!$E$2:$E$579,'Por foco'!$A$2:$A$579,$A53,'Por foco'!$B$2:$B$579,$B53)</f>
        <v>315</v>
      </c>
      <c r="E53" s="2" t="n">
        <f aca="false">SUMIFS('Por foco'!$F$2:$F$579,'Por foco'!$A$2:$A$579,$A53,'Por foco'!$B$2:$B$579,$B53)</f>
        <v>170</v>
      </c>
      <c r="F53" s="2" t="n">
        <f aca="false">SUMIFS('Por foco'!$G$2:$G$579,'Por foco'!$A$2:$A$579,$A53,'Por foco'!$B$2:$B$579,$B53)</f>
        <v>5</v>
      </c>
      <c r="G53" s="2" t="n">
        <f aca="false">SUMIFS('Por foco'!$H$2:$H$579,'Por foco'!$A$2:$A$579,$A53,'Por foco'!$B$2:$B$579,$B53)</f>
        <v>5</v>
      </c>
      <c r="H53" s="2" t="n">
        <f aca="false">SUMIFS('Por foco'!$I$2:$I$579,'Por foco'!$A$2:$A$579,$A53,'Por foco'!$B$2:$B$579,$B53)</f>
        <v>0</v>
      </c>
      <c r="I53" s="2" t="n">
        <f aca="false">SUMIFS('Por foco'!$J$2:$J$579,'Por foco'!$A$2:$A$579,$A53,'Por foco'!$B$2:$B$579,$B53)</f>
        <v>25</v>
      </c>
      <c r="J53" s="2" t="n">
        <f aca="false">SUMIFS('Por foco'!$K$2:$K$579,'Por foco'!$A$2:$A$579,$A53,'Por foco'!$B$2:$B$579,$B53)</f>
        <v>0</v>
      </c>
      <c r="K53" s="2" t="n">
        <f aca="false">SUMIFS('Por foco'!$L$2:$L$579,'Por foco'!$A$2:$A$579,$A53,'Por foco'!$B$2:$B$579,$B53)</f>
        <v>0</v>
      </c>
      <c r="L53" s="2" t="n">
        <f aca="false">SUMIFS('Por foco'!$M$2:$M$579,'Por foco'!$A$2:$A$579,$A53,'Por foco'!$B$2:$B$579,$B53)</f>
        <v>0</v>
      </c>
      <c r="M53" s="2" t="n">
        <f aca="false">SUMIFS('Por foco'!$N$2:$N$579,'Por foco'!$A$2:$A$579,$A53,'Por foco'!$B$2:$B$579,$B53)</f>
        <v>0</v>
      </c>
      <c r="N53" s="2" t="n">
        <f aca="false">SUMIFS('Por foco'!$O$2:$O$579,'Por foco'!$A$2:$A$579,$A53,'Por foco'!$B$2:$B$579,$B53)</f>
        <v>0</v>
      </c>
      <c r="O53" s="2" t="n">
        <f aca="false">SUMIFS('Por foco'!$P$2:$P$579,'Por foco'!$A$2:$A$579,$A53,'Por foco'!$B$2:$B$579,$B53)</f>
        <v>0</v>
      </c>
      <c r="P53" s="2" t="n">
        <f aca="false">SUMIFS('Por foco'!$Q$2:$Q$579,'Por foco'!$A$2:$A$579,$A53,'Por foco'!$B$2:$B$579,$B53)</f>
        <v>0</v>
      </c>
      <c r="Q53" s="2" t="n">
        <f aca="false">SUMIFS('Por foco'!$R$2:$R$579,'Por foco'!$A$2:$A$579,$A53,'Por foco'!$B$2:$B$579,$B53)</f>
        <v>0</v>
      </c>
      <c r="R53" s="2" t="n">
        <f aca="false">SUMIFS('Por foco'!$S$2:$S$579,'Por foco'!$A$2:$A$579,$A53,'Por foco'!$B$2:$B$579,$B53)</f>
        <v>0</v>
      </c>
      <c r="S53" s="2" t="n">
        <f aca="false">SUMIFS('Por foco'!$T$2:$T$579,'Por foco'!$A$2:$A$579,$A53,'Por foco'!$B$2:$B$579,$B53)</f>
        <v>0</v>
      </c>
      <c r="T53" s="2" t="n">
        <f aca="false">SUMIFS('Por foco'!$U$2:$U$579,'Por foco'!$A$2:$A$579,$A53,'Por foco'!$B$2:$B$579,$B53)</f>
        <v>0</v>
      </c>
      <c r="U53" s="2" t="n">
        <f aca="false">SUMIFS('Por foco'!$V$2:$V$579,'Por foco'!$A$2:$A$579,$A53,'Por foco'!$B$2:$B$579,$B53)</f>
        <v>0</v>
      </c>
      <c r="V53" s="2" t="n">
        <f aca="false">SUMIFS('Por foco'!$W$2:$W$579,'Por foco'!$A$2:$A$579,$A53,'Por foco'!$B$2:$B$579,$B53)</f>
        <v>7</v>
      </c>
      <c r="W53" s="2" t="n">
        <f aca="false">SUMIFS('Por foco'!$X$2:$X$579,'Por foco'!$A$2:$A$579,$A53,'Por foco'!$B$2:$B$579,$B53)</f>
        <v>1</v>
      </c>
    </row>
    <row r="54" customFormat="false" ht="15" hidden="false" customHeight="false" outlineLevel="0" collapsed="false">
      <c r="A54" s="2" t="s">
        <v>32</v>
      </c>
      <c r="B54" s="2" t="s">
        <v>90</v>
      </c>
      <c r="C54" s="2" t="n">
        <f aca="false">COUNTIFS('Por foco'!$A$2:$A$579,$A54,'Por foco'!$B$2:$B$579,$B54)</f>
        <v>7</v>
      </c>
      <c r="D54" s="2" t="n">
        <f aca="false">SUMIFS('Por foco'!$E$2:$E$579,'Por foco'!$A$2:$A$579,$A54,'Por foco'!$B$2:$B$579,$B54)</f>
        <v>469</v>
      </c>
      <c r="E54" s="2" t="n">
        <f aca="false">SUMIFS('Por foco'!$F$2:$F$579,'Por foco'!$A$2:$A$579,$A54,'Por foco'!$B$2:$B$579,$B54)</f>
        <v>0</v>
      </c>
      <c r="F54" s="2" t="n">
        <f aca="false">SUMIFS('Por foco'!$G$2:$G$579,'Por foco'!$A$2:$A$579,$A54,'Por foco'!$B$2:$B$579,$B54)</f>
        <v>0</v>
      </c>
      <c r="G54" s="2" t="n">
        <f aca="false">SUMIFS('Por foco'!$H$2:$H$579,'Por foco'!$A$2:$A$579,$A54,'Por foco'!$B$2:$B$579,$B54)</f>
        <v>0</v>
      </c>
      <c r="H54" s="2" t="n">
        <f aca="false">SUMIFS('Por foco'!$I$2:$I$579,'Por foco'!$A$2:$A$579,$A54,'Por foco'!$B$2:$B$579,$B54)</f>
        <v>0</v>
      </c>
      <c r="I54" s="2" t="n">
        <f aca="false">SUMIFS('Por foco'!$J$2:$J$579,'Por foco'!$A$2:$A$579,$A54,'Por foco'!$B$2:$B$579,$B54)</f>
        <v>0</v>
      </c>
      <c r="J54" s="2" t="n">
        <f aca="false">SUMIFS('Por foco'!$K$2:$K$579,'Por foco'!$A$2:$A$579,$A54,'Por foco'!$B$2:$B$579,$B54)</f>
        <v>0</v>
      </c>
      <c r="K54" s="2" t="n">
        <f aca="false">SUMIFS('Por foco'!$L$2:$L$579,'Por foco'!$A$2:$A$579,$A54,'Por foco'!$B$2:$B$579,$B54)</f>
        <v>0</v>
      </c>
      <c r="L54" s="2" t="n">
        <f aca="false">SUMIFS('Por foco'!$M$2:$M$579,'Por foco'!$A$2:$A$579,$A54,'Por foco'!$B$2:$B$579,$B54)</f>
        <v>0</v>
      </c>
      <c r="M54" s="2" t="n">
        <f aca="false">SUMIFS('Por foco'!$N$2:$N$579,'Por foco'!$A$2:$A$579,$A54,'Por foco'!$B$2:$B$579,$B54)</f>
        <v>0</v>
      </c>
      <c r="N54" s="2" t="n">
        <f aca="false">SUMIFS('Por foco'!$O$2:$O$579,'Por foco'!$A$2:$A$579,$A54,'Por foco'!$B$2:$B$579,$B54)</f>
        <v>7</v>
      </c>
      <c r="O54" s="2" t="n">
        <f aca="false">SUMIFS('Por foco'!$P$2:$P$579,'Por foco'!$A$2:$A$579,$A54,'Por foco'!$B$2:$B$579,$B54)</f>
        <v>0</v>
      </c>
      <c r="P54" s="2" t="n">
        <f aca="false">SUMIFS('Por foco'!$Q$2:$Q$579,'Por foco'!$A$2:$A$579,$A54,'Por foco'!$B$2:$B$579,$B54)</f>
        <v>0</v>
      </c>
      <c r="Q54" s="2" t="n">
        <f aca="false">SUMIFS('Por foco'!$R$2:$R$579,'Por foco'!$A$2:$A$579,$A54,'Por foco'!$B$2:$B$579,$B54)</f>
        <v>3</v>
      </c>
      <c r="R54" s="2" t="n">
        <f aca="false">SUMIFS('Por foco'!$S$2:$S$579,'Por foco'!$A$2:$A$579,$A54,'Por foco'!$B$2:$B$579,$B54)</f>
        <v>0</v>
      </c>
      <c r="S54" s="2" t="n">
        <f aca="false">SUMIFS('Por foco'!$T$2:$T$579,'Por foco'!$A$2:$A$579,$A54,'Por foco'!$B$2:$B$579,$B54)</f>
        <v>0</v>
      </c>
      <c r="T54" s="2" t="n">
        <f aca="false">SUMIFS('Por foco'!$U$2:$U$579,'Por foco'!$A$2:$A$579,$A54,'Por foco'!$B$2:$B$579,$B54)</f>
        <v>0</v>
      </c>
      <c r="U54" s="2" t="n">
        <f aca="false">SUMIFS('Por foco'!$V$2:$V$579,'Por foco'!$A$2:$A$579,$A54,'Por foco'!$B$2:$B$579,$B54)</f>
        <v>0</v>
      </c>
      <c r="V54" s="2" t="n">
        <f aca="false">SUMIFS('Por foco'!$W$2:$W$579,'Por foco'!$A$2:$A$579,$A54,'Por foco'!$B$2:$B$579,$B54)</f>
        <v>0</v>
      </c>
      <c r="W54" s="2" t="n">
        <f aca="false">SUMIFS('Por foco'!$X$2:$X$579,'Por foco'!$A$2:$A$579,$A54,'Por foco'!$B$2:$B$579,$B54)</f>
        <v>3</v>
      </c>
    </row>
    <row r="55" customFormat="false" ht="15" hidden="false" customHeight="false" outlineLevel="0" collapsed="false">
      <c r="A55" s="2" t="s">
        <v>32</v>
      </c>
      <c r="B55" s="2" t="s">
        <v>91</v>
      </c>
      <c r="C55" s="2" t="n">
        <f aca="false">COUNTIFS('Por foco'!$A$2:$A$579,$A55,'Por foco'!$B$2:$B$579,$B55)</f>
        <v>6</v>
      </c>
      <c r="D55" s="2" t="n">
        <f aca="false">SUMIFS('Por foco'!$E$2:$E$579,'Por foco'!$A$2:$A$579,$A55,'Por foco'!$B$2:$B$579,$B55)</f>
        <v>420</v>
      </c>
      <c r="E55" s="2" t="n">
        <f aca="false">SUMIFS('Por foco'!$F$2:$F$579,'Por foco'!$A$2:$A$579,$A55,'Por foco'!$B$2:$B$579,$B55)</f>
        <v>50</v>
      </c>
      <c r="F55" s="2" t="n">
        <f aca="false">SUMIFS('Por foco'!$G$2:$G$579,'Por foco'!$A$2:$A$579,$A55,'Por foco'!$B$2:$B$579,$B55)</f>
        <v>0</v>
      </c>
      <c r="G55" s="2" t="n">
        <f aca="false">SUMIFS('Por foco'!$H$2:$H$579,'Por foco'!$A$2:$A$579,$A55,'Por foco'!$B$2:$B$579,$B55)</f>
        <v>0</v>
      </c>
      <c r="H55" s="2" t="n">
        <f aca="false">SUMIFS('Por foco'!$I$2:$I$579,'Por foco'!$A$2:$A$579,$A55,'Por foco'!$B$2:$B$579,$B55)</f>
        <v>0</v>
      </c>
      <c r="I55" s="2" t="n">
        <f aca="false">SUMIFS('Por foco'!$J$2:$J$579,'Por foco'!$A$2:$A$579,$A55,'Por foco'!$B$2:$B$579,$B55)</f>
        <v>0</v>
      </c>
      <c r="J55" s="2" t="n">
        <f aca="false">SUMIFS('Por foco'!$K$2:$K$579,'Por foco'!$A$2:$A$579,$A55,'Por foco'!$B$2:$B$579,$B55)</f>
        <v>0</v>
      </c>
      <c r="K55" s="2" t="n">
        <f aca="false">SUMIFS('Por foco'!$L$2:$L$579,'Por foco'!$A$2:$A$579,$A55,'Por foco'!$B$2:$B$579,$B55)</f>
        <v>0</v>
      </c>
      <c r="L55" s="2" t="n">
        <f aca="false">SUMIFS('Por foco'!$M$2:$M$579,'Por foco'!$A$2:$A$579,$A55,'Por foco'!$B$2:$B$579,$B55)</f>
        <v>0</v>
      </c>
      <c r="M55" s="2" t="n">
        <f aca="false">SUMIFS('Por foco'!$N$2:$N$579,'Por foco'!$A$2:$A$579,$A55,'Por foco'!$B$2:$B$579,$B55)</f>
        <v>3</v>
      </c>
      <c r="N55" s="2" t="n">
        <f aca="false">SUMIFS('Por foco'!$O$2:$O$579,'Por foco'!$A$2:$A$579,$A55,'Por foco'!$B$2:$B$579,$B55)</f>
        <v>0</v>
      </c>
      <c r="O55" s="2" t="n">
        <f aca="false">SUMIFS('Por foco'!$P$2:$P$579,'Por foco'!$A$2:$A$579,$A55,'Por foco'!$B$2:$B$579,$B55)</f>
        <v>2</v>
      </c>
      <c r="P55" s="2" t="n">
        <f aca="false">SUMIFS('Por foco'!$Q$2:$Q$579,'Por foco'!$A$2:$A$579,$A55,'Por foco'!$B$2:$B$579,$B55)</f>
        <v>0</v>
      </c>
      <c r="Q55" s="2" t="n">
        <f aca="false">SUMIFS('Por foco'!$R$2:$R$579,'Por foco'!$A$2:$A$579,$A55,'Por foco'!$B$2:$B$579,$B55)</f>
        <v>0</v>
      </c>
      <c r="R55" s="2" t="n">
        <f aca="false">SUMIFS('Por foco'!$S$2:$S$579,'Por foco'!$A$2:$A$579,$A55,'Por foco'!$B$2:$B$579,$B55)</f>
        <v>0</v>
      </c>
      <c r="S55" s="2" t="n">
        <f aca="false">SUMIFS('Por foco'!$T$2:$T$579,'Por foco'!$A$2:$A$579,$A55,'Por foco'!$B$2:$B$579,$B55)</f>
        <v>0</v>
      </c>
      <c r="T55" s="2" t="n">
        <f aca="false">SUMIFS('Por foco'!$U$2:$U$579,'Por foco'!$A$2:$A$579,$A55,'Por foco'!$B$2:$B$579,$B55)</f>
        <v>0</v>
      </c>
      <c r="U55" s="2" t="n">
        <f aca="false">SUMIFS('Por foco'!$V$2:$V$579,'Por foco'!$A$2:$A$579,$A55,'Por foco'!$B$2:$B$579,$B55)</f>
        <v>0</v>
      </c>
      <c r="V55" s="2" t="n">
        <f aca="false">SUMIFS('Por foco'!$W$2:$W$579,'Por foco'!$A$2:$A$579,$A55,'Por foco'!$B$2:$B$579,$B55)</f>
        <v>0</v>
      </c>
      <c r="W55" s="2" t="n">
        <f aca="false">SUMIFS('Por foco'!$X$2:$X$579,'Por foco'!$A$2:$A$579,$A55,'Por foco'!$B$2:$B$579,$B55)</f>
        <v>3</v>
      </c>
    </row>
    <row r="56" customFormat="false" ht="15" hidden="false" customHeight="false" outlineLevel="0" collapsed="false">
      <c r="A56" s="2" t="s">
        <v>32</v>
      </c>
      <c r="B56" s="2" t="s">
        <v>92</v>
      </c>
      <c r="C56" s="2" t="n">
        <f aca="false">COUNTIFS('Por foco'!$A$2:$A$579,$A56,'Por foco'!$B$2:$B$579,$B56)</f>
        <v>6</v>
      </c>
      <c r="D56" s="2" t="n">
        <f aca="false">SUMIFS('Por foco'!$E$2:$E$579,'Por foco'!$A$2:$A$579,$A56,'Por foco'!$B$2:$B$579,$B56)</f>
        <v>364</v>
      </c>
      <c r="E56" s="2" t="n">
        <f aca="false">SUMIFS('Por foco'!$F$2:$F$579,'Por foco'!$A$2:$A$579,$A56,'Por foco'!$B$2:$B$579,$B56)</f>
        <v>0</v>
      </c>
      <c r="F56" s="2" t="n">
        <f aca="false">SUMIFS('Por foco'!$G$2:$G$579,'Por foco'!$A$2:$A$579,$A56,'Por foco'!$B$2:$B$579,$B56)</f>
        <v>0</v>
      </c>
      <c r="G56" s="2" t="n">
        <f aca="false">SUMIFS('Por foco'!$H$2:$H$579,'Por foco'!$A$2:$A$579,$A56,'Por foco'!$B$2:$B$579,$B56)</f>
        <v>0</v>
      </c>
      <c r="H56" s="2" t="n">
        <f aca="false">SUMIFS('Por foco'!$I$2:$I$579,'Por foco'!$A$2:$A$579,$A56,'Por foco'!$B$2:$B$579,$B56)</f>
        <v>0</v>
      </c>
      <c r="I56" s="2" t="n">
        <f aca="false">SUMIFS('Por foco'!$J$2:$J$579,'Por foco'!$A$2:$A$579,$A56,'Por foco'!$B$2:$B$579,$B56)</f>
        <v>0</v>
      </c>
      <c r="J56" s="2" t="n">
        <f aca="false">SUMIFS('Por foco'!$K$2:$K$579,'Por foco'!$A$2:$A$579,$A56,'Por foco'!$B$2:$B$579,$B56)</f>
        <v>0</v>
      </c>
      <c r="K56" s="2" t="n">
        <f aca="false">SUMIFS('Por foco'!$L$2:$L$579,'Por foco'!$A$2:$A$579,$A56,'Por foco'!$B$2:$B$579,$B56)</f>
        <v>0</v>
      </c>
      <c r="L56" s="2" t="n">
        <f aca="false">SUMIFS('Por foco'!$M$2:$M$579,'Por foco'!$A$2:$A$579,$A56,'Por foco'!$B$2:$B$579,$B56)</f>
        <v>1</v>
      </c>
      <c r="M56" s="2" t="n">
        <f aca="false">SUMIFS('Por foco'!$N$2:$N$579,'Por foco'!$A$2:$A$579,$A56,'Por foco'!$B$2:$B$579,$B56)</f>
        <v>1</v>
      </c>
      <c r="N56" s="2" t="n">
        <f aca="false">SUMIFS('Por foco'!$O$2:$O$579,'Por foco'!$A$2:$A$579,$A56,'Por foco'!$B$2:$B$579,$B56)</f>
        <v>4</v>
      </c>
      <c r="O56" s="2" t="n">
        <f aca="false">SUMIFS('Por foco'!$P$2:$P$579,'Por foco'!$A$2:$A$579,$A56,'Por foco'!$B$2:$B$579,$B56)</f>
        <v>2</v>
      </c>
      <c r="P56" s="2" t="n">
        <f aca="false">SUMIFS('Por foco'!$Q$2:$Q$579,'Por foco'!$A$2:$A$579,$A56,'Por foco'!$B$2:$B$579,$B56)</f>
        <v>2</v>
      </c>
      <c r="Q56" s="2" t="n">
        <f aca="false">SUMIFS('Por foco'!$R$2:$R$579,'Por foco'!$A$2:$A$579,$A56,'Por foco'!$B$2:$B$579,$B56)</f>
        <v>0</v>
      </c>
      <c r="R56" s="2" t="n">
        <f aca="false">SUMIFS('Por foco'!$S$2:$S$579,'Por foco'!$A$2:$A$579,$A56,'Por foco'!$B$2:$B$579,$B56)</f>
        <v>0</v>
      </c>
      <c r="S56" s="2" t="n">
        <f aca="false">SUMIFS('Por foco'!$T$2:$T$579,'Por foco'!$A$2:$A$579,$A56,'Por foco'!$B$2:$B$579,$B56)</f>
        <v>0</v>
      </c>
      <c r="T56" s="2" t="n">
        <f aca="false">SUMIFS('Por foco'!$U$2:$U$579,'Por foco'!$A$2:$A$579,$A56,'Por foco'!$B$2:$B$579,$B56)</f>
        <v>0</v>
      </c>
      <c r="U56" s="2" t="n">
        <f aca="false">SUMIFS('Por foco'!$V$2:$V$579,'Por foco'!$A$2:$A$579,$A56,'Por foco'!$B$2:$B$579,$B56)</f>
        <v>0</v>
      </c>
      <c r="V56" s="2" t="n">
        <f aca="false">SUMIFS('Por foco'!$W$2:$W$579,'Por foco'!$A$2:$A$579,$A56,'Por foco'!$B$2:$B$579,$B56)</f>
        <v>0</v>
      </c>
      <c r="W56" s="2" t="n">
        <f aca="false">SUMIFS('Por foco'!$X$2:$X$579,'Por foco'!$A$2:$A$579,$A56,'Por foco'!$B$2:$B$579,$B56)</f>
        <v>1</v>
      </c>
    </row>
    <row r="57" customFormat="false" ht="15" hidden="false" customHeight="false" outlineLevel="0" collapsed="false">
      <c r="A57" s="2" t="s">
        <v>32</v>
      </c>
      <c r="B57" s="2" t="s">
        <v>93</v>
      </c>
      <c r="C57" s="2" t="n">
        <f aca="false">COUNTIFS('Por foco'!$A$2:$A$579,$A57,'Por foco'!$B$2:$B$579,$B57)</f>
        <v>6</v>
      </c>
      <c r="D57" s="2" t="n">
        <f aca="false">SUMIFS('Por foco'!$E$2:$E$579,'Por foco'!$A$2:$A$579,$A57,'Por foco'!$B$2:$B$579,$B57)</f>
        <v>343</v>
      </c>
      <c r="E57" s="2" t="n">
        <f aca="false">SUMIFS('Por foco'!$F$2:$F$579,'Por foco'!$A$2:$A$579,$A57,'Por foco'!$B$2:$B$579,$B57)</f>
        <v>50</v>
      </c>
      <c r="F57" s="2" t="n">
        <f aca="false">SUMIFS('Por foco'!$G$2:$G$579,'Por foco'!$A$2:$A$579,$A57,'Por foco'!$B$2:$B$579,$B57)</f>
        <v>0</v>
      </c>
      <c r="G57" s="2" t="n">
        <f aca="false">SUMIFS('Por foco'!$H$2:$H$579,'Por foco'!$A$2:$A$579,$A57,'Por foco'!$B$2:$B$579,$B57)</f>
        <v>0</v>
      </c>
      <c r="H57" s="2" t="n">
        <f aca="false">SUMIFS('Por foco'!$I$2:$I$579,'Por foco'!$A$2:$A$579,$A57,'Por foco'!$B$2:$B$579,$B57)</f>
        <v>0</v>
      </c>
      <c r="I57" s="2" t="n">
        <f aca="false">SUMIFS('Por foco'!$J$2:$J$579,'Por foco'!$A$2:$A$579,$A57,'Por foco'!$B$2:$B$579,$B57)</f>
        <v>225</v>
      </c>
      <c r="J57" s="2" t="n">
        <f aca="false">SUMIFS('Por foco'!$K$2:$K$579,'Por foco'!$A$2:$A$579,$A57,'Por foco'!$B$2:$B$579,$B57)</f>
        <v>0</v>
      </c>
      <c r="K57" s="2" t="n">
        <f aca="false">SUMIFS('Por foco'!$L$2:$L$579,'Por foco'!$A$2:$A$579,$A57,'Por foco'!$B$2:$B$579,$B57)</f>
        <v>0</v>
      </c>
      <c r="L57" s="2" t="n">
        <f aca="false">SUMIFS('Por foco'!$M$2:$M$579,'Por foco'!$A$2:$A$579,$A57,'Por foco'!$B$2:$B$579,$B57)</f>
        <v>0</v>
      </c>
      <c r="M57" s="2" t="n">
        <f aca="false">SUMIFS('Por foco'!$N$2:$N$579,'Por foco'!$A$2:$A$579,$A57,'Por foco'!$B$2:$B$579,$B57)</f>
        <v>4</v>
      </c>
      <c r="N57" s="2" t="n">
        <f aca="false">SUMIFS('Por foco'!$O$2:$O$579,'Por foco'!$A$2:$A$579,$A57,'Por foco'!$B$2:$B$579,$B57)</f>
        <v>0</v>
      </c>
      <c r="O57" s="2" t="n">
        <f aca="false">SUMIFS('Por foco'!$P$2:$P$579,'Por foco'!$A$2:$A$579,$A57,'Por foco'!$B$2:$B$579,$B57)</f>
        <v>0</v>
      </c>
      <c r="P57" s="2" t="n">
        <f aca="false">SUMIFS('Por foco'!$Q$2:$Q$579,'Por foco'!$A$2:$A$579,$A57,'Por foco'!$B$2:$B$579,$B57)</f>
        <v>0</v>
      </c>
      <c r="Q57" s="2" t="n">
        <f aca="false">SUMIFS('Por foco'!$R$2:$R$579,'Por foco'!$A$2:$A$579,$A57,'Por foco'!$B$2:$B$579,$B57)</f>
        <v>2</v>
      </c>
      <c r="R57" s="2" t="n">
        <f aca="false">SUMIFS('Por foco'!$S$2:$S$579,'Por foco'!$A$2:$A$579,$A57,'Por foco'!$B$2:$B$579,$B57)</f>
        <v>0</v>
      </c>
      <c r="S57" s="2" t="n">
        <f aca="false">SUMIFS('Por foco'!$T$2:$T$579,'Por foco'!$A$2:$A$579,$A57,'Por foco'!$B$2:$B$579,$B57)</f>
        <v>0</v>
      </c>
      <c r="T57" s="2" t="n">
        <f aca="false">SUMIFS('Por foco'!$U$2:$U$579,'Por foco'!$A$2:$A$579,$A57,'Por foco'!$B$2:$B$579,$B57)</f>
        <v>0</v>
      </c>
      <c r="U57" s="2" t="n">
        <f aca="false">SUMIFS('Por foco'!$V$2:$V$579,'Por foco'!$A$2:$A$579,$A57,'Por foco'!$B$2:$B$579,$B57)</f>
        <v>0</v>
      </c>
      <c r="V57" s="2" t="n">
        <f aca="false">SUMIFS('Por foco'!$W$2:$W$579,'Por foco'!$A$2:$A$579,$A57,'Por foco'!$B$2:$B$579,$B57)</f>
        <v>0</v>
      </c>
      <c r="W57" s="2" t="n">
        <f aca="false">SUMIFS('Por foco'!$X$2:$X$579,'Por foco'!$A$2:$A$579,$A57,'Por foco'!$B$2:$B$579,$B57)</f>
        <v>1</v>
      </c>
    </row>
    <row r="58" customFormat="false" ht="15" hidden="false" customHeight="false" outlineLevel="0" collapsed="false">
      <c r="A58" s="2" t="s">
        <v>32</v>
      </c>
      <c r="B58" s="2" t="s">
        <v>94</v>
      </c>
      <c r="C58" s="2" t="n">
        <f aca="false">COUNTIFS('Por foco'!$A$2:$A$579,$A58,'Por foco'!$B$2:$B$579,$B58)</f>
        <v>6</v>
      </c>
      <c r="D58" s="2" t="n">
        <f aca="false">SUMIFS('Por foco'!$E$2:$E$579,'Por foco'!$A$2:$A$579,$A58,'Por foco'!$B$2:$B$579,$B58)</f>
        <v>343</v>
      </c>
      <c r="E58" s="2" t="n">
        <f aca="false">SUMIFS('Por foco'!$F$2:$F$579,'Por foco'!$A$2:$A$579,$A58,'Por foco'!$B$2:$B$579,$B58)</f>
        <v>0</v>
      </c>
      <c r="F58" s="2" t="n">
        <f aca="false">SUMIFS('Por foco'!$G$2:$G$579,'Por foco'!$A$2:$A$579,$A58,'Por foco'!$B$2:$B$579,$B58)</f>
        <v>0</v>
      </c>
      <c r="G58" s="2" t="n">
        <f aca="false">SUMIFS('Por foco'!$H$2:$H$579,'Por foco'!$A$2:$A$579,$A58,'Por foco'!$B$2:$B$579,$B58)</f>
        <v>0</v>
      </c>
      <c r="H58" s="2" t="n">
        <f aca="false">SUMIFS('Por foco'!$I$2:$I$579,'Por foco'!$A$2:$A$579,$A58,'Por foco'!$B$2:$B$579,$B58)</f>
        <v>0</v>
      </c>
      <c r="I58" s="2" t="n">
        <f aca="false">SUMIFS('Por foco'!$J$2:$J$579,'Por foco'!$A$2:$A$579,$A58,'Por foco'!$B$2:$B$579,$B58)</f>
        <v>0</v>
      </c>
      <c r="J58" s="2" t="n">
        <f aca="false">SUMIFS('Por foco'!$K$2:$K$579,'Por foco'!$A$2:$A$579,$A58,'Por foco'!$B$2:$B$579,$B58)</f>
        <v>25</v>
      </c>
      <c r="K58" s="2" t="n">
        <f aca="false">SUMIFS('Por foco'!$L$2:$L$579,'Por foco'!$A$2:$A$579,$A58,'Por foco'!$B$2:$B$579,$B58)</f>
        <v>50</v>
      </c>
      <c r="L58" s="2" t="n">
        <f aca="false">SUMIFS('Por foco'!$M$2:$M$579,'Por foco'!$A$2:$A$579,$A58,'Por foco'!$B$2:$B$579,$B58)</f>
        <v>0</v>
      </c>
      <c r="M58" s="2" t="n">
        <f aca="false">SUMIFS('Por foco'!$N$2:$N$579,'Por foco'!$A$2:$A$579,$A58,'Por foco'!$B$2:$B$579,$B58)</f>
        <v>8</v>
      </c>
      <c r="N58" s="2" t="n">
        <f aca="false">SUMIFS('Por foco'!$O$2:$O$579,'Por foco'!$A$2:$A$579,$A58,'Por foco'!$B$2:$B$579,$B58)</f>
        <v>0</v>
      </c>
      <c r="O58" s="2" t="n">
        <f aca="false">SUMIFS('Por foco'!$P$2:$P$579,'Por foco'!$A$2:$A$579,$A58,'Por foco'!$B$2:$B$579,$B58)</f>
        <v>0</v>
      </c>
      <c r="P58" s="2" t="n">
        <f aca="false">SUMIFS('Por foco'!$Q$2:$Q$579,'Por foco'!$A$2:$A$579,$A58,'Por foco'!$B$2:$B$579,$B58)</f>
        <v>2</v>
      </c>
      <c r="Q58" s="2" t="n">
        <f aca="false">SUMIFS('Por foco'!$R$2:$R$579,'Por foco'!$A$2:$A$579,$A58,'Por foco'!$B$2:$B$579,$B58)</f>
        <v>0</v>
      </c>
      <c r="R58" s="2" t="n">
        <f aca="false">SUMIFS('Por foco'!$S$2:$S$579,'Por foco'!$A$2:$A$579,$A58,'Por foco'!$B$2:$B$579,$B58)</f>
        <v>2</v>
      </c>
      <c r="S58" s="2" t="n">
        <f aca="false">SUMIFS('Por foco'!$T$2:$T$579,'Por foco'!$A$2:$A$579,$A58,'Por foco'!$B$2:$B$579,$B58)</f>
        <v>0</v>
      </c>
      <c r="T58" s="2" t="n">
        <f aca="false">SUMIFS('Por foco'!$U$2:$U$579,'Por foco'!$A$2:$A$579,$A58,'Por foco'!$B$2:$B$579,$B58)</f>
        <v>0</v>
      </c>
      <c r="U58" s="2" t="n">
        <f aca="false">SUMIFS('Por foco'!$V$2:$V$579,'Por foco'!$A$2:$A$579,$A58,'Por foco'!$B$2:$B$579,$B58)</f>
        <v>100</v>
      </c>
      <c r="V58" s="2" t="n">
        <f aca="false">SUMIFS('Por foco'!$W$2:$W$579,'Por foco'!$A$2:$A$579,$A58,'Por foco'!$B$2:$B$579,$B58)</f>
        <v>0</v>
      </c>
      <c r="W58" s="2" t="n">
        <f aca="false">SUMIFS('Por foco'!$X$2:$X$579,'Por foco'!$A$2:$A$579,$A58,'Por foco'!$B$2:$B$579,$B58)</f>
        <v>1</v>
      </c>
    </row>
    <row r="59" customFormat="false" ht="15" hidden="false" customHeight="false" outlineLevel="0" collapsed="false">
      <c r="A59" s="2" t="s">
        <v>32</v>
      </c>
      <c r="B59" s="2" t="s">
        <v>95</v>
      </c>
      <c r="C59" s="2" t="n">
        <f aca="false">COUNTIFS('Por foco'!$A$2:$A$579,$A59,'Por foco'!$B$2:$B$579,$B59)</f>
        <v>8</v>
      </c>
      <c r="D59" s="2" t="n">
        <f aca="false">SUMIFS('Por foco'!$E$2:$E$579,'Por foco'!$A$2:$A$579,$A59,'Por foco'!$B$2:$B$579,$B59)</f>
        <v>448</v>
      </c>
      <c r="E59" s="2" t="n">
        <f aca="false">SUMIFS('Por foco'!$F$2:$F$579,'Por foco'!$A$2:$A$579,$A59,'Por foco'!$B$2:$B$579,$B59)</f>
        <v>300</v>
      </c>
      <c r="F59" s="2" t="n">
        <f aca="false">SUMIFS('Por foco'!$G$2:$G$579,'Por foco'!$A$2:$A$579,$A59,'Por foco'!$B$2:$B$579,$B59)</f>
        <v>10</v>
      </c>
      <c r="G59" s="2" t="n">
        <f aca="false">SUMIFS('Por foco'!$H$2:$H$579,'Por foco'!$A$2:$A$579,$A59,'Por foco'!$B$2:$B$579,$B59)</f>
        <v>0</v>
      </c>
      <c r="H59" s="2" t="n">
        <f aca="false">SUMIFS('Por foco'!$I$2:$I$579,'Por foco'!$A$2:$A$579,$A59,'Por foco'!$B$2:$B$579,$B59)</f>
        <v>100000</v>
      </c>
      <c r="I59" s="2" t="n">
        <f aca="false">SUMIFS('Por foco'!$J$2:$J$579,'Por foco'!$A$2:$A$579,$A59,'Por foco'!$B$2:$B$579,$B59)</f>
        <v>0</v>
      </c>
      <c r="J59" s="2" t="n">
        <f aca="false">SUMIFS('Por foco'!$K$2:$K$579,'Por foco'!$A$2:$A$579,$A59,'Por foco'!$B$2:$B$579,$B59)</f>
        <v>0</v>
      </c>
      <c r="K59" s="2" t="n">
        <f aca="false">SUMIFS('Por foco'!$L$2:$L$579,'Por foco'!$A$2:$A$579,$A59,'Por foco'!$B$2:$B$579,$B59)</f>
        <v>0</v>
      </c>
      <c r="L59" s="2" t="n">
        <f aca="false">SUMIFS('Por foco'!$M$2:$M$579,'Por foco'!$A$2:$A$579,$A59,'Por foco'!$B$2:$B$579,$B59)</f>
        <v>1</v>
      </c>
      <c r="M59" s="2" t="n">
        <f aca="false">SUMIFS('Por foco'!$N$2:$N$579,'Por foco'!$A$2:$A$579,$A59,'Por foco'!$B$2:$B$579,$B59)</f>
        <v>2</v>
      </c>
      <c r="N59" s="2" t="n">
        <f aca="false">SUMIFS('Por foco'!$O$2:$O$579,'Por foco'!$A$2:$A$579,$A59,'Por foco'!$B$2:$B$579,$B59)</f>
        <v>4</v>
      </c>
      <c r="O59" s="2" t="n">
        <f aca="false">SUMIFS('Por foco'!$P$2:$P$579,'Por foco'!$A$2:$A$579,$A59,'Por foco'!$B$2:$B$579,$B59)</f>
        <v>0</v>
      </c>
      <c r="P59" s="2" t="n">
        <f aca="false">SUMIFS('Por foco'!$Q$2:$Q$579,'Por foco'!$A$2:$A$579,$A59,'Por foco'!$B$2:$B$579,$B59)</f>
        <v>0</v>
      </c>
      <c r="Q59" s="2" t="n">
        <f aca="false">SUMIFS('Por foco'!$R$2:$R$579,'Por foco'!$A$2:$A$579,$A59,'Por foco'!$B$2:$B$579,$B59)</f>
        <v>0</v>
      </c>
      <c r="R59" s="2" t="n">
        <f aca="false">SUMIFS('Por foco'!$S$2:$S$579,'Por foco'!$A$2:$A$579,$A59,'Por foco'!$B$2:$B$579,$B59)</f>
        <v>0</v>
      </c>
      <c r="S59" s="2" t="n">
        <f aca="false">SUMIFS('Por foco'!$T$2:$T$579,'Por foco'!$A$2:$A$579,$A59,'Por foco'!$B$2:$B$579,$B59)</f>
        <v>0</v>
      </c>
      <c r="T59" s="2" t="n">
        <f aca="false">SUMIFS('Por foco'!$U$2:$U$579,'Por foco'!$A$2:$A$579,$A59,'Por foco'!$B$2:$B$579,$B59)</f>
        <v>0</v>
      </c>
      <c r="U59" s="2" t="n">
        <f aca="false">SUMIFS('Por foco'!$V$2:$V$579,'Por foco'!$A$2:$A$579,$A59,'Por foco'!$B$2:$B$579,$B59)</f>
        <v>0</v>
      </c>
      <c r="V59" s="2" t="n">
        <f aca="false">SUMIFS('Por foco'!$W$2:$W$579,'Por foco'!$A$2:$A$579,$A59,'Por foco'!$B$2:$B$579,$B59)</f>
        <v>0</v>
      </c>
      <c r="W59" s="2" t="n">
        <f aca="false">SUMIFS('Por foco'!$X$2:$X$579,'Por foco'!$A$2:$A$579,$A59,'Por foco'!$B$2:$B$579,$B59)</f>
        <v>0</v>
      </c>
    </row>
    <row r="60" customFormat="false" ht="15" hidden="false" customHeight="false" outlineLevel="0" collapsed="false">
      <c r="A60" s="2" t="s">
        <v>32</v>
      </c>
      <c r="B60" s="2" t="s">
        <v>96</v>
      </c>
      <c r="C60" s="2" t="n">
        <f aca="false">COUNTIFS('Por foco'!$A$2:$A$579,$A60,'Por foco'!$B$2:$B$579,$B60)</f>
        <v>6</v>
      </c>
      <c r="D60" s="2" t="n">
        <f aca="false">SUMIFS('Por foco'!$E$2:$E$579,'Por foco'!$A$2:$A$579,$A60,'Por foco'!$B$2:$B$579,$B60)</f>
        <v>413</v>
      </c>
      <c r="E60" s="2" t="n">
        <f aca="false">SUMIFS('Por foco'!$F$2:$F$579,'Por foco'!$A$2:$A$579,$A60,'Por foco'!$B$2:$B$579,$B60)</f>
        <v>150</v>
      </c>
      <c r="F60" s="2" t="n">
        <f aca="false">SUMIFS('Por foco'!$G$2:$G$579,'Por foco'!$A$2:$A$579,$A60,'Por foco'!$B$2:$B$579,$B60)</f>
        <v>0</v>
      </c>
      <c r="G60" s="2" t="n">
        <f aca="false">SUMIFS('Por foco'!$H$2:$H$579,'Por foco'!$A$2:$A$579,$A60,'Por foco'!$B$2:$B$579,$B60)</f>
        <v>0</v>
      </c>
      <c r="H60" s="2" t="n">
        <f aca="false">SUMIFS('Por foco'!$I$2:$I$579,'Por foco'!$A$2:$A$579,$A60,'Por foco'!$B$2:$B$579,$B60)</f>
        <v>0</v>
      </c>
      <c r="I60" s="2" t="n">
        <f aca="false">SUMIFS('Por foco'!$J$2:$J$579,'Por foco'!$A$2:$A$579,$A60,'Por foco'!$B$2:$B$579,$B60)</f>
        <v>0</v>
      </c>
      <c r="J60" s="2" t="n">
        <f aca="false">SUMIFS('Por foco'!$K$2:$K$579,'Por foco'!$A$2:$A$579,$A60,'Por foco'!$B$2:$B$579,$B60)</f>
        <v>0</v>
      </c>
      <c r="K60" s="2" t="n">
        <f aca="false">SUMIFS('Por foco'!$L$2:$L$579,'Por foco'!$A$2:$A$579,$A60,'Por foco'!$B$2:$B$579,$B60)</f>
        <v>0</v>
      </c>
      <c r="L60" s="2" t="n">
        <f aca="false">SUMIFS('Por foco'!$M$2:$M$579,'Por foco'!$A$2:$A$579,$A60,'Por foco'!$B$2:$B$579,$B60)</f>
        <v>0</v>
      </c>
      <c r="M60" s="2" t="n">
        <f aca="false">SUMIFS('Por foco'!$N$2:$N$579,'Por foco'!$A$2:$A$579,$A60,'Por foco'!$B$2:$B$579,$B60)</f>
        <v>0</v>
      </c>
      <c r="N60" s="2" t="n">
        <f aca="false">SUMIFS('Por foco'!$O$2:$O$579,'Por foco'!$A$2:$A$579,$A60,'Por foco'!$B$2:$B$579,$B60)</f>
        <v>2</v>
      </c>
      <c r="O60" s="2" t="n">
        <f aca="false">SUMIFS('Por foco'!$P$2:$P$579,'Por foco'!$A$2:$A$579,$A60,'Por foco'!$B$2:$B$579,$B60)</f>
        <v>0</v>
      </c>
      <c r="P60" s="2" t="n">
        <f aca="false">SUMIFS('Por foco'!$Q$2:$Q$579,'Por foco'!$A$2:$A$579,$A60,'Por foco'!$B$2:$B$579,$B60)</f>
        <v>0</v>
      </c>
      <c r="Q60" s="2" t="n">
        <f aca="false">SUMIFS('Por foco'!$R$2:$R$579,'Por foco'!$A$2:$A$579,$A60,'Por foco'!$B$2:$B$579,$B60)</f>
        <v>0</v>
      </c>
      <c r="R60" s="2" t="n">
        <f aca="false">SUMIFS('Por foco'!$S$2:$S$579,'Por foco'!$A$2:$A$579,$A60,'Por foco'!$B$2:$B$579,$B60)</f>
        <v>0</v>
      </c>
      <c r="S60" s="2" t="n">
        <f aca="false">SUMIFS('Por foco'!$T$2:$T$579,'Por foco'!$A$2:$A$579,$A60,'Por foco'!$B$2:$B$579,$B60)</f>
        <v>0</v>
      </c>
      <c r="T60" s="2" t="n">
        <f aca="false">SUMIFS('Por foco'!$U$2:$U$579,'Por foco'!$A$2:$A$579,$A60,'Por foco'!$B$2:$B$579,$B60)</f>
        <v>0</v>
      </c>
      <c r="U60" s="2" t="n">
        <f aca="false">SUMIFS('Por foco'!$V$2:$V$579,'Por foco'!$A$2:$A$579,$A60,'Por foco'!$B$2:$B$579,$B60)</f>
        <v>0</v>
      </c>
      <c r="V60" s="2" t="n">
        <f aca="false">SUMIFS('Por foco'!$W$2:$W$579,'Por foco'!$A$2:$A$579,$A60,'Por foco'!$B$2:$B$579,$B60)</f>
        <v>0</v>
      </c>
      <c r="W60" s="2" t="n">
        <f aca="false">SUMIFS('Por foco'!$X$2:$X$579,'Por foco'!$A$2:$A$579,$A60,'Por foco'!$B$2:$B$579,$B60)</f>
        <v>3</v>
      </c>
    </row>
    <row r="61" customFormat="false" ht="15" hidden="false" customHeight="false" outlineLevel="0" collapsed="false">
      <c r="A61" s="2" t="s">
        <v>33</v>
      </c>
      <c r="B61" s="2" t="s">
        <v>97</v>
      </c>
      <c r="C61" s="2" t="n">
        <f aca="false">COUNTIFS('Por foco'!$A$2:$A$579,$A61,'Por foco'!$B$2:$B$579,$B61)</f>
        <v>8</v>
      </c>
      <c r="D61" s="2" t="n">
        <f aca="false">SUMIFS('Por foco'!$E$2:$E$579,'Por foco'!$A$2:$A$579,$A61,'Por foco'!$B$2:$B$579,$B61)</f>
        <v>546</v>
      </c>
      <c r="E61" s="2" t="n">
        <f aca="false">SUMIFS('Por foco'!$F$2:$F$579,'Por foco'!$A$2:$A$579,$A61,'Por foco'!$B$2:$B$579,$B61)</f>
        <v>250</v>
      </c>
      <c r="F61" s="2" t="n">
        <f aca="false">SUMIFS('Por foco'!$G$2:$G$579,'Por foco'!$A$2:$A$579,$A61,'Por foco'!$B$2:$B$579,$B61)</f>
        <v>3</v>
      </c>
      <c r="G61" s="2" t="n">
        <f aca="false">SUMIFS('Por foco'!$H$2:$H$579,'Por foco'!$A$2:$A$579,$A61,'Por foco'!$B$2:$B$579,$B61)</f>
        <v>5</v>
      </c>
      <c r="H61" s="2" t="n">
        <f aca="false">SUMIFS('Por foco'!$I$2:$I$579,'Por foco'!$A$2:$A$579,$A61,'Por foco'!$B$2:$B$579,$B61)</f>
        <v>0</v>
      </c>
      <c r="I61" s="2" t="n">
        <f aca="false">SUMIFS('Por foco'!$J$2:$J$579,'Por foco'!$A$2:$A$579,$A61,'Por foco'!$B$2:$B$579,$B61)</f>
        <v>0</v>
      </c>
      <c r="J61" s="2" t="n">
        <f aca="false">SUMIFS('Por foco'!$K$2:$K$579,'Por foco'!$A$2:$A$579,$A61,'Por foco'!$B$2:$B$579,$B61)</f>
        <v>0</v>
      </c>
      <c r="K61" s="2" t="n">
        <f aca="false">SUMIFS('Por foco'!$L$2:$L$579,'Por foco'!$A$2:$A$579,$A61,'Por foco'!$B$2:$B$579,$B61)</f>
        <v>0</v>
      </c>
      <c r="L61" s="2" t="n">
        <f aca="false">SUMIFS('Por foco'!$M$2:$M$579,'Por foco'!$A$2:$A$579,$A61,'Por foco'!$B$2:$B$579,$B61)</f>
        <v>1</v>
      </c>
      <c r="M61" s="2" t="n">
        <f aca="false">SUMIFS('Por foco'!$N$2:$N$579,'Por foco'!$A$2:$A$579,$A61,'Por foco'!$B$2:$B$579,$B61)</f>
        <v>0</v>
      </c>
      <c r="N61" s="2" t="n">
        <f aca="false">SUMIFS('Por foco'!$O$2:$O$579,'Por foco'!$A$2:$A$579,$A61,'Por foco'!$B$2:$B$579,$B61)</f>
        <v>0</v>
      </c>
      <c r="O61" s="2" t="n">
        <f aca="false">SUMIFS('Por foco'!$P$2:$P$579,'Por foco'!$A$2:$A$579,$A61,'Por foco'!$B$2:$B$579,$B61)</f>
        <v>0</v>
      </c>
      <c r="P61" s="2" t="n">
        <f aca="false">SUMIFS('Por foco'!$Q$2:$Q$579,'Por foco'!$A$2:$A$579,$A61,'Por foco'!$B$2:$B$579,$B61)</f>
        <v>0</v>
      </c>
      <c r="Q61" s="2" t="n">
        <f aca="false">SUMIFS('Por foco'!$R$2:$R$579,'Por foco'!$A$2:$A$579,$A61,'Por foco'!$B$2:$B$579,$B61)</f>
        <v>0</v>
      </c>
      <c r="R61" s="2" t="n">
        <f aca="false">SUMIFS('Por foco'!$S$2:$S$579,'Por foco'!$A$2:$A$579,$A61,'Por foco'!$B$2:$B$579,$B61)</f>
        <v>0</v>
      </c>
      <c r="S61" s="2" t="n">
        <f aca="false">SUMIFS('Por foco'!$T$2:$T$579,'Por foco'!$A$2:$A$579,$A61,'Por foco'!$B$2:$B$579,$B61)</f>
        <v>0</v>
      </c>
      <c r="T61" s="2" t="n">
        <f aca="false">SUMIFS('Por foco'!$U$2:$U$579,'Por foco'!$A$2:$A$579,$A61,'Por foco'!$B$2:$B$579,$B61)</f>
        <v>0</v>
      </c>
      <c r="U61" s="2" t="n">
        <f aca="false">SUMIFS('Por foco'!$V$2:$V$579,'Por foco'!$A$2:$A$579,$A61,'Por foco'!$B$2:$B$579,$B61)</f>
        <v>0</v>
      </c>
      <c r="V61" s="2" t="n">
        <f aca="false">SUMIFS('Por foco'!$W$2:$W$579,'Por foco'!$A$2:$A$579,$A61,'Por foco'!$B$2:$B$579,$B61)</f>
        <v>2</v>
      </c>
      <c r="W61" s="2" t="n">
        <f aca="false">SUMIFS('Por foco'!$X$2:$X$579,'Por foco'!$A$2:$A$579,$A61,'Por foco'!$B$2:$B$579,$B61)</f>
        <v>3</v>
      </c>
    </row>
    <row r="62" customFormat="false" ht="15" hidden="false" customHeight="false" outlineLevel="0" collapsed="false">
      <c r="A62" s="2" t="s">
        <v>33</v>
      </c>
      <c r="B62" s="2" t="s">
        <v>98</v>
      </c>
      <c r="C62" s="2" t="n">
        <f aca="false">COUNTIFS('Por foco'!$A$2:$A$579,$A62,'Por foco'!$B$2:$B$579,$B62)</f>
        <v>6</v>
      </c>
      <c r="D62" s="2" t="n">
        <f aca="false">SUMIFS('Por foco'!$E$2:$E$579,'Por foco'!$A$2:$A$579,$A62,'Por foco'!$B$2:$B$579,$B62)</f>
        <v>378</v>
      </c>
      <c r="E62" s="2" t="n">
        <f aca="false">SUMIFS('Por foco'!$F$2:$F$579,'Por foco'!$A$2:$A$579,$A62,'Por foco'!$B$2:$B$579,$B62)</f>
        <v>150</v>
      </c>
      <c r="F62" s="2" t="n">
        <f aca="false">SUMIFS('Por foco'!$G$2:$G$579,'Por foco'!$A$2:$A$579,$A62,'Por foco'!$B$2:$B$579,$B62)</f>
        <v>0</v>
      </c>
      <c r="G62" s="2" t="n">
        <f aca="false">SUMIFS('Por foco'!$H$2:$H$579,'Por foco'!$A$2:$A$579,$A62,'Por foco'!$B$2:$B$579,$B62)</f>
        <v>15</v>
      </c>
      <c r="H62" s="2" t="n">
        <f aca="false">SUMIFS('Por foco'!$I$2:$I$579,'Por foco'!$A$2:$A$579,$A62,'Por foco'!$B$2:$B$579,$B62)</f>
        <v>100000</v>
      </c>
      <c r="I62" s="2" t="n">
        <f aca="false">SUMIFS('Por foco'!$J$2:$J$579,'Por foco'!$A$2:$A$579,$A62,'Por foco'!$B$2:$B$579,$B62)</f>
        <v>100</v>
      </c>
      <c r="J62" s="2" t="n">
        <f aca="false">SUMIFS('Por foco'!$K$2:$K$579,'Por foco'!$A$2:$A$579,$A62,'Por foco'!$B$2:$B$579,$B62)</f>
        <v>0</v>
      </c>
      <c r="K62" s="2" t="n">
        <f aca="false">SUMIFS('Por foco'!$L$2:$L$579,'Por foco'!$A$2:$A$579,$A62,'Por foco'!$B$2:$B$579,$B62)</f>
        <v>0</v>
      </c>
      <c r="L62" s="2" t="n">
        <f aca="false">SUMIFS('Por foco'!$M$2:$M$579,'Por foco'!$A$2:$A$579,$A62,'Por foco'!$B$2:$B$579,$B62)</f>
        <v>1</v>
      </c>
      <c r="M62" s="2" t="n">
        <f aca="false">SUMIFS('Por foco'!$N$2:$N$579,'Por foco'!$A$2:$A$579,$A62,'Por foco'!$B$2:$B$579,$B62)</f>
        <v>2</v>
      </c>
      <c r="N62" s="2" t="n">
        <f aca="false">SUMIFS('Por foco'!$O$2:$O$579,'Por foco'!$A$2:$A$579,$A62,'Por foco'!$B$2:$B$579,$B62)</f>
        <v>0</v>
      </c>
      <c r="O62" s="2" t="n">
        <f aca="false">SUMIFS('Por foco'!$P$2:$P$579,'Por foco'!$A$2:$A$579,$A62,'Por foco'!$B$2:$B$579,$B62)</f>
        <v>0</v>
      </c>
      <c r="P62" s="2" t="n">
        <f aca="false">SUMIFS('Por foco'!$Q$2:$Q$579,'Por foco'!$A$2:$A$579,$A62,'Por foco'!$B$2:$B$579,$B62)</f>
        <v>0</v>
      </c>
      <c r="Q62" s="2" t="n">
        <f aca="false">SUMIFS('Por foco'!$R$2:$R$579,'Por foco'!$A$2:$A$579,$A62,'Por foco'!$B$2:$B$579,$B62)</f>
        <v>0</v>
      </c>
      <c r="R62" s="2" t="n">
        <f aca="false">SUMIFS('Por foco'!$S$2:$S$579,'Por foco'!$A$2:$A$579,$A62,'Por foco'!$B$2:$B$579,$B62)</f>
        <v>0</v>
      </c>
      <c r="S62" s="2" t="n">
        <f aca="false">SUMIFS('Por foco'!$T$2:$T$579,'Por foco'!$A$2:$A$579,$A62,'Por foco'!$B$2:$B$579,$B62)</f>
        <v>0</v>
      </c>
      <c r="T62" s="2" t="n">
        <f aca="false">SUMIFS('Por foco'!$U$2:$U$579,'Por foco'!$A$2:$A$579,$A62,'Por foco'!$B$2:$B$579,$B62)</f>
        <v>0</v>
      </c>
      <c r="U62" s="2" t="n">
        <f aca="false">SUMIFS('Por foco'!$V$2:$V$579,'Por foco'!$A$2:$A$579,$A62,'Por foco'!$B$2:$B$579,$B62)</f>
        <v>0</v>
      </c>
      <c r="V62" s="2" t="n">
        <f aca="false">SUMIFS('Por foco'!$W$2:$W$579,'Por foco'!$A$2:$A$579,$A62,'Por foco'!$B$2:$B$579,$B62)</f>
        <v>1</v>
      </c>
      <c r="W62" s="2" t="n">
        <f aca="false">SUMIFS('Por foco'!$X$2:$X$579,'Por foco'!$A$2:$A$579,$A62,'Por foco'!$B$2:$B$579,$B62)</f>
        <v>2</v>
      </c>
    </row>
    <row r="63" customFormat="false" ht="15" hidden="false" customHeight="false" outlineLevel="0" collapsed="false">
      <c r="A63" s="2" t="s">
        <v>33</v>
      </c>
      <c r="B63" s="2" t="s">
        <v>45</v>
      </c>
      <c r="C63" s="2" t="n">
        <f aca="false">COUNTIFS('Por foco'!$A$2:$A$579,$A63,'Por foco'!$B$2:$B$579,$B63)</f>
        <v>4</v>
      </c>
      <c r="D63" s="2" t="n">
        <f aca="false">SUMIFS('Por foco'!$E$2:$E$579,'Por foco'!$A$2:$A$579,$A63,'Por foco'!$B$2:$B$579,$B63)</f>
        <v>315</v>
      </c>
      <c r="E63" s="2" t="n">
        <f aca="false">SUMIFS('Por foco'!$F$2:$F$579,'Por foco'!$A$2:$A$579,$A63,'Por foco'!$B$2:$B$579,$B63)</f>
        <v>170</v>
      </c>
      <c r="F63" s="2" t="n">
        <f aca="false">SUMIFS('Por foco'!$G$2:$G$579,'Por foco'!$A$2:$A$579,$A63,'Por foco'!$B$2:$B$579,$B63)</f>
        <v>5</v>
      </c>
      <c r="G63" s="2" t="n">
        <f aca="false">SUMIFS('Por foco'!$H$2:$H$579,'Por foco'!$A$2:$A$579,$A63,'Por foco'!$B$2:$B$579,$B63)</f>
        <v>5</v>
      </c>
      <c r="H63" s="2" t="n">
        <f aca="false">SUMIFS('Por foco'!$I$2:$I$579,'Por foco'!$A$2:$A$579,$A63,'Por foco'!$B$2:$B$579,$B63)</f>
        <v>0</v>
      </c>
      <c r="I63" s="2" t="n">
        <f aca="false">SUMIFS('Por foco'!$J$2:$J$579,'Por foco'!$A$2:$A$579,$A63,'Por foco'!$B$2:$B$579,$B63)</f>
        <v>25</v>
      </c>
      <c r="J63" s="2" t="n">
        <f aca="false">SUMIFS('Por foco'!$K$2:$K$579,'Por foco'!$A$2:$A$579,$A63,'Por foco'!$B$2:$B$579,$B63)</f>
        <v>0</v>
      </c>
      <c r="K63" s="2" t="n">
        <f aca="false">SUMIFS('Por foco'!$L$2:$L$579,'Por foco'!$A$2:$A$579,$A63,'Por foco'!$B$2:$B$579,$B63)</f>
        <v>0</v>
      </c>
      <c r="L63" s="2" t="n">
        <f aca="false">SUMIFS('Por foco'!$M$2:$M$579,'Por foco'!$A$2:$A$579,$A63,'Por foco'!$B$2:$B$579,$B63)</f>
        <v>0</v>
      </c>
      <c r="M63" s="2" t="n">
        <f aca="false">SUMIFS('Por foco'!$N$2:$N$579,'Por foco'!$A$2:$A$579,$A63,'Por foco'!$B$2:$B$579,$B63)</f>
        <v>0</v>
      </c>
      <c r="N63" s="2" t="n">
        <f aca="false">SUMIFS('Por foco'!$O$2:$O$579,'Por foco'!$A$2:$A$579,$A63,'Por foco'!$B$2:$B$579,$B63)</f>
        <v>0</v>
      </c>
      <c r="O63" s="2" t="n">
        <f aca="false">SUMIFS('Por foco'!$P$2:$P$579,'Por foco'!$A$2:$A$579,$A63,'Por foco'!$B$2:$B$579,$B63)</f>
        <v>0</v>
      </c>
      <c r="P63" s="2" t="n">
        <f aca="false">SUMIFS('Por foco'!$Q$2:$Q$579,'Por foco'!$A$2:$A$579,$A63,'Por foco'!$B$2:$B$579,$B63)</f>
        <v>0</v>
      </c>
      <c r="Q63" s="2" t="n">
        <f aca="false">SUMIFS('Por foco'!$R$2:$R$579,'Por foco'!$A$2:$A$579,$A63,'Por foco'!$B$2:$B$579,$B63)</f>
        <v>0</v>
      </c>
      <c r="R63" s="2" t="n">
        <f aca="false">SUMIFS('Por foco'!$S$2:$S$579,'Por foco'!$A$2:$A$579,$A63,'Por foco'!$B$2:$B$579,$B63)</f>
        <v>0</v>
      </c>
      <c r="S63" s="2" t="n">
        <f aca="false">SUMIFS('Por foco'!$T$2:$T$579,'Por foco'!$A$2:$A$579,$A63,'Por foco'!$B$2:$B$579,$B63)</f>
        <v>0</v>
      </c>
      <c r="T63" s="2" t="n">
        <f aca="false">SUMIFS('Por foco'!$U$2:$U$579,'Por foco'!$A$2:$A$579,$A63,'Por foco'!$B$2:$B$579,$B63)</f>
        <v>0</v>
      </c>
      <c r="U63" s="2" t="n">
        <f aca="false">SUMIFS('Por foco'!$V$2:$V$579,'Por foco'!$A$2:$A$579,$A63,'Por foco'!$B$2:$B$579,$B63)</f>
        <v>0</v>
      </c>
      <c r="V63" s="2" t="n">
        <f aca="false">SUMIFS('Por foco'!$W$2:$W$579,'Por foco'!$A$2:$A$579,$A63,'Por foco'!$B$2:$B$579,$B63)</f>
        <v>12</v>
      </c>
      <c r="W63" s="2" t="n">
        <f aca="false">SUMIFS('Por foco'!$X$2:$X$579,'Por foco'!$A$2:$A$579,$A63,'Por foco'!$B$2:$B$579,$B63)</f>
        <v>1</v>
      </c>
    </row>
    <row r="64" customFormat="false" ht="15" hidden="false" customHeight="false" outlineLevel="0" collapsed="false">
      <c r="A64" s="2" t="s">
        <v>33</v>
      </c>
      <c r="B64" s="2" t="s">
        <v>99</v>
      </c>
      <c r="C64" s="2" t="n">
        <f aca="false">COUNTIFS('Por foco'!$A$2:$A$579,$A64,'Por foco'!$B$2:$B$579,$B64)</f>
        <v>7</v>
      </c>
      <c r="D64" s="2" t="n">
        <f aca="false">SUMIFS('Por foco'!$E$2:$E$579,'Por foco'!$A$2:$A$579,$A64,'Por foco'!$B$2:$B$579,$B64)</f>
        <v>469</v>
      </c>
      <c r="E64" s="2" t="n">
        <f aca="false">SUMIFS('Por foco'!$F$2:$F$579,'Por foco'!$A$2:$A$579,$A64,'Por foco'!$B$2:$B$579,$B64)</f>
        <v>250</v>
      </c>
      <c r="F64" s="2" t="n">
        <f aca="false">SUMIFS('Por foco'!$G$2:$G$579,'Por foco'!$A$2:$A$579,$A64,'Por foco'!$B$2:$B$579,$B64)</f>
        <v>10</v>
      </c>
      <c r="G64" s="2" t="n">
        <f aca="false">SUMIFS('Por foco'!$H$2:$H$579,'Por foco'!$A$2:$A$579,$A64,'Por foco'!$B$2:$B$579,$B64)</f>
        <v>0</v>
      </c>
      <c r="H64" s="2" t="n">
        <f aca="false">SUMIFS('Por foco'!$I$2:$I$579,'Por foco'!$A$2:$A$579,$A64,'Por foco'!$B$2:$B$579,$B64)</f>
        <v>150000</v>
      </c>
      <c r="I64" s="2" t="n">
        <f aca="false">SUMIFS('Por foco'!$J$2:$J$579,'Por foco'!$A$2:$A$579,$A64,'Por foco'!$B$2:$B$579,$B64)</f>
        <v>50</v>
      </c>
      <c r="J64" s="2" t="n">
        <f aca="false">SUMIFS('Por foco'!$K$2:$K$579,'Por foco'!$A$2:$A$579,$A64,'Por foco'!$B$2:$B$579,$B64)</f>
        <v>0</v>
      </c>
      <c r="K64" s="2" t="n">
        <f aca="false">SUMIFS('Por foco'!$L$2:$L$579,'Por foco'!$A$2:$A$579,$A64,'Por foco'!$B$2:$B$579,$B64)</f>
        <v>0</v>
      </c>
      <c r="L64" s="2" t="n">
        <f aca="false">SUMIFS('Por foco'!$M$2:$M$579,'Por foco'!$A$2:$A$579,$A64,'Por foco'!$B$2:$B$579,$B64)</f>
        <v>0</v>
      </c>
      <c r="M64" s="2" t="n">
        <f aca="false">SUMIFS('Por foco'!$N$2:$N$579,'Por foco'!$A$2:$A$579,$A64,'Por foco'!$B$2:$B$579,$B64)</f>
        <v>2</v>
      </c>
      <c r="N64" s="2" t="n">
        <f aca="false">SUMIFS('Por foco'!$O$2:$O$579,'Por foco'!$A$2:$A$579,$A64,'Por foco'!$B$2:$B$579,$B64)</f>
        <v>4</v>
      </c>
      <c r="O64" s="2" t="n">
        <f aca="false">SUMIFS('Por foco'!$P$2:$P$579,'Por foco'!$A$2:$A$579,$A64,'Por foco'!$B$2:$B$579,$B64)</f>
        <v>0</v>
      </c>
      <c r="P64" s="2" t="n">
        <f aca="false">SUMIFS('Por foco'!$Q$2:$Q$579,'Por foco'!$A$2:$A$579,$A64,'Por foco'!$B$2:$B$579,$B64)</f>
        <v>0</v>
      </c>
      <c r="Q64" s="2" t="n">
        <f aca="false">SUMIFS('Por foco'!$R$2:$R$579,'Por foco'!$A$2:$A$579,$A64,'Por foco'!$B$2:$B$579,$B64)</f>
        <v>0</v>
      </c>
      <c r="R64" s="2" t="n">
        <f aca="false">SUMIFS('Por foco'!$S$2:$S$579,'Por foco'!$A$2:$A$579,$A64,'Por foco'!$B$2:$B$579,$B64)</f>
        <v>0</v>
      </c>
      <c r="S64" s="2" t="n">
        <f aca="false">SUMIFS('Por foco'!$T$2:$T$579,'Por foco'!$A$2:$A$579,$A64,'Por foco'!$B$2:$B$579,$B64)</f>
        <v>0</v>
      </c>
      <c r="T64" s="2" t="n">
        <f aca="false">SUMIFS('Por foco'!$U$2:$U$579,'Por foco'!$A$2:$A$579,$A64,'Por foco'!$B$2:$B$579,$B64)</f>
        <v>0</v>
      </c>
      <c r="U64" s="2" t="n">
        <f aca="false">SUMIFS('Por foco'!$V$2:$V$579,'Por foco'!$A$2:$A$579,$A64,'Por foco'!$B$2:$B$579,$B64)</f>
        <v>0</v>
      </c>
      <c r="V64" s="2" t="n">
        <f aca="false">SUMIFS('Por foco'!$W$2:$W$579,'Por foco'!$A$2:$A$579,$A64,'Por foco'!$B$2:$B$579,$B64)</f>
        <v>0</v>
      </c>
      <c r="W64" s="2" t="n">
        <f aca="false">SUMIFS('Por foco'!$X$2:$X$579,'Por foco'!$A$2:$A$579,$A64,'Por foco'!$B$2:$B$579,$B64)</f>
        <v>3</v>
      </c>
    </row>
    <row r="65" customFormat="false" ht="15" hidden="false" customHeight="false" outlineLevel="0" collapsed="false">
      <c r="A65" s="2" t="s">
        <v>33</v>
      </c>
      <c r="B65" s="2" t="s">
        <v>100</v>
      </c>
      <c r="C65" s="2" t="n">
        <f aca="false">COUNTIFS('Por foco'!$A$2:$A$579,$A65,'Por foco'!$B$2:$B$579,$B65)</f>
        <v>6</v>
      </c>
      <c r="D65" s="2" t="n">
        <f aca="false">SUMIFS('Por foco'!$E$2:$E$579,'Por foco'!$A$2:$A$579,$A65,'Por foco'!$B$2:$B$579,$B65)</f>
        <v>420</v>
      </c>
      <c r="E65" s="2" t="n">
        <f aca="false">SUMIFS('Por foco'!$F$2:$F$579,'Por foco'!$A$2:$A$579,$A65,'Por foco'!$B$2:$B$579,$B65)</f>
        <v>0</v>
      </c>
      <c r="F65" s="2" t="n">
        <f aca="false">SUMIFS('Por foco'!$G$2:$G$579,'Por foco'!$A$2:$A$579,$A65,'Por foco'!$B$2:$B$579,$B65)</f>
        <v>0</v>
      </c>
      <c r="G65" s="2" t="n">
        <f aca="false">SUMIFS('Por foco'!$H$2:$H$579,'Por foco'!$A$2:$A$579,$A65,'Por foco'!$B$2:$B$579,$B65)</f>
        <v>0</v>
      </c>
      <c r="H65" s="2" t="n">
        <f aca="false">SUMIFS('Por foco'!$I$2:$I$579,'Por foco'!$A$2:$A$579,$A65,'Por foco'!$B$2:$B$579,$B65)</f>
        <v>0</v>
      </c>
      <c r="I65" s="2" t="n">
        <f aca="false">SUMIFS('Por foco'!$J$2:$J$579,'Por foco'!$A$2:$A$579,$A65,'Por foco'!$B$2:$B$579,$B65)</f>
        <v>0</v>
      </c>
      <c r="J65" s="2" t="n">
        <f aca="false">SUMIFS('Por foco'!$K$2:$K$579,'Por foco'!$A$2:$A$579,$A65,'Por foco'!$B$2:$B$579,$B65)</f>
        <v>0</v>
      </c>
      <c r="K65" s="2" t="n">
        <f aca="false">SUMIFS('Por foco'!$L$2:$L$579,'Por foco'!$A$2:$A$579,$A65,'Por foco'!$B$2:$B$579,$B65)</f>
        <v>0</v>
      </c>
      <c r="L65" s="2" t="n">
        <f aca="false">SUMIFS('Por foco'!$M$2:$M$579,'Por foco'!$A$2:$A$579,$A65,'Por foco'!$B$2:$B$579,$B65)</f>
        <v>0</v>
      </c>
      <c r="M65" s="2" t="n">
        <f aca="false">SUMIFS('Por foco'!$N$2:$N$579,'Por foco'!$A$2:$A$579,$A65,'Por foco'!$B$2:$B$579,$B65)</f>
        <v>2</v>
      </c>
      <c r="N65" s="2" t="n">
        <f aca="false">SUMIFS('Por foco'!$O$2:$O$579,'Por foco'!$A$2:$A$579,$A65,'Por foco'!$B$2:$B$579,$B65)</f>
        <v>4</v>
      </c>
      <c r="O65" s="2" t="n">
        <f aca="false">SUMIFS('Por foco'!$P$2:$P$579,'Por foco'!$A$2:$A$579,$A65,'Por foco'!$B$2:$B$579,$B65)</f>
        <v>0</v>
      </c>
      <c r="P65" s="2" t="n">
        <f aca="false">SUMIFS('Por foco'!$Q$2:$Q$579,'Por foco'!$A$2:$A$579,$A65,'Por foco'!$B$2:$B$579,$B65)</f>
        <v>1</v>
      </c>
      <c r="Q65" s="2" t="n">
        <f aca="false">SUMIFS('Por foco'!$R$2:$R$579,'Por foco'!$A$2:$A$579,$A65,'Por foco'!$B$2:$B$579,$B65)</f>
        <v>3</v>
      </c>
      <c r="R65" s="2" t="n">
        <f aca="false">SUMIFS('Por foco'!$S$2:$S$579,'Por foco'!$A$2:$A$579,$A65,'Por foco'!$B$2:$B$579,$B65)</f>
        <v>0</v>
      </c>
      <c r="S65" s="2" t="n">
        <f aca="false">SUMIFS('Por foco'!$T$2:$T$579,'Por foco'!$A$2:$A$579,$A65,'Por foco'!$B$2:$B$579,$B65)</f>
        <v>0</v>
      </c>
      <c r="T65" s="2" t="n">
        <f aca="false">SUMIFS('Por foco'!$U$2:$U$579,'Por foco'!$A$2:$A$579,$A65,'Por foco'!$B$2:$B$579,$B65)</f>
        <v>0</v>
      </c>
      <c r="U65" s="2" t="n">
        <f aca="false">SUMIFS('Por foco'!$V$2:$V$579,'Por foco'!$A$2:$A$579,$A65,'Por foco'!$B$2:$B$579,$B65)</f>
        <v>0</v>
      </c>
      <c r="V65" s="2" t="n">
        <f aca="false">SUMIFS('Por foco'!$W$2:$W$579,'Por foco'!$A$2:$A$579,$A65,'Por foco'!$B$2:$B$579,$B65)</f>
        <v>0</v>
      </c>
      <c r="W65" s="2" t="n">
        <f aca="false">SUMIFS('Por foco'!$X$2:$X$579,'Por foco'!$A$2:$A$579,$A65,'Por foco'!$B$2:$B$579,$B65)</f>
        <v>3</v>
      </c>
    </row>
    <row r="66" customFormat="false" ht="15" hidden="false" customHeight="false" outlineLevel="0" collapsed="false">
      <c r="A66" s="2" t="s">
        <v>33</v>
      </c>
      <c r="B66" s="2" t="s">
        <v>101</v>
      </c>
      <c r="C66" s="2" t="n">
        <f aca="false">COUNTIFS('Por foco'!$A$2:$A$579,$A66,'Por foco'!$B$2:$B$579,$B66)</f>
        <v>6</v>
      </c>
      <c r="D66" s="2" t="n">
        <f aca="false">SUMIFS('Por foco'!$E$2:$E$579,'Por foco'!$A$2:$A$579,$A66,'Por foco'!$B$2:$B$579,$B66)</f>
        <v>385</v>
      </c>
      <c r="E66" s="2" t="n">
        <f aca="false">SUMIFS('Por foco'!$F$2:$F$579,'Por foco'!$A$2:$A$579,$A66,'Por foco'!$B$2:$B$579,$B66)</f>
        <v>0</v>
      </c>
      <c r="F66" s="2" t="n">
        <f aca="false">SUMIFS('Por foco'!$G$2:$G$579,'Por foco'!$A$2:$A$579,$A66,'Por foco'!$B$2:$B$579,$B66)</f>
        <v>0</v>
      </c>
      <c r="G66" s="2" t="n">
        <f aca="false">SUMIFS('Por foco'!$H$2:$H$579,'Por foco'!$A$2:$A$579,$A66,'Por foco'!$B$2:$B$579,$B66)</f>
        <v>0</v>
      </c>
      <c r="H66" s="2" t="n">
        <f aca="false">SUMIFS('Por foco'!$I$2:$I$579,'Por foco'!$A$2:$A$579,$A66,'Por foco'!$B$2:$B$579,$B66)</f>
        <v>0</v>
      </c>
      <c r="I66" s="2" t="n">
        <f aca="false">SUMIFS('Por foco'!$J$2:$J$579,'Por foco'!$A$2:$A$579,$A66,'Por foco'!$B$2:$B$579,$B66)</f>
        <v>0</v>
      </c>
      <c r="J66" s="2" t="n">
        <f aca="false">SUMIFS('Por foco'!$K$2:$K$579,'Por foco'!$A$2:$A$579,$A66,'Por foco'!$B$2:$B$579,$B66)</f>
        <v>0</v>
      </c>
      <c r="K66" s="2" t="n">
        <f aca="false">SUMIFS('Por foco'!$L$2:$L$579,'Por foco'!$A$2:$A$579,$A66,'Por foco'!$B$2:$B$579,$B66)</f>
        <v>0</v>
      </c>
      <c r="L66" s="2" t="n">
        <f aca="false">SUMIFS('Por foco'!$M$2:$M$579,'Por foco'!$A$2:$A$579,$A66,'Por foco'!$B$2:$B$579,$B66)</f>
        <v>1</v>
      </c>
      <c r="M66" s="2" t="n">
        <f aca="false">SUMIFS('Por foco'!$N$2:$N$579,'Por foco'!$A$2:$A$579,$A66,'Por foco'!$B$2:$B$579,$B66)</f>
        <v>1</v>
      </c>
      <c r="N66" s="2" t="n">
        <f aca="false">SUMIFS('Por foco'!$O$2:$O$579,'Por foco'!$A$2:$A$579,$A66,'Por foco'!$B$2:$B$579,$B66)</f>
        <v>7</v>
      </c>
      <c r="O66" s="2" t="n">
        <f aca="false">SUMIFS('Por foco'!$P$2:$P$579,'Por foco'!$A$2:$A$579,$A66,'Por foco'!$B$2:$B$579,$B66)</f>
        <v>2</v>
      </c>
      <c r="P66" s="2" t="n">
        <f aca="false">SUMIFS('Por foco'!$Q$2:$Q$579,'Por foco'!$A$2:$A$579,$A66,'Por foco'!$B$2:$B$579,$B66)</f>
        <v>2</v>
      </c>
      <c r="Q66" s="2" t="n">
        <f aca="false">SUMIFS('Por foco'!$R$2:$R$579,'Por foco'!$A$2:$A$579,$A66,'Por foco'!$B$2:$B$579,$B66)</f>
        <v>1</v>
      </c>
      <c r="R66" s="2" t="n">
        <f aca="false">SUMIFS('Por foco'!$S$2:$S$579,'Por foco'!$A$2:$A$579,$A66,'Por foco'!$B$2:$B$579,$B66)</f>
        <v>0</v>
      </c>
      <c r="S66" s="2" t="n">
        <f aca="false">SUMIFS('Por foco'!$T$2:$T$579,'Por foco'!$A$2:$A$579,$A66,'Por foco'!$B$2:$B$579,$B66)</f>
        <v>0</v>
      </c>
      <c r="T66" s="2" t="n">
        <f aca="false">SUMIFS('Por foco'!$U$2:$U$579,'Por foco'!$A$2:$A$579,$A66,'Por foco'!$B$2:$B$579,$B66)</f>
        <v>0</v>
      </c>
      <c r="U66" s="2" t="n">
        <f aca="false">SUMIFS('Por foco'!$V$2:$V$579,'Por foco'!$A$2:$A$579,$A66,'Por foco'!$B$2:$B$579,$B66)</f>
        <v>0</v>
      </c>
      <c r="V66" s="2" t="n">
        <f aca="false">SUMIFS('Por foco'!$W$2:$W$579,'Por foco'!$A$2:$A$579,$A66,'Por foco'!$B$2:$B$579,$B66)</f>
        <v>0</v>
      </c>
      <c r="W66" s="2" t="n">
        <f aca="false">SUMIFS('Por foco'!$X$2:$X$579,'Por foco'!$A$2:$A$579,$A66,'Por foco'!$B$2:$B$579,$B66)</f>
        <v>1</v>
      </c>
    </row>
    <row r="67" customFormat="false" ht="15" hidden="false" customHeight="false" outlineLevel="0" collapsed="false">
      <c r="A67" s="2" t="s">
        <v>33</v>
      </c>
      <c r="B67" s="2" t="s">
        <v>102</v>
      </c>
      <c r="C67" s="2" t="n">
        <f aca="false">COUNTIFS('Por foco'!$A$2:$A$579,$A67,'Por foco'!$B$2:$B$579,$B67)</f>
        <v>6</v>
      </c>
      <c r="D67" s="2" t="n">
        <f aca="false">SUMIFS('Por foco'!$E$2:$E$579,'Por foco'!$A$2:$A$579,$A67,'Por foco'!$B$2:$B$579,$B67)</f>
        <v>343</v>
      </c>
      <c r="E67" s="2" t="n">
        <f aca="false">SUMIFS('Por foco'!$F$2:$F$579,'Por foco'!$A$2:$A$579,$A67,'Por foco'!$B$2:$B$579,$B67)</f>
        <v>0</v>
      </c>
      <c r="F67" s="2" t="n">
        <f aca="false">SUMIFS('Por foco'!$G$2:$G$579,'Por foco'!$A$2:$A$579,$A67,'Por foco'!$B$2:$B$579,$B67)</f>
        <v>0</v>
      </c>
      <c r="G67" s="2" t="n">
        <f aca="false">SUMIFS('Por foco'!$H$2:$H$579,'Por foco'!$A$2:$A$579,$A67,'Por foco'!$B$2:$B$579,$B67)</f>
        <v>0</v>
      </c>
      <c r="H67" s="2" t="n">
        <f aca="false">SUMIFS('Por foco'!$I$2:$I$579,'Por foco'!$A$2:$A$579,$A67,'Por foco'!$B$2:$B$579,$B67)</f>
        <v>0</v>
      </c>
      <c r="I67" s="2" t="n">
        <f aca="false">SUMIFS('Por foco'!$J$2:$J$579,'Por foco'!$A$2:$A$579,$A67,'Por foco'!$B$2:$B$579,$B67)</f>
        <v>225</v>
      </c>
      <c r="J67" s="2" t="n">
        <f aca="false">SUMIFS('Por foco'!$K$2:$K$579,'Por foco'!$A$2:$A$579,$A67,'Por foco'!$B$2:$B$579,$B67)</f>
        <v>0</v>
      </c>
      <c r="K67" s="2" t="n">
        <f aca="false">SUMIFS('Por foco'!$L$2:$L$579,'Por foco'!$A$2:$A$579,$A67,'Por foco'!$B$2:$B$579,$B67)</f>
        <v>0</v>
      </c>
      <c r="L67" s="2" t="n">
        <f aca="false">SUMIFS('Por foco'!$M$2:$M$579,'Por foco'!$A$2:$A$579,$A67,'Por foco'!$B$2:$B$579,$B67)</f>
        <v>0</v>
      </c>
      <c r="M67" s="2" t="n">
        <f aca="false">SUMIFS('Por foco'!$N$2:$N$579,'Por foco'!$A$2:$A$579,$A67,'Por foco'!$B$2:$B$579,$B67)</f>
        <v>5</v>
      </c>
      <c r="N67" s="2" t="n">
        <f aca="false">SUMIFS('Por foco'!$O$2:$O$579,'Por foco'!$A$2:$A$579,$A67,'Por foco'!$B$2:$B$579,$B67)</f>
        <v>0</v>
      </c>
      <c r="O67" s="2" t="n">
        <f aca="false">SUMIFS('Por foco'!$P$2:$P$579,'Por foco'!$A$2:$A$579,$A67,'Por foco'!$B$2:$B$579,$B67)</f>
        <v>0</v>
      </c>
      <c r="P67" s="2" t="n">
        <f aca="false">SUMIFS('Por foco'!$Q$2:$Q$579,'Por foco'!$A$2:$A$579,$A67,'Por foco'!$B$2:$B$579,$B67)</f>
        <v>0</v>
      </c>
      <c r="Q67" s="2" t="n">
        <f aca="false">SUMIFS('Por foco'!$R$2:$R$579,'Por foco'!$A$2:$A$579,$A67,'Por foco'!$B$2:$B$579,$B67)</f>
        <v>0</v>
      </c>
      <c r="R67" s="2" t="n">
        <f aca="false">SUMIFS('Por foco'!$S$2:$S$579,'Por foco'!$A$2:$A$579,$A67,'Por foco'!$B$2:$B$579,$B67)</f>
        <v>0</v>
      </c>
      <c r="S67" s="2" t="n">
        <f aca="false">SUMIFS('Por foco'!$T$2:$T$579,'Por foco'!$A$2:$A$579,$A67,'Por foco'!$B$2:$B$579,$B67)</f>
        <v>0</v>
      </c>
      <c r="T67" s="2" t="n">
        <f aca="false">SUMIFS('Por foco'!$U$2:$U$579,'Por foco'!$A$2:$A$579,$A67,'Por foco'!$B$2:$B$579,$B67)</f>
        <v>0</v>
      </c>
      <c r="U67" s="2" t="n">
        <f aca="false">SUMIFS('Por foco'!$V$2:$V$579,'Por foco'!$A$2:$A$579,$A67,'Por foco'!$B$2:$B$579,$B67)</f>
        <v>0</v>
      </c>
      <c r="V67" s="2" t="n">
        <f aca="false">SUMIFS('Por foco'!$W$2:$W$579,'Por foco'!$A$2:$A$579,$A67,'Por foco'!$B$2:$B$579,$B67)</f>
        <v>0</v>
      </c>
      <c r="W67" s="2" t="n">
        <f aca="false">SUMIFS('Por foco'!$X$2:$X$579,'Por foco'!$A$2:$A$579,$A67,'Por foco'!$B$2:$B$579,$B67)</f>
        <v>2</v>
      </c>
    </row>
    <row r="68" customFormat="false" ht="15" hidden="false" customHeight="false" outlineLevel="0" collapsed="false">
      <c r="A68" s="2" t="s">
        <v>33</v>
      </c>
      <c r="B68" s="2" t="s">
        <v>103</v>
      </c>
      <c r="C68" s="2" t="n">
        <f aca="false">COUNTIFS('Por foco'!$A$2:$A$579,$A68,'Por foco'!$B$2:$B$579,$B68)</f>
        <v>6</v>
      </c>
      <c r="D68" s="2" t="n">
        <f aca="false">SUMIFS('Por foco'!$E$2:$E$579,'Por foco'!$A$2:$A$579,$A68,'Por foco'!$B$2:$B$579,$B68)</f>
        <v>343</v>
      </c>
      <c r="E68" s="2" t="n">
        <f aca="false">SUMIFS('Por foco'!$F$2:$F$579,'Por foco'!$A$2:$A$579,$A68,'Por foco'!$B$2:$B$579,$B68)</f>
        <v>0</v>
      </c>
      <c r="F68" s="2" t="n">
        <f aca="false">SUMIFS('Por foco'!$G$2:$G$579,'Por foco'!$A$2:$A$579,$A68,'Por foco'!$B$2:$B$579,$B68)</f>
        <v>0</v>
      </c>
      <c r="G68" s="2" t="n">
        <f aca="false">SUMIFS('Por foco'!$H$2:$H$579,'Por foco'!$A$2:$A$579,$A68,'Por foco'!$B$2:$B$579,$B68)</f>
        <v>0</v>
      </c>
      <c r="H68" s="2" t="n">
        <f aca="false">SUMIFS('Por foco'!$I$2:$I$579,'Por foco'!$A$2:$A$579,$A68,'Por foco'!$B$2:$B$579,$B68)</f>
        <v>20000</v>
      </c>
      <c r="I68" s="2" t="n">
        <f aca="false">SUMIFS('Por foco'!$J$2:$J$579,'Por foco'!$A$2:$A$579,$A68,'Por foco'!$B$2:$B$579,$B68)</f>
        <v>25</v>
      </c>
      <c r="J68" s="2" t="n">
        <f aca="false">SUMIFS('Por foco'!$K$2:$K$579,'Por foco'!$A$2:$A$579,$A68,'Por foco'!$B$2:$B$579,$B68)</f>
        <v>25</v>
      </c>
      <c r="K68" s="2" t="n">
        <f aca="false">SUMIFS('Por foco'!$L$2:$L$579,'Por foco'!$A$2:$A$579,$A68,'Por foco'!$B$2:$B$579,$B68)</f>
        <v>50</v>
      </c>
      <c r="L68" s="2" t="n">
        <f aca="false">SUMIFS('Por foco'!$M$2:$M$579,'Por foco'!$A$2:$A$579,$A68,'Por foco'!$B$2:$B$579,$B68)</f>
        <v>0</v>
      </c>
      <c r="M68" s="2" t="n">
        <f aca="false">SUMIFS('Por foco'!$N$2:$N$579,'Por foco'!$A$2:$A$579,$A68,'Por foco'!$B$2:$B$579,$B68)</f>
        <v>7</v>
      </c>
      <c r="N68" s="2" t="n">
        <f aca="false">SUMIFS('Por foco'!$O$2:$O$579,'Por foco'!$A$2:$A$579,$A68,'Por foco'!$B$2:$B$579,$B68)</f>
        <v>0</v>
      </c>
      <c r="O68" s="2" t="n">
        <f aca="false">SUMIFS('Por foco'!$P$2:$P$579,'Por foco'!$A$2:$A$579,$A68,'Por foco'!$B$2:$B$579,$B68)</f>
        <v>0</v>
      </c>
      <c r="P68" s="2" t="n">
        <f aca="false">SUMIFS('Por foco'!$Q$2:$Q$579,'Por foco'!$A$2:$A$579,$A68,'Por foco'!$B$2:$B$579,$B68)</f>
        <v>2</v>
      </c>
      <c r="Q68" s="2" t="n">
        <f aca="false">SUMIFS('Por foco'!$R$2:$R$579,'Por foco'!$A$2:$A$579,$A68,'Por foco'!$B$2:$B$579,$B68)</f>
        <v>0</v>
      </c>
      <c r="R68" s="2" t="n">
        <f aca="false">SUMIFS('Por foco'!$S$2:$S$579,'Por foco'!$A$2:$A$579,$A68,'Por foco'!$B$2:$B$579,$B68)</f>
        <v>3</v>
      </c>
      <c r="S68" s="2" t="n">
        <f aca="false">SUMIFS('Por foco'!$T$2:$T$579,'Por foco'!$A$2:$A$579,$A68,'Por foco'!$B$2:$B$579,$B68)</f>
        <v>0</v>
      </c>
      <c r="T68" s="2" t="n">
        <f aca="false">SUMIFS('Por foco'!$U$2:$U$579,'Por foco'!$A$2:$A$579,$A68,'Por foco'!$B$2:$B$579,$B68)</f>
        <v>0</v>
      </c>
      <c r="U68" s="2" t="n">
        <f aca="false">SUMIFS('Por foco'!$V$2:$V$579,'Por foco'!$A$2:$A$579,$A68,'Por foco'!$B$2:$B$579,$B68)</f>
        <v>100</v>
      </c>
      <c r="V68" s="2" t="n">
        <f aca="false">SUMIFS('Por foco'!$W$2:$W$579,'Por foco'!$A$2:$A$579,$A68,'Por foco'!$B$2:$B$579,$B68)</f>
        <v>0</v>
      </c>
      <c r="W68" s="2" t="n">
        <f aca="false">SUMIFS('Por foco'!$X$2:$X$579,'Por foco'!$A$2:$A$579,$A68,'Por foco'!$B$2:$B$579,$B68)</f>
        <v>0</v>
      </c>
    </row>
    <row r="69" customFormat="false" ht="15" hidden="false" customHeight="false" outlineLevel="0" collapsed="false">
      <c r="A69" s="2" t="s">
        <v>33</v>
      </c>
      <c r="B69" s="2" t="s">
        <v>104</v>
      </c>
      <c r="C69" s="2" t="n">
        <f aca="false">COUNTIFS('Por foco'!$A$2:$A$579,$A69,'Por foco'!$B$2:$B$579,$B69)</f>
        <v>7</v>
      </c>
      <c r="D69" s="2" t="n">
        <f aca="false">SUMIFS('Por foco'!$E$2:$E$579,'Por foco'!$A$2:$A$579,$A69,'Por foco'!$B$2:$B$579,$B69)</f>
        <v>413</v>
      </c>
      <c r="E69" s="2" t="n">
        <f aca="false">SUMIFS('Por foco'!$F$2:$F$579,'Por foco'!$A$2:$A$579,$A69,'Por foco'!$B$2:$B$579,$B69)</f>
        <v>200</v>
      </c>
      <c r="F69" s="2" t="n">
        <f aca="false">SUMIFS('Por foco'!$G$2:$G$579,'Por foco'!$A$2:$A$579,$A69,'Por foco'!$B$2:$B$579,$B69)</f>
        <v>0</v>
      </c>
      <c r="G69" s="2" t="n">
        <f aca="false">SUMIFS('Por foco'!$H$2:$H$579,'Por foco'!$A$2:$A$579,$A69,'Por foco'!$B$2:$B$579,$B69)</f>
        <v>0</v>
      </c>
      <c r="H69" s="2" t="n">
        <f aca="false">SUMIFS('Por foco'!$I$2:$I$579,'Por foco'!$A$2:$A$579,$A69,'Por foco'!$B$2:$B$579,$B69)</f>
        <v>50000</v>
      </c>
      <c r="I69" s="2" t="n">
        <f aca="false">SUMIFS('Por foco'!$J$2:$J$579,'Por foco'!$A$2:$A$579,$A69,'Por foco'!$B$2:$B$579,$B69)</f>
        <v>0</v>
      </c>
      <c r="J69" s="2" t="n">
        <f aca="false">SUMIFS('Por foco'!$K$2:$K$579,'Por foco'!$A$2:$A$579,$A69,'Por foco'!$B$2:$B$579,$B69)</f>
        <v>0</v>
      </c>
      <c r="K69" s="2" t="n">
        <f aca="false">SUMIFS('Por foco'!$L$2:$L$579,'Por foco'!$A$2:$A$579,$A69,'Por foco'!$B$2:$B$579,$B69)</f>
        <v>0</v>
      </c>
      <c r="L69" s="2" t="n">
        <f aca="false">SUMIFS('Por foco'!$M$2:$M$579,'Por foco'!$A$2:$A$579,$A69,'Por foco'!$B$2:$B$579,$B69)</f>
        <v>0</v>
      </c>
      <c r="M69" s="2" t="n">
        <f aca="false">SUMIFS('Por foco'!$N$2:$N$579,'Por foco'!$A$2:$A$579,$A69,'Por foco'!$B$2:$B$579,$B69)</f>
        <v>1</v>
      </c>
      <c r="N69" s="2" t="n">
        <f aca="false">SUMIFS('Por foco'!$O$2:$O$579,'Por foco'!$A$2:$A$579,$A69,'Por foco'!$B$2:$B$579,$B69)</f>
        <v>2</v>
      </c>
      <c r="O69" s="2" t="n">
        <f aca="false">SUMIFS('Por foco'!$P$2:$P$579,'Por foco'!$A$2:$A$579,$A69,'Por foco'!$B$2:$B$579,$B69)</f>
        <v>0</v>
      </c>
      <c r="P69" s="2" t="n">
        <f aca="false">SUMIFS('Por foco'!$Q$2:$Q$579,'Por foco'!$A$2:$A$579,$A69,'Por foco'!$B$2:$B$579,$B69)</f>
        <v>0</v>
      </c>
      <c r="Q69" s="2" t="n">
        <f aca="false">SUMIFS('Por foco'!$R$2:$R$579,'Por foco'!$A$2:$A$579,$A69,'Por foco'!$B$2:$B$579,$B69)</f>
        <v>0</v>
      </c>
      <c r="R69" s="2" t="n">
        <f aca="false">SUMIFS('Por foco'!$S$2:$S$579,'Por foco'!$A$2:$A$579,$A69,'Por foco'!$B$2:$B$579,$B69)</f>
        <v>0</v>
      </c>
      <c r="S69" s="2" t="n">
        <f aca="false">SUMIFS('Por foco'!$T$2:$T$579,'Por foco'!$A$2:$A$579,$A69,'Por foco'!$B$2:$B$579,$B69)</f>
        <v>0</v>
      </c>
      <c r="T69" s="2" t="n">
        <f aca="false">SUMIFS('Por foco'!$U$2:$U$579,'Por foco'!$A$2:$A$579,$A69,'Por foco'!$B$2:$B$579,$B69)</f>
        <v>0</v>
      </c>
      <c r="U69" s="2" t="n">
        <f aca="false">SUMIFS('Por foco'!$V$2:$V$579,'Por foco'!$A$2:$A$579,$A69,'Por foco'!$B$2:$B$579,$B69)</f>
        <v>0</v>
      </c>
      <c r="V69" s="2" t="n">
        <f aca="false">SUMIFS('Por foco'!$W$2:$W$579,'Por foco'!$A$2:$A$579,$A69,'Por foco'!$B$2:$B$579,$B69)</f>
        <v>0</v>
      </c>
      <c r="W69" s="2" t="n">
        <f aca="false">SUMIFS('Por foco'!$X$2:$X$579,'Por foco'!$A$2:$A$579,$A69,'Por foco'!$B$2:$B$579,$B69)</f>
        <v>2</v>
      </c>
    </row>
    <row r="70" customFormat="false" ht="15" hidden="false" customHeight="false" outlineLevel="0" collapsed="false">
      <c r="A70" s="2" t="s">
        <v>33</v>
      </c>
      <c r="B70" s="2" t="s">
        <v>105</v>
      </c>
      <c r="C70" s="2" t="n">
        <f aca="false">COUNTIFS('Por foco'!$A$2:$A$579,$A70,'Por foco'!$B$2:$B$579,$B70)</f>
        <v>6</v>
      </c>
      <c r="D70" s="2" t="n">
        <f aca="false">SUMIFS('Por foco'!$E$2:$E$579,'Por foco'!$A$2:$A$579,$A70,'Por foco'!$B$2:$B$579,$B70)</f>
        <v>413</v>
      </c>
      <c r="E70" s="2" t="n">
        <f aca="false">SUMIFS('Por foco'!$F$2:$F$579,'Por foco'!$A$2:$A$579,$A70,'Por foco'!$B$2:$B$579,$B70)</f>
        <v>50</v>
      </c>
      <c r="F70" s="2" t="n">
        <f aca="false">SUMIFS('Por foco'!$G$2:$G$579,'Por foco'!$A$2:$A$579,$A70,'Por foco'!$B$2:$B$579,$B70)</f>
        <v>0</v>
      </c>
      <c r="G70" s="2" t="n">
        <f aca="false">SUMIFS('Por foco'!$H$2:$H$579,'Por foco'!$A$2:$A$579,$A70,'Por foco'!$B$2:$B$579,$B70)</f>
        <v>0</v>
      </c>
      <c r="H70" s="2" t="n">
        <f aca="false">SUMIFS('Por foco'!$I$2:$I$579,'Por foco'!$A$2:$A$579,$A70,'Por foco'!$B$2:$B$579,$B70)</f>
        <v>0</v>
      </c>
      <c r="I70" s="2" t="n">
        <f aca="false">SUMIFS('Por foco'!$J$2:$J$579,'Por foco'!$A$2:$A$579,$A70,'Por foco'!$B$2:$B$579,$B70)</f>
        <v>0</v>
      </c>
      <c r="J70" s="2" t="n">
        <f aca="false">SUMIFS('Por foco'!$K$2:$K$579,'Por foco'!$A$2:$A$579,$A70,'Por foco'!$B$2:$B$579,$B70)</f>
        <v>0</v>
      </c>
      <c r="K70" s="2" t="n">
        <f aca="false">SUMIFS('Por foco'!$L$2:$L$579,'Por foco'!$A$2:$A$579,$A70,'Por foco'!$B$2:$B$579,$B70)</f>
        <v>0</v>
      </c>
      <c r="L70" s="2" t="n">
        <f aca="false">SUMIFS('Por foco'!$M$2:$M$579,'Por foco'!$A$2:$A$579,$A70,'Por foco'!$B$2:$B$579,$B70)</f>
        <v>0</v>
      </c>
      <c r="M70" s="2" t="n">
        <f aca="false">SUMIFS('Por foco'!$N$2:$N$579,'Por foco'!$A$2:$A$579,$A70,'Por foco'!$B$2:$B$579,$B70)</f>
        <v>1</v>
      </c>
      <c r="N70" s="2" t="n">
        <f aca="false">SUMIFS('Por foco'!$O$2:$O$579,'Por foco'!$A$2:$A$579,$A70,'Por foco'!$B$2:$B$579,$B70)</f>
        <v>2</v>
      </c>
      <c r="O70" s="2" t="n">
        <f aca="false">SUMIFS('Por foco'!$P$2:$P$579,'Por foco'!$A$2:$A$579,$A70,'Por foco'!$B$2:$B$579,$B70)</f>
        <v>0</v>
      </c>
      <c r="P70" s="2" t="n">
        <f aca="false">SUMIFS('Por foco'!$Q$2:$Q$579,'Por foco'!$A$2:$A$579,$A70,'Por foco'!$B$2:$B$579,$B70)</f>
        <v>0</v>
      </c>
      <c r="Q70" s="2" t="n">
        <f aca="false">SUMIFS('Por foco'!$R$2:$R$579,'Por foco'!$A$2:$A$579,$A70,'Por foco'!$B$2:$B$579,$B70)</f>
        <v>0</v>
      </c>
      <c r="R70" s="2" t="n">
        <f aca="false">SUMIFS('Por foco'!$S$2:$S$579,'Por foco'!$A$2:$A$579,$A70,'Por foco'!$B$2:$B$579,$B70)</f>
        <v>0</v>
      </c>
      <c r="S70" s="2" t="n">
        <f aca="false">SUMIFS('Por foco'!$T$2:$T$579,'Por foco'!$A$2:$A$579,$A70,'Por foco'!$B$2:$B$579,$B70)</f>
        <v>0</v>
      </c>
      <c r="T70" s="2" t="n">
        <f aca="false">SUMIFS('Por foco'!$U$2:$U$579,'Por foco'!$A$2:$A$579,$A70,'Por foco'!$B$2:$B$579,$B70)</f>
        <v>0</v>
      </c>
      <c r="U70" s="2" t="n">
        <f aca="false">SUMIFS('Por foco'!$V$2:$V$579,'Por foco'!$A$2:$A$579,$A70,'Por foco'!$B$2:$B$579,$B70)</f>
        <v>0</v>
      </c>
      <c r="V70" s="2" t="n">
        <f aca="false">SUMIFS('Por foco'!$W$2:$W$579,'Por foco'!$A$2:$A$579,$A70,'Por foco'!$B$2:$B$579,$B70)</f>
        <v>0</v>
      </c>
      <c r="W70" s="2" t="n">
        <f aca="false">SUMIFS('Por foco'!$X$2:$X$579,'Por foco'!$A$2:$A$579,$A70,'Por foco'!$B$2:$B$579,$B70)</f>
        <v>3</v>
      </c>
    </row>
    <row r="71" customFormat="false" ht="15" hidden="false" customHeight="false" outlineLevel="0" collapsed="false">
      <c r="A71" s="2" t="s">
        <v>34</v>
      </c>
      <c r="B71" s="2" t="s">
        <v>106</v>
      </c>
      <c r="C71" s="2" t="n">
        <f aca="false">COUNTIFS('Por foco'!$A$2:$A$579,$A71,'Por foco'!$B$2:$B$579,$B71)</f>
        <v>10</v>
      </c>
      <c r="D71" s="2" t="n">
        <f aca="false">SUMIFS('Por foco'!$E$2:$E$579,'Por foco'!$A$2:$A$579,$A71,'Por foco'!$B$2:$B$579,$B71)</f>
        <v>679</v>
      </c>
      <c r="E71" s="2" t="n">
        <f aca="false">SUMIFS('Por foco'!$F$2:$F$579,'Por foco'!$A$2:$A$579,$A71,'Por foco'!$B$2:$B$579,$B71)</f>
        <v>400</v>
      </c>
      <c r="F71" s="2" t="n">
        <f aca="false">SUMIFS('Por foco'!$G$2:$G$579,'Por foco'!$A$2:$A$579,$A71,'Por foco'!$B$2:$B$579,$B71)</f>
        <v>3</v>
      </c>
      <c r="G71" s="2" t="n">
        <f aca="false">SUMIFS('Por foco'!$H$2:$H$579,'Por foco'!$A$2:$A$579,$A71,'Por foco'!$B$2:$B$579,$B71)</f>
        <v>5</v>
      </c>
      <c r="H71" s="2" t="n">
        <f aca="false">SUMIFS('Por foco'!$I$2:$I$579,'Por foco'!$A$2:$A$579,$A71,'Por foco'!$B$2:$B$579,$B71)</f>
        <v>0</v>
      </c>
      <c r="I71" s="2" t="n">
        <f aca="false">SUMIFS('Por foco'!$J$2:$J$579,'Por foco'!$A$2:$A$579,$A71,'Por foco'!$B$2:$B$579,$B71)</f>
        <v>0</v>
      </c>
      <c r="J71" s="2" t="n">
        <f aca="false">SUMIFS('Por foco'!$K$2:$K$579,'Por foco'!$A$2:$A$579,$A71,'Por foco'!$B$2:$B$579,$B71)</f>
        <v>0</v>
      </c>
      <c r="K71" s="2" t="n">
        <f aca="false">SUMIFS('Por foco'!$L$2:$L$579,'Por foco'!$A$2:$A$579,$A71,'Por foco'!$B$2:$B$579,$B71)</f>
        <v>0</v>
      </c>
      <c r="L71" s="2" t="n">
        <f aca="false">SUMIFS('Por foco'!$M$2:$M$579,'Por foco'!$A$2:$A$579,$A71,'Por foco'!$B$2:$B$579,$B71)</f>
        <v>1</v>
      </c>
      <c r="M71" s="2" t="n">
        <f aca="false">SUMIFS('Por foco'!$N$2:$N$579,'Por foco'!$A$2:$A$579,$A71,'Por foco'!$B$2:$B$579,$B71)</f>
        <v>0</v>
      </c>
      <c r="N71" s="2" t="n">
        <f aca="false">SUMIFS('Por foco'!$O$2:$O$579,'Por foco'!$A$2:$A$579,$A71,'Por foco'!$B$2:$B$579,$B71)</f>
        <v>0</v>
      </c>
      <c r="O71" s="2" t="n">
        <f aca="false">SUMIFS('Por foco'!$P$2:$P$579,'Por foco'!$A$2:$A$579,$A71,'Por foco'!$B$2:$B$579,$B71)</f>
        <v>0</v>
      </c>
      <c r="P71" s="2" t="n">
        <f aca="false">SUMIFS('Por foco'!$Q$2:$Q$579,'Por foco'!$A$2:$A$579,$A71,'Por foco'!$B$2:$B$579,$B71)</f>
        <v>0</v>
      </c>
      <c r="Q71" s="2" t="n">
        <f aca="false">SUMIFS('Por foco'!$R$2:$R$579,'Por foco'!$A$2:$A$579,$A71,'Por foco'!$B$2:$B$579,$B71)</f>
        <v>4</v>
      </c>
      <c r="R71" s="2" t="n">
        <f aca="false">SUMIFS('Por foco'!$S$2:$S$579,'Por foco'!$A$2:$A$579,$A71,'Por foco'!$B$2:$B$579,$B71)</f>
        <v>0</v>
      </c>
      <c r="S71" s="2" t="n">
        <f aca="false">SUMIFS('Por foco'!$T$2:$T$579,'Por foco'!$A$2:$A$579,$A71,'Por foco'!$B$2:$B$579,$B71)</f>
        <v>0</v>
      </c>
      <c r="T71" s="2" t="n">
        <f aca="false">SUMIFS('Por foco'!$U$2:$U$579,'Por foco'!$A$2:$A$579,$A71,'Por foco'!$B$2:$B$579,$B71)</f>
        <v>0</v>
      </c>
      <c r="U71" s="2" t="n">
        <f aca="false">SUMIFS('Por foco'!$V$2:$V$579,'Por foco'!$A$2:$A$579,$A71,'Por foco'!$B$2:$B$579,$B71)</f>
        <v>0</v>
      </c>
      <c r="V71" s="2" t="n">
        <f aca="false">SUMIFS('Por foco'!$W$2:$W$579,'Por foco'!$A$2:$A$579,$A71,'Por foco'!$B$2:$B$579,$B71)</f>
        <v>2</v>
      </c>
      <c r="W71" s="2" t="n">
        <f aca="false">SUMIFS('Por foco'!$X$2:$X$579,'Por foco'!$A$2:$A$579,$A71,'Por foco'!$B$2:$B$579,$B71)</f>
        <v>4</v>
      </c>
    </row>
    <row r="72" customFormat="false" ht="15" hidden="false" customHeight="false" outlineLevel="0" collapsed="false">
      <c r="A72" s="2" t="s">
        <v>34</v>
      </c>
      <c r="B72" s="2" t="s">
        <v>107</v>
      </c>
      <c r="C72" s="2" t="n">
        <f aca="false">COUNTIFS('Por foco'!$A$2:$A$579,$A72,'Por foco'!$B$2:$B$579,$B72)</f>
        <v>7</v>
      </c>
      <c r="D72" s="2" t="n">
        <f aca="false">SUMIFS('Por foco'!$E$2:$E$579,'Por foco'!$A$2:$A$579,$A72,'Por foco'!$B$2:$B$579,$B72)</f>
        <v>483</v>
      </c>
      <c r="E72" s="2" t="n">
        <f aca="false">SUMIFS('Por foco'!$F$2:$F$579,'Por foco'!$A$2:$A$579,$A72,'Por foco'!$B$2:$B$579,$B72)</f>
        <v>150</v>
      </c>
      <c r="F72" s="2" t="n">
        <f aca="false">SUMIFS('Por foco'!$G$2:$G$579,'Por foco'!$A$2:$A$579,$A72,'Por foco'!$B$2:$B$579,$B72)</f>
        <v>-7</v>
      </c>
      <c r="G72" s="2" t="n">
        <f aca="false">SUMIFS('Por foco'!$H$2:$H$579,'Por foco'!$A$2:$A$579,$A72,'Por foco'!$B$2:$B$579,$B72)</f>
        <v>5</v>
      </c>
      <c r="H72" s="2" t="n">
        <f aca="false">SUMIFS('Por foco'!$I$2:$I$579,'Por foco'!$A$2:$A$579,$A72,'Por foco'!$B$2:$B$579,$B72)</f>
        <v>200000</v>
      </c>
      <c r="I72" s="2" t="n">
        <f aca="false">SUMIFS('Por foco'!$J$2:$J$579,'Por foco'!$A$2:$A$579,$A72,'Por foco'!$B$2:$B$579,$B72)</f>
        <v>100</v>
      </c>
      <c r="J72" s="2" t="n">
        <f aca="false">SUMIFS('Por foco'!$K$2:$K$579,'Por foco'!$A$2:$A$579,$A72,'Por foco'!$B$2:$B$579,$B72)</f>
        <v>0</v>
      </c>
      <c r="K72" s="2" t="n">
        <f aca="false">SUMIFS('Por foco'!$L$2:$L$579,'Por foco'!$A$2:$A$579,$A72,'Por foco'!$B$2:$B$579,$B72)</f>
        <v>0</v>
      </c>
      <c r="L72" s="2" t="n">
        <f aca="false">SUMIFS('Por foco'!$M$2:$M$579,'Por foco'!$A$2:$A$579,$A72,'Por foco'!$B$2:$B$579,$B72)</f>
        <v>1</v>
      </c>
      <c r="M72" s="2" t="n">
        <f aca="false">SUMIFS('Por foco'!$N$2:$N$579,'Por foco'!$A$2:$A$579,$A72,'Por foco'!$B$2:$B$579,$B72)</f>
        <v>0</v>
      </c>
      <c r="N72" s="2" t="n">
        <f aca="false">SUMIFS('Por foco'!$O$2:$O$579,'Por foco'!$A$2:$A$579,$A72,'Por foco'!$B$2:$B$579,$B72)</f>
        <v>0</v>
      </c>
      <c r="O72" s="2" t="n">
        <f aca="false">SUMIFS('Por foco'!$P$2:$P$579,'Por foco'!$A$2:$A$579,$A72,'Por foco'!$B$2:$B$579,$B72)</f>
        <v>0</v>
      </c>
      <c r="P72" s="2" t="n">
        <f aca="false">SUMIFS('Por foco'!$Q$2:$Q$579,'Por foco'!$A$2:$A$579,$A72,'Por foco'!$B$2:$B$579,$B72)</f>
        <v>0</v>
      </c>
      <c r="Q72" s="2" t="n">
        <f aca="false">SUMIFS('Por foco'!$R$2:$R$579,'Por foco'!$A$2:$A$579,$A72,'Por foco'!$B$2:$B$579,$B72)</f>
        <v>0</v>
      </c>
      <c r="R72" s="2" t="n">
        <f aca="false">SUMIFS('Por foco'!$S$2:$S$579,'Por foco'!$A$2:$A$579,$A72,'Por foco'!$B$2:$B$579,$B72)</f>
        <v>0</v>
      </c>
      <c r="S72" s="2" t="n">
        <f aca="false">SUMIFS('Por foco'!$T$2:$T$579,'Por foco'!$A$2:$A$579,$A72,'Por foco'!$B$2:$B$579,$B72)</f>
        <v>0</v>
      </c>
      <c r="T72" s="2" t="n">
        <f aca="false">SUMIFS('Por foco'!$U$2:$U$579,'Por foco'!$A$2:$A$579,$A72,'Por foco'!$B$2:$B$579,$B72)</f>
        <v>0</v>
      </c>
      <c r="U72" s="2" t="n">
        <f aca="false">SUMIFS('Por foco'!$V$2:$V$579,'Por foco'!$A$2:$A$579,$A72,'Por foco'!$B$2:$B$579,$B72)</f>
        <v>0</v>
      </c>
      <c r="V72" s="2" t="n">
        <f aca="false">SUMIFS('Por foco'!$W$2:$W$579,'Por foco'!$A$2:$A$579,$A72,'Por foco'!$B$2:$B$579,$B72)</f>
        <v>1</v>
      </c>
      <c r="W72" s="2" t="n">
        <f aca="false">SUMIFS('Por foco'!$X$2:$X$579,'Por foco'!$A$2:$A$579,$A72,'Por foco'!$B$2:$B$579,$B72)</f>
        <v>3</v>
      </c>
    </row>
    <row r="73" customFormat="false" ht="15" hidden="false" customHeight="false" outlineLevel="0" collapsed="false">
      <c r="A73" s="2" t="s">
        <v>34</v>
      </c>
      <c r="B73" s="2" t="s">
        <v>45</v>
      </c>
      <c r="C73" s="2" t="n">
        <f aca="false">COUNTIFS('Por foco'!$A$2:$A$579,$A73,'Por foco'!$B$2:$B$579,$B73)</f>
        <v>4</v>
      </c>
      <c r="D73" s="2" t="n">
        <f aca="false">SUMIFS('Por foco'!$E$2:$E$579,'Por foco'!$A$2:$A$579,$A73,'Por foco'!$B$2:$B$579,$B73)</f>
        <v>315</v>
      </c>
      <c r="E73" s="2" t="n">
        <f aca="false">SUMIFS('Por foco'!$F$2:$F$579,'Por foco'!$A$2:$A$579,$A73,'Por foco'!$B$2:$B$579,$B73)</f>
        <v>170</v>
      </c>
      <c r="F73" s="2" t="n">
        <f aca="false">SUMIFS('Por foco'!$G$2:$G$579,'Por foco'!$A$2:$A$579,$A73,'Por foco'!$B$2:$B$579,$B73)</f>
        <v>5</v>
      </c>
      <c r="G73" s="2" t="n">
        <f aca="false">SUMIFS('Por foco'!$H$2:$H$579,'Por foco'!$A$2:$A$579,$A73,'Por foco'!$B$2:$B$579,$B73)</f>
        <v>5</v>
      </c>
      <c r="H73" s="2" t="n">
        <f aca="false">SUMIFS('Por foco'!$I$2:$I$579,'Por foco'!$A$2:$A$579,$A73,'Por foco'!$B$2:$B$579,$B73)</f>
        <v>0</v>
      </c>
      <c r="I73" s="2" t="n">
        <f aca="false">SUMIFS('Por foco'!$J$2:$J$579,'Por foco'!$A$2:$A$579,$A73,'Por foco'!$B$2:$B$579,$B73)</f>
        <v>25</v>
      </c>
      <c r="J73" s="2" t="n">
        <f aca="false">SUMIFS('Por foco'!$K$2:$K$579,'Por foco'!$A$2:$A$579,$A73,'Por foco'!$B$2:$B$579,$B73)</f>
        <v>0</v>
      </c>
      <c r="K73" s="2" t="n">
        <f aca="false">SUMIFS('Por foco'!$L$2:$L$579,'Por foco'!$A$2:$A$579,$A73,'Por foco'!$B$2:$B$579,$B73)</f>
        <v>0</v>
      </c>
      <c r="L73" s="2" t="n">
        <f aca="false">SUMIFS('Por foco'!$M$2:$M$579,'Por foco'!$A$2:$A$579,$A73,'Por foco'!$B$2:$B$579,$B73)</f>
        <v>0</v>
      </c>
      <c r="M73" s="2" t="n">
        <f aca="false">SUMIFS('Por foco'!$N$2:$N$579,'Por foco'!$A$2:$A$579,$A73,'Por foco'!$B$2:$B$579,$B73)</f>
        <v>0</v>
      </c>
      <c r="N73" s="2" t="n">
        <f aca="false">SUMIFS('Por foco'!$O$2:$O$579,'Por foco'!$A$2:$A$579,$A73,'Por foco'!$B$2:$B$579,$B73)</f>
        <v>0</v>
      </c>
      <c r="O73" s="2" t="n">
        <f aca="false">SUMIFS('Por foco'!$P$2:$P$579,'Por foco'!$A$2:$A$579,$A73,'Por foco'!$B$2:$B$579,$B73)</f>
        <v>0</v>
      </c>
      <c r="P73" s="2" t="n">
        <f aca="false">SUMIFS('Por foco'!$Q$2:$Q$579,'Por foco'!$A$2:$A$579,$A73,'Por foco'!$B$2:$B$579,$B73)</f>
        <v>0</v>
      </c>
      <c r="Q73" s="2" t="n">
        <f aca="false">SUMIFS('Por foco'!$R$2:$R$579,'Por foco'!$A$2:$A$579,$A73,'Por foco'!$B$2:$B$579,$B73)</f>
        <v>0</v>
      </c>
      <c r="R73" s="2" t="n">
        <f aca="false">SUMIFS('Por foco'!$S$2:$S$579,'Por foco'!$A$2:$A$579,$A73,'Por foco'!$B$2:$B$579,$B73)</f>
        <v>0</v>
      </c>
      <c r="S73" s="2" t="n">
        <f aca="false">SUMIFS('Por foco'!$T$2:$T$579,'Por foco'!$A$2:$A$579,$A73,'Por foco'!$B$2:$B$579,$B73)</f>
        <v>0</v>
      </c>
      <c r="T73" s="2" t="n">
        <f aca="false">SUMIFS('Por foco'!$U$2:$U$579,'Por foco'!$A$2:$A$579,$A73,'Por foco'!$B$2:$B$579,$B73)</f>
        <v>0</v>
      </c>
      <c r="U73" s="2" t="n">
        <f aca="false">SUMIFS('Por foco'!$V$2:$V$579,'Por foco'!$A$2:$A$579,$A73,'Por foco'!$B$2:$B$579,$B73)</f>
        <v>0</v>
      </c>
      <c r="V73" s="2" t="n">
        <f aca="false">SUMIFS('Por foco'!$W$2:$W$579,'Por foco'!$A$2:$A$579,$A73,'Por foco'!$B$2:$B$579,$B73)</f>
        <v>9</v>
      </c>
      <c r="W73" s="2" t="n">
        <f aca="false">SUMIFS('Por foco'!$X$2:$X$579,'Por foco'!$A$2:$A$579,$A73,'Por foco'!$B$2:$B$579,$B73)</f>
        <v>1</v>
      </c>
    </row>
    <row r="74" customFormat="false" ht="15" hidden="false" customHeight="false" outlineLevel="0" collapsed="false">
      <c r="A74" s="2" t="s">
        <v>34</v>
      </c>
      <c r="B74" s="2" t="s">
        <v>108</v>
      </c>
      <c r="C74" s="2" t="n">
        <f aca="false">COUNTIFS('Por foco'!$A$2:$A$579,$A74,'Por foco'!$B$2:$B$579,$B74)</f>
        <v>12</v>
      </c>
      <c r="D74" s="2" t="n">
        <f aca="false">SUMIFS('Por foco'!$E$2:$E$579,'Por foco'!$A$2:$A$579,$A74,'Por foco'!$B$2:$B$579,$B74)</f>
        <v>896</v>
      </c>
      <c r="E74" s="2" t="n">
        <f aca="false">SUMIFS('Por foco'!$F$2:$F$579,'Por foco'!$A$2:$A$579,$A74,'Por foco'!$B$2:$B$579,$B74)</f>
        <v>200</v>
      </c>
      <c r="F74" s="2" t="n">
        <f aca="false">SUMIFS('Por foco'!$G$2:$G$579,'Por foco'!$A$2:$A$579,$A74,'Por foco'!$B$2:$B$579,$B74)</f>
        <v>8</v>
      </c>
      <c r="G74" s="2" t="n">
        <f aca="false">SUMIFS('Por foco'!$H$2:$H$579,'Por foco'!$A$2:$A$579,$A74,'Por foco'!$B$2:$B$579,$B74)</f>
        <v>0</v>
      </c>
      <c r="H74" s="2" t="n">
        <f aca="false">SUMIFS('Por foco'!$I$2:$I$579,'Por foco'!$A$2:$A$579,$A74,'Por foco'!$B$2:$B$579,$B74)</f>
        <v>0</v>
      </c>
      <c r="I74" s="2" t="n">
        <f aca="false">SUMIFS('Por foco'!$J$2:$J$579,'Por foco'!$A$2:$A$579,$A74,'Por foco'!$B$2:$B$579,$B74)</f>
        <v>0</v>
      </c>
      <c r="J74" s="2" t="n">
        <f aca="false">SUMIFS('Por foco'!$K$2:$K$579,'Por foco'!$A$2:$A$579,$A74,'Por foco'!$B$2:$B$579,$B74)</f>
        <v>0</v>
      </c>
      <c r="K74" s="2" t="n">
        <f aca="false">SUMIFS('Por foco'!$L$2:$L$579,'Por foco'!$A$2:$A$579,$A74,'Por foco'!$B$2:$B$579,$B74)</f>
        <v>0</v>
      </c>
      <c r="L74" s="2" t="n">
        <f aca="false">SUMIFS('Por foco'!$M$2:$M$579,'Por foco'!$A$2:$A$579,$A74,'Por foco'!$B$2:$B$579,$B74)</f>
        <v>0</v>
      </c>
      <c r="M74" s="2" t="n">
        <f aca="false">SUMIFS('Por foco'!$N$2:$N$579,'Por foco'!$A$2:$A$579,$A74,'Por foco'!$B$2:$B$579,$B74)</f>
        <v>0</v>
      </c>
      <c r="N74" s="2" t="n">
        <f aca="false">SUMIFS('Por foco'!$O$2:$O$579,'Por foco'!$A$2:$A$579,$A74,'Por foco'!$B$2:$B$579,$B74)</f>
        <v>6</v>
      </c>
      <c r="O74" s="2" t="n">
        <f aca="false">SUMIFS('Por foco'!$P$2:$P$579,'Por foco'!$A$2:$A$579,$A74,'Por foco'!$B$2:$B$579,$B74)</f>
        <v>0</v>
      </c>
      <c r="P74" s="2" t="n">
        <f aca="false">SUMIFS('Por foco'!$Q$2:$Q$579,'Por foco'!$A$2:$A$579,$A74,'Por foco'!$B$2:$B$579,$B74)</f>
        <v>0</v>
      </c>
      <c r="Q74" s="2" t="n">
        <f aca="false">SUMIFS('Por foco'!$R$2:$R$579,'Por foco'!$A$2:$A$579,$A74,'Por foco'!$B$2:$B$579,$B74)</f>
        <v>0</v>
      </c>
      <c r="R74" s="2" t="n">
        <f aca="false">SUMIFS('Por foco'!$S$2:$S$579,'Por foco'!$A$2:$A$579,$A74,'Por foco'!$B$2:$B$579,$B74)</f>
        <v>0</v>
      </c>
      <c r="S74" s="2" t="n">
        <f aca="false">SUMIFS('Por foco'!$T$2:$T$579,'Por foco'!$A$2:$A$579,$A74,'Por foco'!$B$2:$B$579,$B74)</f>
        <v>0</v>
      </c>
      <c r="T74" s="2" t="n">
        <f aca="false">SUMIFS('Por foco'!$U$2:$U$579,'Por foco'!$A$2:$A$579,$A74,'Por foco'!$B$2:$B$579,$B74)</f>
        <v>0</v>
      </c>
      <c r="U74" s="2" t="n">
        <f aca="false">SUMIFS('Por foco'!$V$2:$V$579,'Por foco'!$A$2:$A$579,$A74,'Por foco'!$B$2:$B$579,$B74)</f>
        <v>0</v>
      </c>
      <c r="V74" s="2" t="n">
        <f aca="false">SUMIFS('Por foco'!$W$2:$W$579,'Por foco'!$A$2:$A$579,$A74,'Por foco'!$B$2:$B$579,$B74)</f>
        <v>0</v>
      </c>
      <c r="W74" s="2" t="n">
        <f aca="false">SUMIFS('Por foco'!$X$2:$X$579,'Por foco'!$A$2:$A$579,$A74,'Por foco'!$B$2:$B$579,$B74)</f>
        <v>7</v>
      </c>
    </row>
    <row r="75" customFormat="false" ht="15" hidden="false" customHeight="false" outlineLevel="0" collapsed="false">
      <c r="A75" s="2" t="s">
        <v>34</v>
      </c>
      <c r="B75" s="2" t="s">
        <v>109</v>
      </c>
      <c r="C75" s="2" t="n">
        <f aca="false">COUNTIFS('Por foco'!$A$2:$A$579,$A75,'Por foco'!$B$2:$B$579,$B75)</f>
        <v>8</v>
      </c>
      <c r="D75" s="2" t="n">
        <f aca="false">SUMIFS('Por foco'!$E$2:$E$579,'Por foco'!$A$2:$A$579,$A75,'Por foco'!$B$2:$B$579,$B75)</f>
        <v>532</v>
      </c>
      <c r="E75" s="2" t="n">
        <f aca="false">SUMIFS('Por foco'!$F$2:$F$579,'Por foco'!$A$2:$A$579,$A75,'Por foco'!$B$2:$B$579,$B75)</f>
        <v>50</v>
      </c>
      <c r="F75" s="2" t="n">
        <f aca="false">SUMIFS('Por foco'!$G$2:$G$579,'Por foco'!$A$2:$A$579,$A75,'Por foco'!$B$2:$B$579,$B75)</f>
        <v>0</v>
      </c>
      <c r="G75" s="2" t="n">
        <f aca="false">SUMIFS('Por foco'!$H$2:$H$579,'Por foco'!$A$2:$A$579,$A75,'Por foco'!$B$2:$B$579,$B75)</f>
        <v>0</v>
      </c>
      <c r="H75" s="2" t="n">
        <f aca="false">SUMIFS('Por foco'!$I$2:$I$579,'Por foco'!$A$2:$A$579,$A75,'Por foco'!$B$2:$B$579,$B75)</f>
        <v>0</v>
      </c>
      <c r="I75" s="2" t="n">
        <f aca="false">SUMIFS('Por foco'!$J$2:$J$579,'Por foco'!$A$2:$A$579,$A75,'Por foco'!$B$2:$B$579,$B75)</f>
        <v>0</v>
      </c>
      <c r="J75" s="2" t="n">
        <f aca="false">SUMIFS('Por foco'!$K$2:$K$579,'Por foco'!$A$2:$A$579,$A75,'Por foco'!$B$2:$B$579,$B75)</f>
        <v>0</v>
      </c>
      <c r="K75" s="2" t="n">
        <f aca="false">SUMIFS('Por foco'!$L$2:$L$579,'Por foco'!$A$2:$A$579,$A75,'Por foco'!$B$2:$B$579,$B75)</f>
        <v>0</v>
      </c>
      <c r="L75" s="2" t="n">
        <f aca="false">SUMIFS('Por foco'!$M$2:$M$579,'Por foco'!$A$2:$A$579,$A75,'Por foco'!$B$2:$B$579,$B75)</f>
        <v>0</v>
      </c>
      <c r="M75" s="2" t="n">
        <f aca="false">SUMIFS('Por foco'!$N$2:$N$579,'Por foco'!$A$2:$A$579,$A75,'Por foco'!$B$2:$B$579,$B75)</f>
        <v>2</v>
      </c>
      <c r="N75" s="2" t="n">
        <f aca="false">SUMIFS('Por foco'!$O$2:$O$579,'Por foco'!$A$2:$A$579,$A75,'Por foco'!$B$2:$B$579,$B75)</f>
        <v>5</v>
      </c>
      <c r="O75" s="2" t="n">
        <f aca="false">SUMIFS('Por foco'!$P$2:$P$579,'Por foco'!$A$2:$A$579,$A75,'Por foco'!$B$2:$B$579,$B75)</f>
        <v>5</v>
      </c>
      <c r="P75" s="2" t="n">
        <f aca="false">SUMIFS('Por foco'!$Q$2:$Q$579,'Por foco'!$A$2:$A$579,$A75,'Por foco'!$B$2:$B$579,$B75)</f>
        <v>2</v>
      </c>
      <c r="Q75" s="2" t="n">
        <f aca="false">SUMIFS('Por foco'!$R$2:$R$579,'Por foco'!$A$2:$A$579,$A75,'Por foco'!$B$2:$B$579,$B75)</f>
        <v>2</v>
      </c>
      <c r="R75" s="2" t="n">
        <f aca="false">SUMIFS('Por foco'!$S$2:$S$579,'Por foco'!$A$2:$A$579,$A75,'Por foco'!$B$2:$B$579,$B75)</f>
        <v>0</v>
      </c>
      <c r="S75" s="2" t="n">
        <f aca="false">SUMIFS('Por foco'!$T$2:$T$579,'Por foco'!$A$2:$A$579,$A75,'Por foco'!$B$2:$B$579,$B75)</f>
        <v>0</v>
      </c>
      <c r="T75" s="2" t="n">
        <f aca="false">SUMIFS('Por foco'!$U$2:$U$579,'Por foco'!$A$2:$A$579,$A75,'Por foco'!$B$2:$B$579,$B75)</f>
        <v>0</v>
      </c>
      <c r="U75" s="2" t="n">
        <f aca="false">SUMIFS('Por foco'!$V$2:$V$579,'Por foco'!$A$2:$A$579,$A75,'Por foco'!$B$2:$B$579,$B75)</f>
        <v>0</v>
      </c>
      <c r="V75" s="2" t="n">
        <f aca="false">SUMIFS('Por foco'!$W$2:$W$579,'Por foco'!$A$2:$A$579,$A75,'Por foco'!$B$2:$B$579,$B75)</f>
        <v>0</v>
      </c>
      <c r="W75" s="2" t="n">
        <f aca="false">SUMIFS('Por foco'!$X$2:$X$579,'Por foco'!$A$2:$A$579,$A75,'Por foco'!$B$2:$B$579,$B75)</f>
        <v>1</v>
      </c>
    </row>
    <row r="76" customFormat="false" ht="15" hidden="false" customHeight="false" outlineLevel="0" collapsed="false">
      <c r="A76" s="2" t="s">
        <v>34</v>
      </c>
      <c r="B76" s="2" t="s">
        <v>110</v>
      </c>
      <c r="C76" s="2" t="n">
        <f aca="false">COUNTIFS('Por foco'!$A$2:$A$579,$A76,'Por foco'!$B$2:$B$579,$B76)</f>
        <v>8</v>
      </c>
      <c r="D76" s="2" t="n">
        <f aca="false">SUMIFS('Por foco'!$E$2:$E$579,'Por foco'!$A$2:$A$579,$A76,'Por foco'!$B$2:$B$579,$B76)</f>
        <v>511</v>
      </c>
      <c r="E76" s="2" t="n">
        <f aca="false">SUMIFS('Por foco'!$F$2:$F$579,'Por foco'!$A$2:$A$579,$A76,'Por foco'!$B$2:$B$579,$B76)</f>
        <v>0</v>
      </c>
      <c r="F76" s="2" t="n">
        <f aca="false">SUMIFS('Por foco'!$G$2:$G$579,'Por foco'!$A$2:$A$579,$A76,'Por foco'!$B$2:$B$579,$B76)</f>
        <v>0</v>
      </c>
      <c r="G76" s="2" t="n">
        <f aca="false">SUMIFS('Por foco'!$H$2:$H$579,'Por foco'!$A$2:$A$579,$A76,'Por foco'!$B$2:$B$579,$B76)</f>
        <v>0</v>
      </c>
      <c r="H76" s="2" t="n">
        <f aca="false">SUMIFS('Por foco'!$I$2:$I$579,'Por foco'!$A$2:$A$579,$A76,'Por foco'!$B$2:$B$579,$B76)</f>
        <v>300000</v>
      </c>
      <c r="I76" s="2" t="n">
        <f aca="false">SUMIFS('Por foco'!$J$2:$J$579,'Por foco'!$A$2:$A$579,$A76,'Por foco'!$B$2:$B$579,$B76)</f>
        <v>50</v>
      </c>
      <c r="J76" s="2" t="n">
        <f aca="false">SUMIFS('Por foco'!$K$2:$K$579,'Por foco'!$A$2:$A$579,$A76,'Por foco'!$B$2:$B$579,$B76)</f>
        <v>0</v>
      </c>
      <c r="K76" s="2" t="n">
        <f aca="false">SUMIFS('Por foco'!$L$2:$L$579,'Por foco'!$A$2:$A$579,$A76,'Por foco'!$B$2:$B$579,$B76)</f>
        <v>0</v>
      </c>
      <c r="L76" s="2" t="n">
        <f aca="false">SUMIFS('Por foco'!$M$2:$M$579,'Por foco'!$A$2:$A$579,$A76,'Por foco'!$B$2:$B$579,$B76)</f>
        <v>0</v>
      </c>
      <c r="M76" s="2" t="n">
        <f aca="false">SUMIFS('Por foco'!$N$2:$N$579,'Por foco'!$A$2:$A$579,$A76,'Por foco'!$B$2:$B$579,$B76)</f>
        <v>6</v>
      </c>
      <c r="N76" s="2" t="n">
        <f aca="false">SUMIFS('Por foco'!$O$2:$O$579,'Por foco'!$A$2:$A$579,$A76,'Por foco'!$B$2:$B$579,$B76)</f>
        <v>0</v>
      </c>
      <c r="O76" s="2" t="n">
        <f aca="false">SUMIFS('Por foco'!$P$2:$P$579,'Por foco'!$A$2:$A$579,$A76,'Por foco'!$B$2:$B$579,$B76)</f>
        <v>1</v>
      </c>
      <c r="P76" s="2" t="n">
        <f aca="false">SUMIFS('Por foco'!$Q$2:$Q$579,'Por foco'!$A$2:$A$579,$A76,'Por foco'!$B$2:$B$579,$B76)</f>
        <v>0</v>
      </c>
      <c r="Q76" s="2" t="n">
        <f aca="false">SUMIFS('Por foco'!$R$2:$R$579,'Por foco'!$A$2:$A$579,$A76,'Por foco'!$B$2:$B$579,$B76)</f>
        <v>0</v>
      </c>
      <c r="R76" s="2" t="n">
        <f aca="false">SUMIFS('Por foco'!$S$2:$S$579,'Por foco'!$A$2:$A$579,$A76,'Por foco'!$B$2:$B$579,$B76)</f>
        <v>0</v>
      </c>
      <c r="S76" s="2" t="n">
        <f aca="false">SUMIFS('Por foco'!$T$2:$T$579,'Por foco'!$A$2:$A$579,$A76,'Por foco'!$B$2:$B$579,$B76)</f>
        <v>0</v>
      </c>
      <c r="T76" s="2" t="n">
        <f aca="false">SUMIFS('Por foco'!$U$2:$U$579,'Por foco'!$A$2:$A$579,$A76,'Por foco'!$B$2:$B$579,$B76)</f>
        <v>0</v>
      </c>
      <c r="U76" s="2" t="n">
        <f aca="false">SUMIFS('Por foco'!$V$2:$V$579,'Por foco'!$A$2:$A$579,$A76,'Por foco'!$B$2:$B$579,$B76)</f>
        <v>0</v>
      </c>
      <c r="V76" s="2" t="n">
        <f aca="false">SUMIFS('Por foco'!$W$2:$W$579,'Por foco'!$A$2:$A$579,$A76,'Por foco'!$B$2:$B$579,$B76)</f>
        <v>0</v>
      </c>
      <c r="W76" s="2" t="n">
        <f aca="false">SUMIFS('Por foco'!$X$2:$X$579,'Por foco'!$A$2:$A$579,$A76,'Por foco'!$B$2:$B$579,$B76)</f>
        <v>2</v>
      </c>
    </row>
    <row r="77" customFormat="false" ht="15" hidden="false" customHeight="false" outlineLevel="0" collapsed="false">
      <c r="A77" s="2" t="s">
        <v>34</v>
      </c>
      <c r="B77" s="2" t="s">
        <v>111</v>
      </c>
      <c r="C77" s="2" t="n">
        <f aca="false">COUNTIFS('Por foco'!$A$2:$A$579,$A77,'Por foco'!$B$2:$B$579,$B77)</f>
        <v>6</v>
      </c>
      <c r="D77" s="2" t="n">
        <f aca="false">SUMIFS('Por foco'!$E$2:$E$579,'Por foco'!$A$2:$A$579,$A77,'Por foco'!$B$2:$B$579,$B77)</f>
        <v>413</v>
      </c>
      <c r="E77" s="2" t="n">
        <f aca="false">SUMIFS('Por foco'!$F$2:$F$579,'Por foco'!$A$2:$A$579,$A77,'Por foco'!$B$2:$B$579,$B77)</f>
        <v>0</v>
      </c>
      <c r="F77" s="2" t="n">
        <f aca="false">SUMIFS('Por foco'!$G$2:$G$579,'Por foco'!$A$2:$A$579,$A77,'Por foco'!$B$2:$B$579,$B77)</f>
        <v>0</v>
      </c>
      <c r="G77" s="2" t="n">
        <f aca="false">SUMIFS('Por foco'!$H$2:$H$579,'Por foco'!$A$2:$A$579,$A77,'Por foco'!$B$2:$B$579,$B77)</f>
        <v>0</v>
      </c>
      <c r="H77" s="2" t="n">
        <f aca="false">SUMIFS('Por foco'!$I$2:$I$579,'Por foco'!$A$2:$A$579,$A77,'Por foco'!$B$2:$B$579,$B77)</f>
        <v>0</v>
      </c>
      <c r="I77" s="2" t="n">
        <f aca="false">SUMIFS('Por foco'!$J$2:$J$579,'Por foco'!$A$2:$A$579,$A77,'Por foco'!$B$2:$B$579,$B77)</f>
        <v>0</v>
      </c>
      <c r="J77" s="2" t="n">
        <f aca="false">SUMIFS('Por foco'!$K$2:$K$579,'Por foco'!$A$2:$A$579,$A77,'Por foco'!$B$2:$B$579,$B77)</f>
        <v>25</v>
      </c>
      <c r="K77" s="2" t="n">
        <f aca="false">SUMIFS('Por foco'!$L$2:$L$579,'Por foco'!$A$2:$A$579,$A77,'Por foco'!$B$2:$B$579,$B77)</f>
        <v>75</v>
      </c>
      <c r="L77" s="2" t="n">
        <f aca="false">SUMIFS('Por foco'!$M$2:$M$579,'Por foco'!$A$2:$A$579,$A77,'Por foco'!$B$2:$B$579,$B77)</f>
        <v>0</v>
      </c>
      <c r="M77" s="2" t="n">
        <f aca="false">SUMIFS('Por foco'!$N$2:$N$579,'Por foco'!$A$2:$A$579,$A77,'Por foco'!$B$2:$B$579,$B77)</f>
        <v>7</v>
      </c>
      <c r="N77" s="2" t="n">
        <f aca="false">SUMIFS('Por foco'!$O$2:$O$579,'Por foco'!$A$2:$A$579,$A77,'Por foco'!$B$2:$B$579,$B77)</f>
        <v>0</v>
      </c>
      <c r="O77" s="2" t="n">
        <f aca="false">SUMIFS('Por foco'!$P$2:$P$579,'Por foco'!$A$2:$A$579,$A77,'Por foco'!$B$2:$B$579,$B77)</f>
        <v>0</v>
      </c>
      <c r="P77" s="2" t="n">
        <f aca="false">SUMIFS('Por foco'!$Q$2:$Q$579,'Por foco'!$A$2:$A$579,$A77,'Por foco'!$B$2:$B$579,$B77)</f>
        <v>2</v>
      </c>
      <c r="Q77" s="2" t="n">
        <f aca="false">SUMIFS('Por foco'!$R$2:$R$579,'Por foco'!$A$2:$A$579,$A77,'Por foco'!$B$2:$B$579,$B77)</f>
        <v>0</v>
      </c>
      <c r="R77" s="2" t="n">
        <f aca="false">SUMIFS('Por foco'!$S$2:$S$579,'Por foco'!$A$2:$A$579,$A77,'Por foco'!$B$2:$B$579,$B77)</f>
        <v>2</v>
      </c>
      <c r="S77" s="2" t="n">
        <f aca="false">SUMIFS('Por foco'!$T$2:$T$579,'Por foco'!$A$2:$A$579,$A77,'Por foco'!$B$2:$B$579,$B77)</f>
        <v>0</v>
      </c>
      <c r="T77" s="2" t="n">
        <f aca="false">SUMIFS('Por foco'!$U$2:$U$579,'Por foco'!$A$2:$A$579,$A77,'Por foco'!$B$2:$B$579,$B77)</f>
        <v>0</v>
      </c>
      <c r="U77" s="2" t="n">
        <f aca="false">SUMIFS('Por foco'!$V$2:$V$579,'Por foco'!$A$2:$A$579,$A77,'Por foco'!$B$2:$B$579,$B77)</f>
        <v>100</v>
      </c>
      <c r="V77" s="2" t="n">
        <f aca="false">SUMIFS('Por foco'!$W$2:$W$579,'Por foco'!$A$2:$A$579,$A77,'Por foco'!$B$2:$B$579,$B77)</f>
        <v>0</v>
      </c>
      <c r="W77" s="2" t="n">
        <f aca="false">SUMIFS('Por foco'!$X$2:$X$579,'Por foco'!$A$2:$A$579,$A77,'Por foco'!$B$2:$B$579,$B77)</f>
        <v>2</v>
      </c>
    </row>
    <row r="78" customFormat="false" ht="15" hidden="false" customHeight="false" outlineLevel="0" collapsed="false">
      <c r="A78" s="2" t="s">
        <v>34</v>
      </c>
      <c r="B78" s="2" t="s">
        <v>112</v>
      </c>
      <c r="C78" s="2" t="n">
        <f aca="false">COUNTIFS('Por foco'!$A$2:$A$579,$A78,'Por foco'!$B$2:$B$579,$B78)</f>
        <v>6</v>
      </c>
      <c r="D78" s="2" t="n">
        <f aca="false">SUMIFS('Por foco'!$E$2:$E$579,'Por foco'!$A$2:$A$579,$A78,'Por foco'!$B$2:$B$579,$B78)</f>
        <v>364</v>
      </c>
      <c r="E78" s="2" t="n">
        <f aca="false">SUMIFS('Por foco'!$F$2:$F$579,'Por foco'!$A$2:$A$579,$A78,'Por foco'!$B$2:$B$579,$B78)</f>
        <v>50</v>
      </c>
      <c r="F78" s="2" t="n">
        <f aca="false">SUMIFS('Por foco'!$G$2:$G$579,'Por foco'!$A$2:$A$579,$A78,'Por foco'!$B$2:$B$579,$B78)</f>
        <v>0</v>
      </c>
      <c r="G78" s="2" t="n">
        <f aca="false">SUMIFS('Por foco'!$H$2:$H$579,'Por foco'!$A$2:$A$579,$A78,'Por foco'!$B$2:$B$579,$B78)</f>
        <v>5</v>
      </c>
      <c r="H78" s="2" t="n">
        <f aca="false">SUMIFS('Por foco'!$I$2:$I$579,'Por foco'!$A$2:$A$579,$A78,'Por foco'!$B$2:$B$579,$B78)</f>
        <v>0</v>
      </c>
      <c r="I78" s="2" t="n">
        <f aca="false">SUMIFS('Por foco'!$J$2:$J$579,'Por foco'!$A$2:$A$579,$A78,'Por foco'!$B$2:$B$579,$B78)</f>
        <v>50</v>
      </c>
      <c r="J78" s="2" t="n">
        <f aca="false">SUMIFS('Por foco'!$K$2:$K$579,'Por foco'!$A$2:$A$579,$A78,'Por foco'!$B$2:$B$579,$B78)</f>
        <v>0</v>
      </c>
      <c r="K78" s="2" t="n">
        <f aca="false">SUMIFS('Por foco'!$L$2:$L$579,'Por foco'!$A$2:$A$579,$A78,'Por foco'!$B$2:$B$579,$B78)</f>
        <v>0</v>
      </c>
      <c r="L78" s="2" t="n">
        <f aca="false">SUMIFS('Por foco'!$M$2:$M$579,'Por foco'!$A$2:$A$579,$A78,'Por foco'!$B$2:$B$579,$B78)</f>
        <v>0</v>
      </c>
      <c r="M78" s="2" t="n">
        <f aca="false">SUMIFS('Por foco'!$N$2:$N$579,'Por foco'!$A$2:$A$579,$A78,'Por foco'!$B$2:$B$579,$B78)</f>
        <v>0</v>
      </c>
      <c r="N78" s="2" t="n">
        <f aca="false">SUMIFS('Por foco'!$O$2:$O$579,'Por foco'!$A$2:$A$579,$A78,'Por foco'!$B$2:$B$579,$B78)</f>
        <v>0</v>
      </c>
      <c r="O78" s="2" t="n">
        <f aca="false">SUMIFS('Por foco'!$P$2:$P$579,'Por foco'!$A$2:$A$579,$A78,'Por foco'!$B$2:$B$579,$B78)</f>
        <v>0</v>
      </c>
      <c r="P78" s="2" t="n">
        <f aca="false">SUMIFS('Por foco'!$Q$2:$Q$579,'Por foco'!$A$2:$A$579,$A78,'Por foco'!$B$2:$B$579,$B78)</f>
        <v>0</v>
      </c>
      <c r="Q78" s="2" t="n">
        <f aca="false">SUMIFS('Por foco'!$R$2:$R$579,'Por foco'!$A$2:$A$579,$A78,'Por foco'!$B$2:$B$579,$B78)</f>
        <v>0</v>
      </c>
      <c r="R78" s="2" t="n">
        <f aca="false">SUMIFS('Por foco'!$S$2:$S$579,'Por foco'!$A$2:$A$579,$A78,'Por foco'!$B$2:$B$579,$B78)</f>
        <v>0</v>
      </c>
      <c r="S78" s="2" t="n">
        <f aca="false">SUMIFS('Por foco'!$T$2:$T$579,'Por foco'!$A$2:$A$579,$A78,'Por foco'!$B$2:$B$579,$B78)</f>
        <v>0</v>
      </c>
      <c r="T78" s="2" t="n">
        <f aca="false">SUMIFS('Por foco'!$U$2:$U$579,'Por foco'!$A$2:$A$579,$A78,'Por foco'!$B$2:$B$579,$B78)</f>
        <v>0</v>
      </c>
      <c r="U78" s="2" t="n">
        <f aca="false">SUMIFS('Por foco'!$V$2:$V$579,'Por foco'!$A$2:$A$579,$A78,'Por foco'!$B$2:$B$579,$B78)</f>
        <v>0</v>
      </c>
      <c r="V78" s="2" t="n">
        <f aca="false">SUMIFS('Por foco'!$W$2:$W$579,'Por foco'!$A$2:$A$579,$A78,'Por foco'!$B$2:$B$579,$B78)</f>
        <v>0</v>
      </c>
      <c r="W78" s="2" t="n">
        <f aca="false">SUMIFS('Por foco'!$X$2:$X$579,'Por foco'!$A$2:$A$579,$A78,'Por foco'!$B$2:$B$579,$B78)</f>
        <v>2</v>
      </c>
    </row>
    <row r="79" customFormat="false" ht="15" hidden="false" customHeight="false" outlineLevel="0" collapsed="false">
      <c r="A79" s="2" t="s">
        <v>34</v>
      </c>
      <c r="B79" s="2" t="s">
        <v>113</v>
      </c>
      <c r="C79" s="2" t="n">
        <f aca="false">COUNTIFS('Por foco'!$A$2:$A$579,$A79,'Por foco'!$B$2:$B$579,$B79)</f>
        <v>6</v>
      </c>
      <c r="D79" s="2" t="n">
        <f aca="false">SUMIFS('Por foco'!$E$2:$E$579,'Por foco'!$A$2:$A$579,$A79,'Por foco'!$B$2:$B$579,$B79)</f>
        <v>413</v>
      </c>
      <c r="E79" s="2" t="n">
        <f aca="false">SUMIFS('Por foco'!$F$2:$F$579,'Por foco'!$A$2:$A$579,$A79,'Por foco'!$B$2:$B$579,$B79)</f>
        <v>50</v>
      </c>
      <c r="F79" s="2" t="n">
        <f aca="false">SUMIFS('Por foco'!$G$2:$G$579,'Por foco'!$A$2:$A$579,$A79,'Por foco'!$B$2:$B$579,$B79)</f>
        <v>10</v>
      </c>
      <c r="G79" s="2" t="n">
        <f aca="false">SUMIFS('Por foco'!$H$2:$H$579,'Por foco'!$A$2:$A$579,$A79,'Por foco'!$B$2:$B$579,$B79)</f>
        <v>0</v>
      </c>
      <c r="H79" s="2" t="n">
        <f aca="false">SUMIFS('Por foco'!$I$2:$I$579,'Por foco'!$A$2:$A$579,$A79,'Por foco'!$B$2:$B$579,$B79)</f>
        <v>0</v>
      </c>
      <c r="I79" s="2" t="n">
        <f aca="false">SUMIFS('Por foco'!$J$2:$J$579,'Por foco'!$A$2:$A$579,$A79,'Por foco'!$B$2:$B$579,$B79)</f>
        <v>0</v>
      </c>
      <c r="J79" s="2" t="n">
        <f aca="false">SUMIFS('Por foco'!$K$2:$K$579,'Por foco'!$A$2:$A$579,$A79,'Por foco'!$B$2:$B$579,$B79)</f>
        <v>0</v>
      </c>
      <c r="K79" s="2" t="n">
        <f aca="false">SUMIFS('Por foco'!$L$2:$L$579,'Por foco'!$A$2:$A$579,$A79,'Por foco'!$B$2:$B$579,$B79)</f>
        <v>0</v>
      </c>
      <c r="L79" s="2" t="n">
        <f aca="false">SUMIFS('Por foco'!$M$2:$M$579,'Por foco'!$A$2:$A$579,$A79,'Por foco'!$B$2:$B$579,$B79)</f>
        <v>1</v>
      </c>
      <c r="M79" s="2" t="n">
        <f aca="false">SUMIFS('Por foco'!$N$2:$N$579,'Por foco'!$A$2:$A$579,$A79,'Por foco'!$B$2:$B$579,$B79)</f>
        <v>0</v>
      </c>
      <c r="N79" s="2" t="n">
        <f aca="false">SUMIFS('Por foco'!$O$2:$O$579,'Por foco'!$A$2:$A$579,$A79,'Por foco'!$B$2:$B$579,$B79)</f>
        <v>0</v>
      </c>
      <c r="O79" s="2" t="n">
        <f aca="false">SUMIFS('Por foco'!$P$2:$P$579,'Por foco'!$A$2:$A$579,$A79,'Por foco'!$B$2:$B$579,$B79)</f>
        <v>2</v>
      </c>
      <c r="P79" s="2" t="n">
        <f aca="false">SUMIFS('Por foco'!$Q$2:$Q$579,'Por foco'!$A$2:$A$579,$A79,'Por foco'!$B$2:$B$579,$B79)</f>
        <v>0</v>
      </c>
      <c r="Q79" s="2" t="n">
        <f aca="false">SUMIFS('Por foco'!$R$2:$R$579,'Por foco'!$A$2:$A$579,$A79,'Por foco'!$B$2:$B$579,$B79)</f>
        <v>0</v>
      </c>
      <c r="R79" s="2" t="n">
        <f aca="false">SUMIFS('Por foco'!$S$2:$S$579,'Por foco'!$A$2:$A$579,$A79,'Por foco'!$B$2:$B$579,$B79)</f>
        <v>0</v>
      </c>
      <c r="S79" s="2" t="n">
        <f aca="false">SUMIFS('Por foco'!$T$2:$T$579,'Por foco'!$A$2:$A$579,$A79,'Por foco'!$B$2:$B$579,$B79)</f>
        <v>0</v>
      </c>
      <c r="T79" s="2" t="n">
        <f aca="false">SUMIFS('Por foco'!$U$2:$U$579,'Por foco'!$A$2:$A$579,$A79,'Por foco'!$B$2:$B$579,$B79)</f>
        <v>0</v>
      </c>
      <c r="U79" s="2" t="n">
        <f aca="false">SUMIFS('Por foco'!$V$2:$V$579,'Por foco'!$A$2:$A$579,$A79,'Por foco'!$B$2:$B$579,$B79)</f>
        <v>0</v>
      </c>
      <c r="V79" s="2" t="n">
        <f aca="false">SUMIFS('Por foco'!$W$2:$W$579,'Por foco'!$A$2:$A$579,$A79,'Por foco'!$B$2:$B$579,$B79)</f>
        <v>0</v>
      </c>
      <c r="W79" s="2" t="n">
        <f aca="false">SUMIFS('Por foco'!$X$2:$X$579,'Por foco'!$A$2:$A$579,$A79,'Por foco'!$B$2:$B$579,$B79)</f>
        <v>2</v>
      </c>
    </row>
    <row r="80" customFormat="false" ht="15" hidden="false" customHeight="false" outlineLevel="0" collapsed="false">
      <c r="A80" s="2" t="s">
        <v>35</v>
      </c>
      <c r="B80" s="2" t="s">
        <v>114</v>
      </c>
      <c r="C80" s="2" t="n">
        <f aca="false">COUNTIFS('Por foco'!$A$2:$A$579,$A80,'Por foco'!$B$2:$B$579,$B80)</f>
        <v>7</v>
      </c>
      <c r="D80" s="2" t="n">
        <f aca="false">SUMIFS('Por foco'!$E$2:$E$579,'Por foco'!$A$2:$A$579,$A80,'Por foco'!$B$2:$B$579,$B80)</f>
        <v>245</v>
      </c>
      <c r="E80" s="2" t="n">
        <f aca="false">SUMIFS('Por foco'!$F$2:$F$579,'Por foco'!$A$2:$A$579,$A80,'Por foco'!$B$2:$B$579,$B80)</f>
        <v>0</v>
      </c>
      <c r="F80" s="2" t="n">
        <f aca="false">SUMIFS('Por foco'!$G$2:$G$579,'Por foco'!$A$2:$A$579,$A80,'Por foco'!$B$2:$B$579,$B80)</f>
        <v>0</v>
      </c>
      <c r="G80" s="2" t="n">
        <f aca="false">SUMIFS('Por foco'!$H$2:$H$579,'Por foco'!$A$2:$A$579,$A80,'Por foco'!$B$2:$B$579,$B80)</f>
        <v>0</v>
      </c>
      <c r="H80" s="2" t="n">
        <f aca="false">SUMIFS('Por foco'!$I$2:$I$579,'Por foco'!$A$2:$A$579,$A80,'Por foco'!$B$2:$B$579,$B80)</f>
        <v>60000</v>
      </c>
      <c r="I80" s="2" t="n">
        <f aca="false">SUMIFS('Por foco'!$J$2:$J$579,'Por foco'!$A$2:$A$579,$A80,'Por foco'!$B$2:$B$579,$B80)</f>
        <v>0</v>
      </c>
      <c r="J80" s="2" t="n">
        <f aca="false">SUMIFS('Por foco'!$K$2:$K$579,'Por foco'!$A$2:$A$579,$A80,'Por foco'!$B$2:$B$579,$B80)</f>
        <v>0</v>
      </c>
      <c r="K80" s="2" t="n">
        <f aca="false">SUMIFS('Por foco'!$L$2:$L$579,'Por foco'!$A$2:$A$579,$A80,'Por foco'!$B$2:$B$579,$B80)</f>
        <v>0</v>
      </c>
      <c r="L80" s="2" t="n">
        <f aca="false">SUMIFS('Por foco'!$M$2:$M$579,'Por foco'!$A$2:$A$579,$A80,'Por foco'!$B$2:$B$579,$B80)</f>
        <v>0</v>
      </c>
      <c r="M80" s="2" t="n">
        <f aca="false">SUMIFS('Por foco'!$N$2:$N$579,'Por foco'!$A$2:$A$579,$A80,'Por foco'!$B$2:$B$579,$B80)</f>
        <v>0</v>
      </c>
      <c r="N80" s="2" t="n">
        <f aca="false">SUMIFS('Por foco'!$O$2:$O$579,'Por foco'!$A$2:$A$579,$A80,'Por foco'!$B$2:$B$579,$B80)</f>
        <v>0</v>
      </c>
      <c r="O80" s="2" t="n">
        <f aca="false">SUMIFS('Por foco'!$P$2:$P$579,'Por foco'!$A$2:$A$579,$A80,'Por foco'!$B$2:$B$579,$B80)</f>
        <v>0</v>
      </c>
      <c r="P80" s="2" t="n">
        <f aca="false">SUMIFS('Por foco'!$Q$2:$Q$579,'Por foco'!$A$2:$A$579,$A80,'Por foco'!$B$2:$B$579,$B80)</f>
        <v>0</v>
      </c>
      <c r="Q80" s="2" t="n">
        <f aca="false">SUMIFS('Por foco'!$R$2:$R$579,'Por foco'!$A$2:$A$579,$A80,'Por foco'!$B$2:$B$579,$B80)</f>
        <v>0</v>
      </c>
      <c r="R80" s="2" t="n">
        <f aca="false">SUMIFS('Por foco'!$S$2:$S$579,'Por foco'!$A$2:$A$579,$A80,'Por foco'!$B$2:$B$579,$B80)</f>
        <v>0</v>
      </c>
      <c r="S80" s="2" t="n">
        <f aca="false">SUMIFS('Por foco'!$T$2:$T$579,'Por foco'!$A$2:$A$579,$A80,'Por foco'!$B$2:$B$579,$B80)</f>
        <v>3500</v>
      </c>
      <c r="T80" s="2" t="n">
        <f aca="false">SUMIFS('Por foco'!$U$2:$U$579,'Por foco'!$A$2:$A$579,$A80,'Por foco'!$B$2:$B$579,$B80)</f>
        <v>0</v>
      </c>
      <c r="U80" s="2" t="n">
        <f aca="false">SUMIFS('Por foco'!$V$2:$V$579,'Por foco'!$A$2:$A$579,$A80,'Por foco'!$B$2:$B$579,$B80)</f>
        <v>0</v>
      </c>
      <c r="V80" s="2" t="n">
        <f aca="false">SUMIFS('Por foco'!$W$2:$W$579,'Por foco'!$A$2:$A$579,$A80,'Por foco'!$B$2:$B$579,$B80)</f>
        <v>0</v>
      </c>
      <c r="W80" s="2" t="n">
        <f aca="false">SUMIFS('Por foco'!$X$2:$X$579,'Por foco'!$A$2:$A$579,$A80,'Por foco'!$B$2:$B$579,$B80)</f>
        <v>7</v>
      </c>
    </row>
    <row r="81" customFormat="false" ht="15" hidden="false" customHeight="false" outlineLevel="0" collapsed="false">
      <c r="A81" s="2" t="s">
        <v>36</v>
      </c>
      <c r="B81" s="2" t="s">
        <v>115</v>
      </c>
      <c r="C81" s="2" t="n">
        <f aca="false">COUNTIFS('Por foco'!$A$2:$A$579,$A81,'Por foco'!$B$2:$B$579,$B81)</f>
        <v>7</v>
      </c>
      <c r="D81" s="2" t="n">
        <f aca="false">SUMIFS('Por foco'!$E$2:$E$579,'Por foco'!$A$2:$A$579,$A81,'Por foco'!$B$2:$B$579,$B81)</f>
        <v>245</v>
      </c>
      <c r="E81" s="2" t="n">
        <f aca="false">SUMIFS('Por foco'!$F$2:$F$579,'Por foco'!$A$2:$A$579,$A81,'Por foco'!$B$2:$B$579,$B81)</f>
        <v>0</v>
      </c>
      <c r="F81" s="2" t="n">
        <f aca="false">SUMIFS('Por foco'!$G$2:$G$579,'Por foco'!$A$2:$A$579,$A81,'Por foco'!$B$2:$B$579,$B81)</f>
        <v>0</v>
      </c>
      <c r="G81" s="2" t="n">
        <f aca="false">SUMIFS('Por foco'!$H$2:$H$579,'Por foco'!$A$2:$A$579,$A81,'Por foco'!$B$2:$B$579,$B81)</f>
        <v>0</v>
      </c>
      <c r="H81" s="2" t="n">
        <f aca="false">SUMIFS('Por foco'!$I$2:$I$579,'Por foco'!$A$2:$A$579,$A81,'Por foco'!$B$2:$B$579,$B81)</f>
        <v>1340000</v>
      </c>
      <c r="I81" s="2" t="n">
        <f aca="false">SUMIFS('Por foco'!$J$2:$J$579,'Por foco'!$A$2:$A$579,$A81,'Por foco'!$B$2:$B$579,$B81)</f>
        <v>0</v>
      </c>
      <c r="J81" s="2" t="n">
        <f aca="false">SUMIFS('Por foco'!$K$2:$K$579,'Por foco'!$A$2:$A$579,$A81,'Por foco'!$B$2:$B$579,$B81)</f>
        <v>0</v>
      </c>
      <c r="K81" s="2" t="n">
        <f aca="false">SUMIFS('Por foco'!$L$2:$L$579,'Por foco'!$A$2:$A$579,$A81,'Por foco'!$B$2:$B$579,$B81)</f>
        <v>0</v>
      </c>
      <c r="L81" s="2" t="n">
        <f aca="false">SUMIFS('Por foco'!$M$2:$M$579,'Por foco'!$A$2:$A$579,$A81,'Por foco'!$B$2:$B$579,$B81)</f>
        <v>0</v>
      </c>
      <c r="M81" s="2" t="n">
        <f aca="false">SUMIFS('Por foco'!$N$2:$N$579,'Por foco'!$A$2:$A$579,$A81,'Por foco'!$B$2:$B$579,$B81)</f>
        <v>0</v>
      </c>
      <c r="N81" s="2" t="n">
        <f aca="false">SUMIFS('Por foco'!$O$2:$O$579,'Por foco'!$A$2:$A$579,$A81,'Por foco'!$B$2:$B$579,$B81)</f>
        <v>0</v>
      </c>
      <c r="O81" s="2" t="n">
        <f aca="false">SUMIFS('Por foco'!$P$2:$P$579,'Por foco'!$A$2:$A$579,$A81,'Por foco'!$B$2:$B$579,$B81)</f>
        <v>0</v>
      </c>
      <c r="P81" s="2" t="n">
        <f aca="false">SUMIFS('Por foco'!$Q$2:$Q$579,'Por foco'!$A$2:$A$579,$A81,'Por foco'!$B$2:$B$579,$B81)</f>
        <v>0</v>
      </c>
      <c r="Q81" s="2" t="n">
        <f aca="false">SUMIFS('Por foco'!$R$2:$R$579,'Por foco'!$A$2:$A$579,$A81,'Por foco'!$B$2:$B$579,$B81)</f>
        <v>0</v>
      </c>
      <c r="R81" s="2" t="n">
        <f aca="false">SUMIFS('Por foco'!$S$2:$S$579,'Por foco'!$A$2:$A$579,$A81,'Por foco'!$B$2:$B$579,$B81)</f>
        <v>0</v>
      </c>
      <c r="S81" s="2" t="n">
        <f aca="false">SUMIFS('Por foco'!$T$2:$T$579,'Por foco'!$A$2:$A$579,$A81,'Por foco'!$B$2:$B$579,$B81)</f>
        <v>30150</v>
      </c>
      <c r="T81" s="2" t="n">
        <f aca="false">SUMIFS('Por foco'!$U$2:$U$579,'Por foco'!$A$2:$A$579,$A81,'Por foco'!$B$2:$B$579,$B81)</f>
        <v>6</v>
      </c>
      <c r="U81" s="2" t="n">
        <f aca="false">SUMIFS('Por foco'!$V$2:$V$579,'Por foco'!$A$2:$A$579,$A81,'Por foco'!$B$2:$B$579,$B81)</f>
        <v>0</v>
      </c>
      <c r="V81" s="2" t="n">
        <f aca="false">SUMIFS('Por foco'!$W$2:$W$579,'Por foco'!$A$2:$A$579,$A81,'Por foco'!$B$2:$B$579,$B81)</f>
        <v>2</v>
      </c>
      <c r="W81" s="2" t="n">
        <f aca="false">SUMIFS('Por foco'!$X$2:$X$579,'Por foco'!$A$2:$A$579,$A81,'Por foco'!$B$2:$B$579,$B81)</f>
        <v>7</v>
      </c>
    </row>
    <row r="82" customFormat="false" ht="15" hidden="false" customHeight="false" outlineLevel="0" collapsed="false">
      <c r="A82" s="2" t="s">
        <v>37</v>
      </c>
      <c r="B82" s="2" t="s">
        <v>115</v>
      </c>
      <c r="C82" s="2" t="n">
        <f aca="false">COUNTIFS('Por foco'!$A$2:$A$579,$A82,'Por foco'!$B$2:$B$579,$B82)</f>
        <v>7</v>
      </c>
      <c r="D82" s="2" t="n">
        <f aca="false">SUMIFS('Por foco'!$E$2:$E$579,'Por foco'!$A$2:$A$579,$A82,'Por foco'!$B$2:$B$579,$B82)</f>
        <v>245</v>
      </c>
      <c r="E82" s="2" t="n">
        <f aca="false">SUMIFS('Por foco'!$F$2:$F$579,'Por foco'!$A$2:$A$579,$A82,'Por foco'!$B$2:$B$579,$B82)</f>
        <v>0</v>
      </c>
      <c r="F82" s="2" t="n">
        <f aca="false">SUMIFS('Por foco'!$G$2:$G$579,'Por foco'!$A$2:$A$579,$A82,'Por foco'!$B$2:$B$579,$B82)</f>
        <v>0</v>
      </c>
      <c r="G82" s="2" t="n">
        <f aca="false">SUMIFS('Por foco'!$H$2:$H$579,'Por foco'!$A$2:$A$579,$A82,'Por foco'!$B$2:$B$579,$B82)</f>
        <v>0</v>
      </c>
      <c r="H82" s="2" t="n">
        <f aca="false">SUMIFS('Por foco'!$I$2:$I$579,'Por foco'!$A$2:$A$579,$A82,'Por foco'!$B$2:$B$579,$B82)</f>
        <v>1840000</v>
      </c>
      <c r="I82" s="2" t="n">
        <f aca="false">SUMIFS('Por foco'!$J$2:$J$579,'Por foco'!$A$2:$A$579,$A82,'Por foco'!$B$2:$B$579,$B82)</f>
        <v>0</v>
      </c>
      <c r="J82" s="2" t="n">
        <f aca="false">SUMIFS('Por foco'!$K$2:$K$579,'Por foco'!$A$2:$A$579,$A82,'Por foco'!$B$2:$B$579,$B82)</f>
        <v>0</v>
      </c>
      <c r="K82" s="2" t="n">
        <f aca="false">SUMIFS('Por foco'!$L$2:$L$579,'Por foco'!$A$2:$A$579,$A82,'Por foco'!$B$2:$B$579,$B82)</f>
        <v>0</v>
      </c>
      <c r="L82" s="2" t="n">
        <f aca="false">SUMIFS('Por foco'!$M$2:$M$579,'Por foco'!$A$2:$A$579,$A82,'Por foco'!$B$2:$B$579,$B82)</f>
        <v>0</v>
      </c>
      <c r="M82" s="2" t="n">
        <f aca="false">SUMIFS('Por foco'!$N$2:$N$579,'Por foco'!$A$2:$A$579,$A82,'Por foco'!$B$2:$B$579,$B82)</f>
        <v>0</v>
      </c>
      <c r="N82" s="2" t="n">
        <f aca="false">SUMIFS('Por foco'!$O$2:$O$579,'Por foco'!$A$2:$A$579,$A82,'Por foco'!$B$2:$B$579,$B82)</f>
        <v>0</v>
      </c>
      <c r="O82" s="2" t="n">
        <f aca="false">SUMIFS('Por foco'!$P$2:$P$579,'Por foco'!$A$2:$A$579,$A82,'Por foco'!$B$2:$B$579,$B82)</f>
        <v>0</v>
      </c>
      <c r="P82" s="2" t="n">
        <f aca="false">SUMIFS('Por foco'!$Q$2:$Q$579,'Por foco'!$A$2:$A$579,$A82,'Por foco'!$B$2:$B$579,$B82)</f>
        <v>0</v>
      </c>
      <c r="Q82" s="2" t="n">
        <f aca="false">SUMIFS('Por foco'!$R$2:$R$579,'Por foco'!$A$2:$A$579,$A82,'Por foco'!$B$2:$B$579,$B82)</f>
        <v>0</v>
      </c>
      <c r="R82" s="2" t="n">
        <f aca="false">SUMIFS('Por foco'!$S$2:$S$579,'Por foco'!$A$2:$A$579,$A82,'Por foco'!$B$2:$B$579,$B82)</f>
        <v>0</v>
      </c>
      <c r="S82" s="2" t="n">
        <f aca="false">SUMIFS('Por foco'!$T$2:$T$579,'Por foco'!$A$2:$A$579,$A82,'Por foco'!$B$2:$B$579,$B82)</f>
        <v>32150</v>
      </c>
      <c r="T82" s="2" t="n">
        <f aca="false">SUMIFS('Por foco'!$U$2:$U$579,'Por foco'!$A$2:$A$579,$A82,'Por foco'!$B$2:$B$579,$B82)</f>
        <v>8</v>
      </c>
      <c r="U82" s="2" t="n">
        <f aca="false">SUMIFS('Por foco'!$V$2:$V$579,'Por foco'!$A$2:$A$579,$A82,'Por foco'!$B$2:$B$579,$B82)</f>
        <v>0</v>
      </c>
      <c r="V82" s="2" t="n">
        <f aca="false">SUMIFS('Por foco'!$W$2:$W$579,'Por foco'!$A$2:$A$579,$A82,'Por foco'!$B$2:$B$579,$B82)</f>
        <v>0</v>
      </c>
      <c r="W82" s="2" t="n">
        <f aca="false">SUMIFS('Por foco'!$X$2:$X$579,'Por foco'!$A$2:$A$579,$A82,'Por foco'!$B$2:$B$579,$B82)</f>
        <v>7</v>
      </c>
    </row>
    <row r="83" customFormat="false" ht="15" hidden="false" customHeight="false" outlineLevel="0" collapsed="false">
      <c r="A83" s="2" t="s">
        <v>38</v>
      </c>
      <c r="B83" s="2" t="s">
        <v>115</v>
      </c>
      <c r="C83" s="2" t="n">
        <f aca="false">COUNTIFS('Por foco'!$A$2:$A$579,$A83,'Por foco'!$B$2:$B$579,$B83)</f>
        <v>7</v>
      </c>
      <c r="D83" s="2" t="n">
        <f aca="false">SUMIFS('Por foco'!$E$2:$E$579,'Por foco'!$A$2:$A$579,$A83,'Por foco'!$B$2:$B$579,$B83)</f>
        <v>245</v>
      </c>
      <c r="E83" s="2" t="n">
        <f aca="false">SUMIFS('Por foco'!$F$2:$F$579,'Por foco'!$A$2:$A$579,$A83,'Por foco'!$B$2:$B$579,$B83)</f>
        <v>0</v>
      </c>
      <c r="F83" s="2" t="n">
        <f aca="false">SUMIFS('Por foco'!$G$2:$G$579,'Por foco'!$A$2:$A$579,$A83,'Por foco'!$B$2:$B$579,$B83)</f>
        <v>0</v>
      </c>
      <c r="G83" s="2" t="n">
        <f aca="false">SUMIFS('Por foco'!$H$2:$H$579,'Por foco'!$A$2:$A$579,$A83,'Por foco'!$B$2:$B$579,$B83)</f>
        <v>0</v>
      </c>
      <c r="H83" s="2" t="n">
        <f aca="false">SUMIFS('Por foco'!$I$2:$I$579,'Por foco'!$A$2:$A$579,$A83,'Por foco'!$B$2:$B$579,$B83)</f>
        <v>1240000</v>
      </c>
      <c r="I83" s="2" t="n">
        <f aca="false">SUMIFS('Por foco'!$J$2:$J$579,'Por foco'!$A$2:$A$579,$A83,'Por foco'!$B$2:$B$579,$B83)</f>
        <v>0</v>
      </c>
      <c r="J83" s="2" t="n">
        <f aca="false">SUMIFS('Por foco'!$K$2:$K$579,'Por foco'!$A$2:$A$579,$A83,'Por foco'!$B$2:$B$579,$B83)</f>
        <v>0</v>
      </c>
      <c r="K83" s="2" t="n">
        <f aca="false">SUMIFS('Por foco'!$L$2:$L$579,'Por foco'!$A$2:$A$579,$A83,'Por foco'!$B$2:$B$579,$B83)</f>
        <v>0</v>
      </c>
      <c r="L83" s="2" t="n">
        <f aca="false">SUMIFS('Por foco'!$M$2:$M$579,'Por foco'!$A$2:$A$579,$A83,'Por foco'!$B$2:$B$579,$B83)</f>
        <v>0</v>
      </c>
      <c r="M83" s="2" t="n">
        <f aca="false">SUMIFS('Por foco'!$N$2:$N$579,'Por foco'!$A$2:$A$579,$A83,'Por foco'!$B$2:$B$579,$B83)</f>
        <v>0</v>
      </c>
      <c r="N83" s="2" t="n">
        <f aca="false">SUMIFS('Por foco'!$O$2:$O$579,'Por foco'!$A$2:$A$579,$A83,'Por foco'!$B$2:$B$579,$B83)</f>
        <v>0</v>
      </c>
      <c r="O83" s="2" t="n">
        <f aca="false">SUMIFS('Por foco'!$P$2:$P$579,'Por foco'!$A$2:$A$579,$A83,'Por foco'!$B$2:$B$579,$B83)</f>
        <v>0</v>
      </c>
      <c r="P83" s="2" t="n">
        <f aca="false">SUMIFS('Por foco'!$Q$2:$Q$579,'Por foco'!$A$2:$A$579,$A83,'Por foco'!$B$2:$B$579,$B83)</f>
        <v>0</v>
      </c>
      <c r="Q83" s="2" t="n">
        <f aca="false">SUMIFS('Por foco'!$R$2:$R$579,'Por foco'!$A$2:$A$579,$A83,'Por foco'!$B$2:$B$579,$B83)</f>
        <v>0</v>
      </c>
      <c r="R83" s="2" t="n">
        <f aca="false">SUMIFS('Por foco'!$S$2:$S$579,'Por foco'!$A$2:$A$579,$A83,'Por foco'!$B$2:$B$579,$B83)</f>
        <v>0</v>
      </c>
      <c r="S83" s="2" t="n">
        <f aca="false">SUMIFS('Por foco'!$T$2:$T$579,'Por foco'!$A$2:$A$579,$A83,'Por foco'!$B$2:$B$579,$B83)</f>
        <v>32150</v>
      </c>
      <c r="T83" s="2" t="n">
        <f aca="false">SUMIFS('Por foco'!$U$2:$U$579,'Por foco'!$A$2:$A$579,$A83,'Por foco'!$B$2:$B$579,$B83)</f>
        <v>8</v>
      </c>
      <c r="U83" s="2" t="n">
        <f aca="false">SUMIFS('Por foco'!$V$2:$V$579,'Por foco'!$A$2:$A$579,$A83,'Por foco'!$B$2:$B$579,$B83)</f>
        <v>0</v>
      </c>
      <c r="V83" s="2" t="n">
        <f aca="false">SUMIFS('Por foco'!$W$2:$W$579,'Por foco'!$A$2:$A$579,$A83,'Por foco'!$B$2:$B$579,$B83)</f>
        <v>0</v>
      </c>
      <c r="W83" s="2" t="n">
        <f aca="false">SUMIFS('Por foco'!$X$2:$X$579,'Por foco'!$A$2:$A$579,$A83,'Por foco'!$B$2:$B$579,$B83)</f>
        <v>7</v>
      </c>
    </row>
    <row r="84" customFormat="false" ht="15" hidden="false" customHeight="false" outlineLevel="0" collapsed="false">
      <c r="A84" s="2" t="s">
        <v>39</v>
      </c>
      <c r="B84" s="2" t="s">
        <v>116</v>
      </c>
      <c r="C84" s="2" t="n">
        <f aca="false">COUNTIFS('Por foco'!$A$2:$A$579,$A84,'Por foco'!$B$2:$B$579,$B84)</f>
        <v>7</v>
      </c>
      <c r="D84" s="2" t="n">
        <f aca="false">SUMIFS('Por foco'!$E$2:$E$579,'Por foco'!$A$2:$A$579,$A84,'Por foco'!$B$2:$B$579,$B84)</f>
        <v>2548</v>
      </c>
      <c r="E84" s="2" t="n">
        <f aca="false">SUMIFS('Por foco'!$F$2:$F$579,'Por foco'!$A$2:$A$579,$A84,'Por foco'!$B$2:$B$579,$B84)</f>
        <v>400</v>
      </c>
      <c r="F84" s="2" t="n">
        <f aca="false">SUMIFS('Por foco'!$G$2:$G$579,'Por foco'!$A$2:$A$579,$A84,'Por foco'!$B$2:$B$579,$B84)</f>
        <v>10</v>
      </c>
      <c r="G84" s="2" t="n">
        <f aca="false">SUMIFS('Por foco'!$H$2:$H$579,'Por foco'!$A$2:$A$579,$A84,'Por foco'!$B$2:$B$579,$B84)</f>
        <v>10</v>
      </c>
      <c r="H84" s="2" t="n">
        <f aca="false">SUMIFS('Por foco'!$I$2:$I$579,'Por foco'!$A$2:$A$579,$A84,'Por foco'!$B$2:$B$579,$B84)</f>
        <v>1950000</v>
      </c>
      <c r="I84" s="2" t="n">
        <f aca="false">SUMIFS('Por foco'!$J$2:$J$579,'Por foco'!$A$2:$A$579,$A84,'Por foco'!$B$2:$B$579,$B84)</f>
        <v>0</v>
      </c>
      <c r="J84" s="2" t="n">
        <f aca="false">SUMIFS('Por foco'!$K$2:$K$579,'Por foco'!$A$2:$A$579,$A84,'Por foco'!$B$2:$B$579,$B84)</f>
        <v>0</v>
      </c>
      <c r="K84" s="2" t="n">
        <f aca="false">SUMIFS('Por foco'!$L$2:$L$579,'Por foco'!$A$2:$A$579,$A84,'Por foco'!$B$2:$B$579,$B84)</f>
        <v>0</v>
      </c>
      <c r="L84" s="2" t="n">
        <f aca="false">SUMIFS('Por foco'!$M$2:$M$579,'Por foco'!$A$2:$A$579,$A84,'Por foco'!$B$2:$B$579,$B84)</f>
        <v>0</v>
      </c>
      <c r="M84" s="2" t="n">
        <f aca="false">SUMIFS('Por foco'!$N$2:$N$579,'Por foco'!$A$2:$A$579,$A84,'Por foco'!$B$2:$B$579,$B84)</f>
        <v>0</v>
      </c>
      <c r="N84" s="2" t="n">
        <f aca="false">SUMIFS('Por foco'!$O$2:$O$579,'Por foco'!$A$2:$A$579,$A84,'Por foco'!$B$2:$B$579,$B84)</f>
        <v>15</v>
      </c>
      <c r="O84" s="2" t="n">
        <f aca="false">SUMIFS('Por foco'!$P$2:$P$579,'Por foco'!$A$2:$A$579,$A84,'Por foco'!$B$2:$B$579,$B84)</f>
        <v>0</v>
      </c>
      <c r="P84" s="2" t="n">
        <f aca="false">SUMIFS('Por foco'!$Q$2:$Q$579,'Por foco'!$A$2:$A$579,$A84,'Por foco'!$B$2:$B$579,$B84)</f>
        <v>0</v>
      </c>
      <c r="Q84" s="2" t="n">
        <f aca="false">SUMIFS('Por foco'!$R$2:$R$579,'Por foco'!$A$2:$A$579,$A84,'Por foco'!$B$2:$B$579,$B84)</f>
        <v>1</v>
      </c>
      <c r="R84" s="2" t="n">
        <f aca="false">SUMIFS('Por foco'!$S$2:$S$579,'Por foco'!$A$2:$A$579,$A84,'Por foco'!$B$2:$B$579,$B84)</f>
        <v>0</v>
      </c>
      <c r="S84" s="2" t="n">
        <f aca="false">SUMIFS('Por foco'!$T$2:$T$579,'Por foco'!$A$2:$A$579,$A84,'Por foco'!$B$2:$B$579,$B84)</f>
        <v>38910</v>
      </c>
      <c r="T84" s="2" t="n">
        <f aca="false">SUMIFS('Por foco'!$U$2:$U$579,'Por foco'!$A$2:$A$579,$A84,'Por foco'!$B$2:$B$579,$B84)</f>
        <v>10</v>
      </c>
      <c r="U84" s="2" t="n">
        <f aca="false">SUMIFS('Por foco'!$V$2:$V$579,'Por foco'!$A$2:$A$579,$A84,'Por foco'!$B$2:$B$579,$B84)</f>
        <v>0</v>
      </c>
      <c r="V84" s="2" t="n">
        <f aca="false">SUMIFS('Por foco'!$W$2:$W$579,'Por foco'!$A$2:$A$579,$A84,'Por foco'!$B$2:$B$579,$B84)</f>
        <v>9</v>
      </c>
      <c r="W84" s="2" t="n">
        <f aca="false">SUMIFS('Por foco'!$X$2:$X$579,'Por foco'!$A$2:$A$579,$A84,'Por foco'!$B$2:$B$579,$B84)</f>
        <v>3</v>
      </c>
    </row>
    <row r="85" customFormat="false" ht="15" hidden="false" customHeight="false" outlineLevel="0" collapsed="false">
      <c r="A85" s="2" t="s">
        <v>40</v>
      </c>
      <c r="B85" s="2" t="s">
        <v>117</v>
      </c>
      <c r="C85" s="2" t="n">
        <f aca="false">COUNTIFS('Por foco'!$A$2:$A$579,$A85,'Por foco'!$B$2:$B$579,$B85)</f>
        <v>5</v>
      </c>
      <c r="D85" s="2" t="n">
        <f aca="false">SUMIFS('Por foco'!$E$2:$E$579,'Por foco'!$A$2:$A$579,$A85,'Por foco'!$B$2:$B$579,$B85)</f>
        <v>175</v>
      </c>
      <c r="E85" s="2" t="n">
        <f aca="false">SUMIFS('Por foco'!$F$2:$F$579,'Por foco'!$A$2:$A$579,$A85,'Por foco'!$B$2:$B$579,$B85)</f>
        <v>0</v>
      </c>
      <c r="F85" s="2" t="n">
        <f aca="false">SUMIFS('Por foco'!$G$2:$G$579,'Por foco'!$A$2:$A$579,$A85,'Por foco'!$B$2:$B$579,$B85)</f>
        <v>0</v>
      </c>
      <c r="G85" s="2" t="n">
        <f aca="false">SUMIFS('Por foco'!$H$2:$H$579,'Por foco'!$A$2:$A$579,$A85,'Por foco'!$B$2:$B$579,$B85)</f>
        <v>0</v>
      </c>
      <c r="H85" s="2" t="n">
        <f aca="false">SUMIFS('Por foco'!$I$2:$I$579,'Por foco'!$A$2:$A$579,$A85,'Por foco'!$B$2:$B$579,$B85)</f>
        <v>50000</v>
      </c>
      <c r="I85" s="2" t="n">
        <f aca="false">SUMIFS('Por foco'!$J$2:$J$579,'Por foco'!$A$2:$A$579,$A85,'Por foco'!$B$2:$B$579,$B85)</f>
        <v>0</v>
      </c>
      <c r="J85" s="2" t="n">
        <f aca="false">SUMIFS('Por foco'!$K$2:$K$579,'Por foco'!$A$2:$A$579,$A85,'Por foco'!$B$2:$B$579,$B85)</f>
        <v>0</v>
      </c>
      <c r="K85" s="2" t="n">
        <f aca="false">SUMIFS('Por foco'!$L$2:$L$579,'Por foco'!$A$2:$A$579,$A85,'Por foco'!$B$2:$B$579,$B85)</f>
        <v>0</v>
      </c>
      <c r="L85" s="2" t="n">
        <f aca="false">SUMIFS('Por foco'!$M$2:$M$579,'Por foco'!$A$2:$A$579,$A85,'Por foco'!$B$2:$B$579,$B85)</f>
        <v>0</v>
      </c>
      <c r="M85" s="2" t="n">
        <f aca="false">SUMIFS('Por foco'!$N$2:$N$579,'Por foco'!$A$2:$A$579,$A85,'Por foco'!$B$2:$B$579,$B85)</f>
        <v>0</v>
      </c>
      <c r="N85" s="2" t="n">
        <f aca="false">SUMIFS('Por foco'!$O$2:$O$579,'Por foco'!$A$2:$A$579,$A85,'Por foco'!$B$2:$B$579,$B85)</f>
        <v>0</v>
      </c>
      <c r="O85" s="2" t="n">
        <f aca="false">SUMIFS('Por foco'!$P$2:$P$579,'Por foco'!$A$2:$A$579,$A85,'Por foco'!$B$2:$B$579,$B85)</f>
        <v>0</v>
      </c>
      <c r="P85" s="2" t="n">
        <f aca="false">SUMIFS('Por foco'!$Q$2:$Q$579,'Por foco'!$A$2:$A$579,$A85,'Por foco'!$B$2:$B$579,$B85)</f>
        <v>0</v>
      </c>
      <c r="Q85" s="2" t="n">
        <f aca="false">SUMIFS('Por foco'!$R$2:$R$579,'Por foco'!$A$2:$A$579,$A85,'Por foco'!$B$2:$B$579,$B85)</f>
        <v>0</v>
      </c>
      <c r="R85" s="2" t="n">
        <f aca="false">SUMIFS('Por foco'!$S$2:$S$579,'Por foco'!$A$2:$A$579,$A85,'Por foco'!$B$2:$B$579,$B85)</f>
        <v>0</v>
      </c>
      <c r="S85" s="2" t="n">
        <f aca="false">SUMIFS('Por foco'!$T$2:$T$579,'Por foco'!$A$2:$A$579,$A85,'Por foco'!$B$2:$B$579,$B85)</f>
        <v>0</v>
      </c>
      <c r="T85" s="2" t="n">
        <f aca="false">SUMIFS('Por foco'!$U$2:$U$579,'Por foco'!$A$2:$A$579,$A85,'Por foco'!$B$2:$B$579,$B85)</f>
        <v>36</v>
      </c>
      <c r="U85" s="2" t="n">
        <f aca="false">SUMIFS('Por foco'!$V$2:$V$579,'Por foco'!$A$2:$A$579,$A85,'Por foco'!$B$2:$B$579,$B85)</f>
        <v>0</v>
      </c>
      <c r="V85" s="2" t="n">
        <f aca="false">SUMIFS('Por foco'!$W$2:$W$579,'Por foco'!$A$2:$A$579,$A85,'Por foco'!$B$2:$B$579,$B85)</f>
        <v>0</v>
      </c>
      <c r="W85" s="2" t="n">
        <f aca="false">SUMIFS('Por foco'!$X$2:$X$579,'Por foco'!$A$2:$A$579,$A85,'Por foco'!$B$2:$B$579,$B85)</f>
        <v>5</v>
      </c>
    </row>
    <row r="86" customFormat="false" ht="15" hidden="false" customHeight="false" outlineLevel="0" collapsed="false">
      <c r="A86" s="2" t="s">
        <v>40</v>
      </c>
      <c r="B86" s="2" t="s">
        <v>118</v>
      </c>
      <c r="C86" s="2" t="n">
        <f aca="false">COUNTIFS('Por foco'!$A$2:$A$579,$A86,'Por foco'!$B$2:$B$579,$B86)</f>
        <v>5</v>
      </c>
      <c r="D86" s="2" t="n">
        <f aca="false">SUMIFS('Por foco'!$E$2:$E$579,'Por foco'!$A$2:$A$579,$A86,'Por foco'!$B$2:$B$579,$B86)</f>
        <v>175</v>
      </c>
      <c r="E86" s="2" t="n">
        <f aca="false">SUMIFS('Por foco'!$F$2:$F$579,'Por foco'!$A$2:$A$579,$A86,'Por foco'!$B$2:$B$579,$B86)</f>
        <v>0</v>
      </c>
      <c r="F86" s="2" t="n">
        <f aca="false">SUMIFS('Por foco'!$G$2:$G$579,'Por foco'!$A$2:$A$579,$A86,'Por foco'!$B$2:$B$579,$B86)</f>
        <v>0</v>
      </c>
      <c r="G86" s="2" t="n">
        <f aca="false">SUMIFS('Por foco'!$H$2:$H$579,'Por foco'!$A$2:$A$579,$A86,'Por foco'!$B$2:$B$579,$B86)</f>
        <v>0</v>
      </c>
      <c r="H86" s="2" t="n">
        <f aca="false">SUMIFS('Por foco'!$I$2:$I$579,'Por foco'!$A$2:$A$579,$A86,'Por foco'!$B$2:$B$579,$B86)</f>
        <v>250000</v>
      </c>
      <c r="I86" s="2" t="n">
        <f aca="false">SUMIFS('Por foco'!$J$2:$J$579,'Por foco'!$A$2:$A$579,$A86,'Por foco'!$B$2:$B$579,$B86)</f>
        <v>30</v>
      </c>
      <c r="J86" s="2" t="n">
        <f aca="false">SUMIFS('Por foco'!$K$2:$K$579,'Por foco'!$A$2:$A$579,$A86,'Por foco'!$B$2:$B$579,$B86)</f>
        <v>0</v>
      </c>
      <c r="K86" s="2" t="n">
        <f aca="false">SUMIFS('Por foco'!$L$2:$L$579,'Por foco'!$A$2:$A$579,$A86,'Por foco'!$B$2:$B$579,$B86)</f>
        <v>0</v>
      </c>
      <c r="L86" s="2" t="n">
        <f aca="false">SUMIFS('Por foco'!$M$2:$M$579,'Por foco'!$A$2:$A$579,$A86,'Por foco'!$B$2:$B$579,$B86)</f>
        <v>0</v>
      </c>
      <c r="M86" s="2" t="n">
        <f aca="false">SUMIFS('Por foco'!$N$2:$N$579,'Por foco'!$A$2:$A$579,$A86,'Por foco'!$B$2:$B$579,$B86)</f>
        <v>0</v>
      </c>
      <c r="N86" s="2" t="n">
        <f aca="false">SUMIFS('Por foco'!$O$2:$O$579,'Por foco'!$A$2:$A$579,$A86,'Por foco'!$B$2:$B$579,$B86)</f>
        <v>0</v>
      </c>
      <c r="O86" s="2" t="n">
        <f aca="false">SUMIFS('Por foco'!$P$2:$P$579,'Por foco'!$A$2:$A$579,$A86,'Por foco'!$B$2:$B$579,$B86)</f>
        <v>0</v>
      </c>
      <c r="P86" s="2" t="n">
        <f aca="false">SUMIFS('Por foco'!$Q$2:$Q$579,'Por foco'!$A$2:$A$579,$A86,'Por foco'!$B$2:$B$579,$B86)</f>
        <v>0</v>
      </c>
      <c r="Q86" s="2" t="n">
        <f aca="false">SUMIFS('Por foco'!$R$2:$R$579,'Por foco'!$A$2:$A$579,$A86,'Por foco'!$B$2:$B$579,$B86)</f>
        <v>0</v>
      </c>
      <c r="R86" s="2" t="n">
        <f aca="false">SUMIFS('Por foco'!$S$2:$S$579,'Por foco'!$A$2:$A$579,$A86,'Por foco'!$B$2:$B$579,$B86)</f>
        <v>0</v>
      </c>
      <c r="S86" s="2" t="n">
        <f aca="false">SUMIFS('Por foco'!$T$2:$T$579,'Por foco'!$A$2:$A$579,$A86,'Por foco'!$B$2:$B$579,$B86)</f>
        <v>20000</v>
      </c>
      <c r="T86" s="2" t="n">
        <f aca="false">SUMIFS('Por foco'!$U$2:$U$579,'Por foco'!$A$2:$A$579,$A86,'Por foco'!$B$2:$B$579,$B86)</f>
        <v>13</v>
      </c>
      <c r="U86" s="2" t="n">
        <f aca="false">SUMIFS('Por foco'!$V$2:$V$579,'Por foco'!$A$2:$A$579,$A86,'Por foco'!$B$2:$B$579,$B86)</f>
        <v>0</v>
      </c>
      <c r="V86" s="2" t="n">
        <f aca="false">SUMIFS('Por foco'!$W$2:$W$579,'Por foco'!$A$2:$A$579,$A86,'Por foco'!$B$2:$B$579,$B86)</f>
        <v>0</v>
      </c>
      <c r="W86" s="2" t="n">
        <f aca="false">SUMIFS('Por foco'!$X$2:$X$579,'Por foco'!$A$2:$A$579,$A86,'Por foco'!$B$2:$B$579,$B86)</f>
        <v>4</v>
      </c>
    </row>
    <row r="87" customFormat="false" ht="15" hidden="false" customHeight="false" outlineLevel="0" collapsed="false">
      <c r="A87" s="2" t="s">
        <v>40</v>
      </c>
      <c r="B87" s="2" t="s">
        <v>119</v>
      </c>
      <c r="C87" s="2" t="n">
        <f aca="false">COUNTIFS('Por foco'!$A$2:$A$579,$A87,'Por foco'!$B$2:$B$579,$B87)</f>
        <v>1</v>
      </c>
      <c r="D87" s="2" t="n">
        <f aca="false">SUMIFS('Por foco'!$E$2:$E$579,'Por foco'!$A$2:$A$579,$A87,'Por foco'!$B$2:$B$579,$B87)</f>
        <v>70</v>
      </c>
      <c r="E87" s="2" t="n">
        <f aca="false">SUMIFS('Por foco'!$F$2:$F$579,'Por foco'!$A$2:$A$579,$A87,'Por foco'!$B$2:$B$579,$B87)</f>
        <v>0</v>
      </c>
      <c r="F87" s="2" t="n">
        <f aca="false">SUMIFS('Por foco'!$G$2:$G$579,'Por foco'!$A$2:$A$579,$A87,'Por foco'!$B$2:$B$579,$B87)</f>
        <v>0</v>
      </c>
      <c r="G87" s="2" t="n">
        <f aca="false">SUMIFS('Por foco'!$H$2:$H$579,'Por foco'!$A$2:$A$579,$A87,'Por foco'!$B$2:$B$579,$B87)</f>
        <v>0</v>
      </c>
      <c r="H87" s="2" t="n">
        <f aca="false">SUMIFS('Por foco'!$I$2:$I$579,'Por foco'!$A$2:$A$579,$A87,'Por foco'!$B$2:$B$579,$B87)</f>
        <v>500000</v>
      </c>
      <c r="I87" s="2" t="n">
        <f aca="false">SUMIFS('Por foco'!$J$2:$J$579,'Por foco'!$A$2:$A$579,$A87,'Por foco'!$B$2:$B$579,$B87)</f>
        <v>0</v>
      </c>
      <c r="J87" s="2" t="n">
        <f aca="false">SUMIFS('Por foco'!$K$2:$K$579,'Por foco'!$A$2:$A$579,$A87,'Por foco'!$B$2:$B$579,$B87)</f>
        <v>0</v>
      </c>
      <c r="K87" s="2" t="n">
        <f aca="false">SUMIFS('Por foco'!$L$2:$L$579,'Por foco'!$A$2:$A$579,$A87,'Por foco'!$B$2:$B$579,$B87)</f>
        <v>0</v>
      </c>
      <c r="L87" s="2" t="n">
        <f aca="false">SUMIFS('Por foco'!$M$2:$M$579,'Por foco'!$A$2:$A$579,$A87,'Por foco'!$B$2:$B$579,$B87)</f>
        <v>0</v>
      </c>
      <c r="M87" s="2" t="n">
        <f aca="false">SUMIFS('Por foco'!$N$2:$N$579,'Por foco'!$A$2:$A$579,$A87,'Por foco'!$B$2:$B$579,$B87)</f>
        <v>0</v>
      </c>
      <c r="N87" s="2" t="n">
        <f aca="false">SUMIFS('Por foco'!$O$2:$O$579,'Por foco'!$A$2:$A$579,$A87,'Por foco'!$B$2:$B$579,$B87)</f>
        <v>0</v>
      </c>
      <c r="O87" s="2" t="n">
        <f aca="false">SUMIFS('Por foco'!$P$2:$P$579,'Por foco'!$A$2:$A$579,$A87,'Por foco'!$B$2:$B$579,$B87)</f>
        <v>0</v>
      </c>
      <c r="P87" s="2" t="n">
        <f aca="false">SUMIFS('Por foco'!$Q$2:$Q$579,'Por foco'!$A$2:$A$579,$A87,'Por foco'!$B$2:$B$579,$B87)</f>
        <v>0</v>
      </c>
      <c r="Q87" s="2" t="n">
        <f aca="false">SUMIFS('Por foco'!$R$2:$R$579,'Por foco'!$A$2:$A$579,$A87,'Por foco'!$B$2:$B$579,$B87)</f>
        <v>0</v>
      </c>
      <c r="R87" s="2" t="n">
        <f aca="false">SUMIFS('Por foco'!$S$2:$S$579,'Por foco'!$A$2:$A$579,$A87,'Por foco'!$B$2:$B$579,$B87)</f>
        <v>0</v>
      </c>
      <c r="S87" s="2" t="n">
        <f aca="false">SUMIFS('Por foco'!$T$2:$T$579,'Por foco'!$A$2:$A$579,$A87,'Por foco'!$B$2:$B$579,$B87)</f>
        <v>80000</v>
      </c>
      <c r="T87" s="2" t="n">
        <f aca="false">SUMIFS('Por foco'!$U$2:$U$579,'Por foco'!$A$2:$A$579,$A87,'Por foco'!$B$2:$B$579,$B87)</f>
        <v>0</v>
      </c>
      <c r="U87" s="2" t="n">
        <f aca="false">SUMIFS('Por foco'!$V$2:$V$579,'Por foco'!$A$2:$A$579,$A87,'Por foco'!$B$2:$B$579,$B87)</f>
        <v>0</v>
      </c>
      <c r="V87" s="2" t="n">
        <f aca="false">SUMIFS('Por foco'!$W$2:$W$579,'Por foco'!$A$2:$A$579,$A87,'Por foco'!$B$2:$B$579,$B87)</f>
        <v>0</v>
      </c>
      <c r="W87" s="2" t="n">
        <f aca="false">SUMIFS('Por foco'!$X$2:$X$579,'Por foco'!$A$2:$A$579,$A87,'Por foco'!$B$2:$B$579,$B87)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34"/>
    <col collapsed="false" customWidth="true" hidden="false" outlineLevel="0" max="24" min="5" style="0" width="14"/>
    <col collapsed="false" customWidth="true" hidden="false" outlineLevel="0" max="27" min="25" style="0" width="50"/>
  </cols>
  <sheetData>
    <row r="1" customFormat="false" ht="23.85" hidden="false" customHeight="false" outlineLevel="0" collapsed="false">
      <c r="A1" s="1" t="s">
        <v>0</v>
      </c>
      <c r="B1" s="1" t="s">
        <v>42</v>
      </c>
      <c r="C1" s="1" t="s">
        <v>120</v>
      </c>
      <c r="D1" s="1" t="s">
        <v>121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122</v>
      </c>
      <c r="Z1" s="1" t="s">
        <v>123</v>
      </c>
      <c r="AA1" s="1" t="s">
        <v>124</v>
      </c>
    </row>
    <row r="2" customFormat="false" ht="15" hidden="false" customHeight="false" outlineLevel="0" collapsed="false">
      <c r="A2" s="2" t="s">
        <v>27</v>
      </c>
      <c r="B2" s="2" t="s">
        <v>43</v>
      </c>
      <c r="C2" s="2" t="s">
        <v>125</v>
      </c>
      <c r="D2" s="2" t="s">
        <v>126</v>
      </c>
      <c r="E2" s="2" t="n">
        <v>49</v>
      </c>
      <c r="F2" s="2" t="n">
        <v>100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/>
      <c r="Z2" s="2"/>
      <c r="AA2" s="2"/>
    </row>
    <row r="3" customFormat="false" ht="15" hidden="false" customHeight="false" outlineLevel="0" collapsed="false">
      <c r="A3" s="2" t="s">
        <v>27</v>
      </c>
      <c r="B3" s="2" t="s">
        <v>43</v>
      </c>
      <c r="C3" s="2" t="s">
        <v>127</v>
      </c>
      <c r="D3" s="2" t="s">
        <v>128</v>
      </c>
      <c r="E3" s="2" t="n">
        <v>49</v>
      </c>
      <c r="F3" s="2" t="n">
        <v>100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/>
      <c r="Z3" s="2"/>
      <c r="AA3" s="2"/>
    </row>
    <row r="4" customFormat="false" ht="15" hidden="false" customHeight="false" outlineLevel="0" collapsed="false">
      <c r="A4" s="2" t="s">
        <v>27</v>
      </c>
      <c r="B4" s="2" t="s">
        <v>43</v>
      </c>
      <c r="C4" s="2" t="s">
        <v>129</v>
      </c>
      <c r="D4" s="2" t="s">
        <v>130</v>
      </c>
      <c r="E4" s="2" t="n">
        <v>49</v>
      </c>
      <c r="F4" s="2" t="n">
        <v>100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/>
      <c r="Z4" s="2"/>
      <c r="AA4" s="2" t="s">
        <v>131</v>
      </c>
    </row>
    <row r="5" customFormat="false" ht="15" hidden="false" customHeight="false" outlineLevel="0" collapsed="false">
      <c r="A5" s="2" t="s">
        <v>27</v>
      </c>
      <c r="B5" s="2" t="s">
        <v>43</v>
      </c>
      <c r="C5" s="2" t="s">
        <v>132</v>
      </c>
      <c r="D5" s="2" t="s">
        <v>133</v>
      </c>
      <c r="E5" s="2" t="n">
        <v>49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</v>
      </c>
      <c r="Y5" s="2" t="s">
        <v>134</v>
      </c>
      <c r="Z5" s="2"/>
      <c r="AA5" s="2"/>
    </row>
    <row r="6" customFormat="false" ht="15" hidden="false" customHeight="false" outlineLevel="0" collapsed="false">
      <c r="A6" s="2" t="s">
        <v>27</v>
      </c>
      <c r="B6" s="2" t="s">
        <v>43</v>
      </c>
      <c r="C6" s="2" t="s">
        <v>135</v>
      </c>
      <c r="D6" s="2" t="s">
        <v>136</v>
      </c>
      <c r="E6" s="2" t="n">
        <v>84</v>
      </c>
      <c r="F6" s="2" t="n">
        <v>100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/>
      <c r="Z6" s="2" t="s">
        <v>137</v>
      </c>
      <c r="AA6" s="2"/>
    </row>
    <row r="7" customFormat="false" ht="15" hidden="false" customHeight="false" outlineLevel="0" collapsed="false">
      <c r="A7" s="2" t="s">
        <v>27</v>
      </c>
      <c r="B7" s="2" t="s">
        <v>43</v>
      </c>
      <c r="C7" s="2" t="s">
        <v>138</v>
      </c>
      <c r="D7" s="2" t="s">
        <v>139</v>
      </c>
      <c r="E7" s="2" t="n">
        <v>63</v>
      </c>
      <c r="F7" s="2" t="n">
        <v>100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</v>
      </c>
      <c r="Y7" s="2"/>
      <c r="Z7" s="2"/>
      <c r="AA7" s="2"/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140</v>
      </c>
      <c r="D8" s="2" t="s">
        <v>141</v>
      </c>
      <c r="E8" s="2" t="n">
        <v>63</v>
      </c>
      <c r="F8" s="2" t="n">
        <v>100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</v>
      </c>
      <c r="Y8" s="2"/>
      <c r="Z8" s="2"/>
      <c r="AA8" s="2"/>
    </row>
    <row r="9" customFormat="false" ht="15" hidden="false" customHeight="false" outlineLevel="0" collapsed="false">
      <c r="A9" s="2" t="s">
        <v>27</v>
      </c>
      <c r="B9" s="2" t="s">
        <v>43</v>
      </c>
      <c r="C9" s="2" t="s">
        <v>142</v>
      </c>
      <c r="D9" s="2" t="s">
        <v>143</v>
      </c>
      <c r="E9" s="2" t="n">
        <v>63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</v>
      </c>
      <c r="Y9" s="2" t="s">
        <v>144</v>
      </c>
      <c r="Z9" s="2"/>
      <c r="AA9" s="2"/>
    </row>
    <row r="10" customFormat="false" ht="15" hidden="false" customHeight="false" outlineLevel="0" collapsed="false">
      <c r="A10" s="2" t="s">
        <v>27</v>
      </c>
      <c r="B10" s="2" t="s">
        <v>43</v>
      </c>
      <c r="C10" s="2" t="s">
        <v>145</v>
      </c>
      <c r="D10" s="2" t="s">
        <v>146</v>
      </c>
      <c r="E10" s="2" t="n">
        <v>49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1</v>
      </c>
      <c r="Y10" s="2" t="s">
        <v>147</v>
      </c>
      <c r="Z10" s="2"/>
      <c r="AA10" s="2"/>
    </row>
    <row r="11" customFormat="false" ht="15" hidden="false" customHeight="false" outlineLevel="0" collapsed="false">
      <c r="A11" s="2" t="s">
        <v>27</v>
      </c>
      <c r="B11" s="2" t="s">
        <v>43</v>
      </c>
      <c r="C11" s="2" t="s">
        <v>148</v>
      </c>
      <c r="D11" s="2" t="s">
        <v>149</v>
      </c>
      <c r="E11" s="2" t="n">
        <v>105</v>
      </c>
      <c r="F11" s="2" t="n">
        <v>0</v>
      </c>
      <c r="G11" s="2" t="n">
        <v>0</v>
      </c>
      <c r="H11" s="2" t="n">
        <v>5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/>
      <c r="Z11" s="2"/>
      <c r="AA11" s="2"/>
    </row>
    <row r="12" customFormat="false" ht="15" hidden="false" customHeight="false" outlineLevel="0" collapsed="false">
      <c r="A12" s="2" t="s">
        <v>27</v>
      </c>
      <c r="B12" s="2" t="s">
        <v>43</v>
      </c>
      <c r="C12" s="2" t="s">
        <v>150</v>
      </c>
      <c r="D12" s="2" t="s">
        <v>151</v>
      </c>
      <c r="E12" s="2" t="n">
        <v>84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2" t="s">
        <v>152</v>
      </c>
      <c r="Z12" s="2" t="s">
        <v>153</v>
      </c>
      <c r="AA12" s="2"/>
    </row>
    <row r="13" customFormat="false" ht="15" hidden="false" customHeight="false" outlineLevel="0" collapsed="false">
      <c r="A13" s="2" t="s">
        <v>27</v>
      </c>
      <c r="B13" s="2" t="s">
        <v>44</v>
      </c>
      <c r="C13" s="2" t="s">
        <v>131</v>
      </c>
      <c r="D13" s="2" t="s">
        <v>154</v>
      </c>
      <c r="E13" s="2" t="n">
        <v>35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1</v>
      </c>
      <c r="Y13" s="2" t="s">
        <v>155</v>
      </c>
      <c r="Z13" s="2"/>
      <c r="AA13" s="2" t="s">
        <v>129</v>
      </c>
    </row>
    <row r="14" customFormat="false" ht="15" hidden="false" customHeight="false" outlineLevel="0" collapsed="false">
      <c r="A14" s="2" t="s">
        <v>27</v>
      </c>
      <c r="B14" s="2" t="s">
        <v>44</v>
      </c>
      <c r="C14" s="2" t="s">
        <v>156</v>
      </c>
      <c r="D14" s="2" t="s">
        <v>157</v>
      </c>
      <c r="E14" s="2" t="n">
        <v>21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</v>
      </c>
      <c r="Y14" s="2" t="s">
        <v>158</v>
      </c>
      <c r="Z14" s="2"/>
      <c r="AA14" s="2"/>
    </row>
    <row r="15" customFormat="false" ht="15" hidden="false" customHeight="false" outlineLevel="0" collapsed="false">
      <c r="A15" s="2" t="s">
        <v>27</v>
      </c>
      <c r="B15" s="2" t="s">
        <v>44</v>
      </c>
      <c r="C15" s="2" t="s">
        <v>159</v>
      </c>
      <c r="D15" s="2" t="s">
        <v>160</v>
      </c>
      <c r="E15" s="2" t="n">
        <v>49</v>
      </c>
      <c r="F15" s="2" t="n">
        <v>0</v>
      </c>
      <c r="G15" s="2" t="n">
        <v>0</v>
      </c>
      <c r="H15" s="2" t="n">
        <v>0</v>
      </c>
      <c r="I15" s="2" t="n">
        <v>30000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1</v>
      </c>
      <c r="Y15" s="2" t="s">
        <v>161</v>
      </c>
      <c r="Z15" s="2" t="s">
        <v>153</v>
      </c>
      <c r="AA15" s="2"/>
    </row>
    <row r="16" customFormat="false" ht="15" hidden="false" customHeight="false" outlineLevel="0" collapsed="false">
      <c r="A16" s="2" t="s">
        <v>27</v>
      </c>
      <c r="B16" s="2" t="s">
        <v>44</v>
      </c>
      <c r="C16" s="2" t="s">
        <v>162</v>
      </c>
      <c r="D16" s="2" t="s">
        <v>163</v>
      </c>
      <c r="E16" s="2" t="n">
        <v>63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1</v>
      </c>
      <c r="Y16" s="2" t="s">
        <v>164</v>
      </c>
      <c r="Z16" s="2"/>
      <c r="AA16" s="2"/>
    </row>
    <row r="17" customFormat="false" ht="15" hidden="false" customHeight="false" outlineLevel="0" collapsed="false">
      <c r="A17" s="2" t="s">
        <v>27</v>
      </c>
      <c r="B17" s="2" t="s">
        <v>44</v>
      </c>
      <c r="C17" s="2" t="s">
        <v>165</v>
      </c>
      <c r="D17" s="2" t="s">
        <v>166</v>
      </c>
      <c r="E17" s="2" t="n">
        <v>49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1</v>
      </c>
      <c r="Y17" s="2" t="s">
        <v>167</v>
      </c>
      <c r="Z17" s="2"/>
      <c r="AA17" s="2"/>
    </row>
    <row r="18" customFormat="false" ht="15" hidden="false" customHeight="false" outlineLevel="0" collapsed="false">
      <c r="A18" s="2" t="s">
        <v>27</v>
      </c>
      <c r="B18" s="2" t="s">
        <v>44</v>
      </c>
      <c r="C18" s="2" t="s">
        <v>168</v>
      </c>
      <c r="D18" s="2" t="s">
        <v>169</v>
      </c>
      <c r="E18" s="2" t="n">
        <v>84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3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/>
      <c r="Z18" s="2" t="s">
        <v>137</v>
      </c>
      <c r="AA18" s="2"/>
    </row>
    <row r="19" customFormat="false" ht="15" hidden="false" customHeight="false" outlineLevel="0" collapsed="false">
      <c r="A19" s="2" t="s">
        <v>27</v>
      </c>
      <c r="B19" s="2" t="s">
        <v>44</v>
      </c>
      <c r="C19" s="2" t="s">
        <v>170</v>
      </c>
      <c r="D19" s="2" t="s">
        <v>171</v>
      </c>
      <c r="E19" s="2" t="n">
        <v>49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1</v>
      </c>
      <c r="Y19" s="2" t="s">
        <v>172</v>
      </c>
      <c r="Z19" s="2"/>
      <c r="AA19" s="2"/>
    </row>
    <row r="20" customFormat="false" ht="15" hidden="false" customHeight="false" outlineLevel="0" collapsed="false">
      <c r="A20" s="2" t="s">
        <v>27</v>
      </c>
      <c r="B20" s="2" t="s">
        <v>44</v>
      </c>
      <c r="C20" s="2" t="s">
        <v>173</v>
      </c>
      <c r="D20" s="2" t="s">
        <v>174</v>
      </c>
      <c r="E20" s="2" t="n">
        <v>105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2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1</v>
      </c>
      <c r="X20" s="2" t="n">
        <v>1</v>
      </c>
      <c r="Y20" s="2" t="s">
        <v>175</v>
      </c>
      <c r="Z20" s="2"/>
      <c r="AA20" s="2"/>
    </row>
    <row r="21" customFormat="false" ht="15" hidden="false" customHeight="false" outlineLevel="0" collapsed="false">
      <c r="A21" s="2" t="s">
        <v>27</v>
      </c>
      <c r="B21" s="2" t="s">
        <v>44</v>
      </c>
      <c r="C21" s="2" t="s">
        <v>176</v>
      </c>
      <c r="D21" s="2" t="s">
        <v>177</v>
      </c>
      <c r="E21" s="2" t="n">
        <v>84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</v>
      </c>
      <c r="Y21" s="2" t="s">
        <v>178</v>
      </c>
      <c r="Z21" s="2"/>
      <c r="AA21" s="2"/>
    </row>
    <row r="22" customFormat="false" ht="15" hidden="false" customHeight="false" outlineLevel="0" collapsed="false">
      <c r="A22" s="2" t="s">
        <v>27</v>
      </c>
      <c r="B22" s="2" t="s">
        <v>45</v>
      </c>
      <c r="C22" s="2" t="s">
        <v>179</v>
      </c>
      <c r="D22" s="2" t="s">
        <v>180</v>
      </c>
      <c r="E22" s="2" t="n">
        <v>70</v>
      </c>
      <c r="F22" s="2" t="n">
        <v>120</v>
      </c>
      <c r="G22" s="2" t="n">
        <v>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/>
      <c r="Z22" s="2"/>
      <c r="AA22" s="2"/>
    </row>
    <row r="23" customFormat="false" ht="15" hidden="false" customHeight="false" outlineLevel="0" collapsed="false">
      <c r="A23" s="2" t="s">
        <v>27</v>
      </c>
      <c r="B23" s="2" t="s">
        <v>45</v>
      </c>
      <c r="C23" s="2" t="s">
        <v>181</v>
      </c>
      <c r="D23" s="2" t="s">
        <v>182</v>
      </c>
      <c r="E23" s="2" t="n">
        <v>70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s">
        <v>183</v>
      </c>
      <c r="Z23" s="2"/>
      <c r="AA23" s="2"/>
    </row>
    <row r="24" customFormat="false" ht="15" hidden="false" customHeight="false" outlineLevel="0" collapsed="false">
      <c r="A24" s="2" t="s">
        <v>27</v>
      </c>
      <c r="B24" s="2" t="s">
        <v>45</v>
      </c>
      <c r="C24" s="2" t="s">
        <v>184</v>
      </c>
      <c r="D24" s="2" t="s">
        <v>185</v>
      </c>
      <c r="E24" s="2" t="n">
        <v>70</v>
      </c>
      <c r="F24" s="2" t="n">
        <v>0</v>
      </c>
      <c r="G24" s="2" t="n">
        <v>0</v>
      </c>
      <c r="H24" s="2" t="n">
        <v>5</v>
      </c>
      <c r="I24" s="2" t="n">
        <v>0</v>
      </c>
      <c r="J24" s="2" t="n">
        <v>25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/>
      <c r="Z24" s="2"/>
      <c r="AA24" s="2"/>
    </row>
    <row r="25" customFormat="false" ht="15" hidden="false" customHeight="false" outlineLevel="0" collapsed="false">
      <c r="A25" s="2" t="s">
        <v>27</v>
      </c>
      <c r="B25" s="2" t="s">
        <v>45</v>
      </c>
      <c r="C25" s="2" t="s">
        <v>186</v>
      </c>
      <c r="D25" s="2" t="s">
        <v>187</v>
      </c>
      <c r="E25" s="2" t="n">
        <v>105</v>
      </c>
      <c r="F25" s="2" t="n">
        <v>50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8</v>
      </c>
      <c r="X25" s="2" t="n">
        <v>0</v>
      </c>
      <c r="Y25" s="2"/>
      <c r="Z25" s="2"/>
      <c r="AA25" s="2"/>
    </row>
    <row r="26" customFormat="false" ht="15" hidden="false" customHeight="false" outlineLevel="0" collapsed="false">
      <c r="A26" s="2" t="s">
        <v>27</v>
      </c>
      <c r="B26" s="2" t="s">
        <v>46</v>
      </c>
      <c r="C26" s="2" t="s">
        <v>188</v>
      </c>
      <c r="D26" s="2" t="s">
        <v>189</v>
      </c>
      <c r="E26" s="2" t="n">
        <v>49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2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s">
        <v>190</v>
      </c>
      <c r="Z26" s="2"/>
      <c r="AA26" s="2"/>
    </row>
    <row r="27" customFormat="false" ht="15" hidden="false" customHeight="false" outlineLevel="0" collapsed="false">
      <c r="A27" s="2" t="s">
        <v>27</v>
      </c>
      <c r="B27" s="2" t="s">
        <v>46</v>
      </c>
      <c r="C27" s="2" t="s">
        <v>191</v>
      </c>
      <c r="D27" s="2" t="s">
        <v>192</v>
      </c>
      <c r="E27" s="2" t="n">
        <v>63</v>
      </c>
      <c r="F27" s="2" t="n">
        <v>150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1</v>
      </c>
      <c r="Y27" s="2" t="s">
        <v>193</v>
      </c>
      <c r="Z27" s="2" t="s">
        <v>194</v>
      </c>
      <c r="AA27" s="2" t="s">
        <v>195</v>
      </c>
    </row>
    <row r="28" customFormat="false" ht="15" hidden="false" customHeight="false" outlineLevel="0" collapsed="false">
      <c r="A28" s="2" t="s">
        <v>27</v>
      </c>
      <c r="B28" s="2" t="s">
        <v>46</v>
      </c>
      <c r="C28" s="2" t="s">
        <v>196</v>
      </c>
      <c r="D28" s="2" t="s">
        <v>197</v>
      </c>
      <c r="E28" s="2" t="n">
        <v>49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2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/>
      <c r="Z28" s="2" t="s">
        <v>137</v>
      </c>
      <c r="AA28" s="2"/>
    </row>
    <row r="29" customFormat="false" ht="15" hidden="false" customHeight="false" outlineLevel="0" collapsed="false">
      <c r="A29" s="2" t="s">
        <v>27</v>
      </c>
      <c r="B29" s="2" t="s">
        <v>46</v>
      </c>
      <c r="C29" s="2" t="s">
        <v>198</v>
      </c>
      <c r="D29" s="2" t="s">
        <v>199</v>
      </c>
      <c r="E29" s="2" t="n">
        <v>49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2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/>
      <c r="Z29" s="2"/>
      <c r="AA29" s="2"/>
    </row>
    <row r="30" customFormat="false" ht="15" hidden="false" customHeight="false" outlineLevel="0" collapsed="false">
      <c r="A30" s="2" t="s">
        <v>27</v>
      </c>
      <c r="B30" s="2" t="s">
        <v>46</v>
      </c>
      <c r="C30" s="2" t="s">
        <v>200</v>
      </c>
      <c r="D30" s="2" t="s">
        <v>201</v>
      </c>
      <c r="E30" s="2" t="n">
        <v>63</v>
      </c>
      <c r="F30" s="2" t="n">
        <v>100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/>
      <c r="Z30" s="2" t="s">
        <v>137</v>
      </c>
      <c r="AA30" s="2"/>
    </row>
    <row r="31" customFormat="false" ht="15" hidden="false" customHeight="false" outlineLevel="0" collapsed="false">
      <c r="A31" s="2" t="s">
        <v>27</v>
      </c>
      <c r="B31" s="2" t="s">
        <v>46</v>
      </c>
      <c r="C31" s="2" t="s">
        <v>202</v>
      </c>
      <c r="D31" s="2" t="s">
        <v>203</v>
      </c>
      <c r="E31" s="2" t="n">
        <v>84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s">
        <v>204</v>
      </c>
      <c r="Z31" s="2"/>
      <c r="AA31" s="2"/>
    </row>
    <row r="32" customFormat="false" ht="15" hidden="false" customHeight="false" outlineLevel="0" collapsed="false">
      <c r="A32" s="2" t="s">
        <v>27</v>
      </c>
      <c r="B32" s="2" t="s">
        <v>46</v>
      </c>
      <c r="C32" s="2" t="s">
        <v>205</v>
      </c>
      <c r="D32" s="2" t="s">
        <v>206</v>
      </c>
      <c r="E32" s="2" t="n">
        <v>77</v>
      </c>
      <c r="F32" s="2" t="n">
        <v>0</v>
      </c>
      <c r="G32" s="2" t="n">
        <v>-5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2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/>
      <c r="Z32" s="2" t="s">
        <v>137</v>
      </c>
      <c r="AA32" s="2"/>
    </row>
    <row r="33" customFormat="false" ht="15" hidden="false" customHeight="false" outlineLevel="0" collapsed="false">
      <c r="A33" s="2" t="s">
        <v>27</v>
      </c>
      <c r="B33" s="2" t="s">
        <v>46</v>
      </c>
      <c r="C33" s="2" t="s">
        <v>207</v>
      </c>
      <c r="D33" s="2" t="s">
        <v>208</v>
      </c>
      <c r="E33" s="2" t="n">
        <v>98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1</v>
      </c>
      <c r="Y33" s="2" t="s">
        <v>209</v>
      </c>
      <c r="Z33" s="2"/>
      <c r="AA33" s="2"/>
    </row>
    <row r="34" customFormat="false" ht="15" hidden="false" customHeight="false" outlineLevel="0" collapsed="false">
      <c r="A34" s="2" t="s">
        <v>27</v>
      </c>
      <c r="B34" s="2" t="s">
        <v>47</v>
      </c>
      <c r="C34" s="2" t="s">
        <v>195</v>
      </c>
      <c r="D34" s="2" t="s">
        <v>210</v>
      </c>
      <c r="E34" s="2" t="n">
        <v>63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s">
        <v>211</v>
      </c>
      <c r="Z34" s="2"/>
      <c r="AA34" s="2" t="s">
        <v>191</v>
      </c>
    </row>
    <row r="35" customFormat="false" ht="15" hidden="false" customHeight="false" outlineLevel="0" collapsed="false">
      <c r="A35" s="2" t="s">
        <v>27</v>
      </c>
      <c r="B35" s="2" t="s">
        <v>47</v>
      </c>
      <c r="C35" s="2" t="s">
        <v>212</v>
      </c>
      <c r="D35" s="2" t="s">
        <v>213</v>
      </c>
      <c r="E35" s="2" t="n">
        <v>49</v>
      </c>
      <c r="F35" s="2" t="n">
        <v>100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/>
      <c r="Z35" s="2"/>
      <c r="AA35" s="2"/>
    </row>
    <row r="36" customFormat="false" ht="15" hidden="false" customHeight="false" outlineLevel="0" collapsed="false">
      <c r="A36" s="2" t="s">
        <v>27</v>
      </c>
      <c r="B36" s="2" t="s">
        <v>47</v>
      </c>
      <c r="C36" s="2" t="s">
        <v>214</v>
      </c>
      <c r="D36" s="2" t="s">
        <v>215</v>
      </c>
      <c r="E36" s="2" t="n">
        <v>49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2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/>
      <c r="Z36" s="2"/>
      <c r="AA36" s="2"/>
    </row>
    <row r="37" customFormat="false" ht="15" hidden="false" customHeight="false" outlineLevel="0" collapsed="false">
      <c r="A37" s="2" t="s">
        <v>27</v>
      </c>
      <c r="B37" s="2" t="s">
        <v>47</v>
      </c>
      <c r="C37" s="2" t="s">
        <v>216</v>
      </c>
      <c r="D37" s="2" t="s">
        <v>217</v>
      </c>
      <c r="E37" s="2" t="n">
        <v>63</v>
      </c>
      <c r="F37" s="2" t="n">
        <v>50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2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/>
      <c r="Z37" s="2"/>
      <c r="AA37" s="2"/>
    </row>
    <row r="38" customFormat="false" ht="15" hidden="false" customHeight="false" outlineLevel="0" collapsed="false">
      <c r="A38" s="2" t="s">
        <v>27</v>
      </c>
      <c r="B38" s="2" t="s">
        <v>47</v>
      </c>
      <c r="C38" s="2" t="s">
        <v>218</v>
      </c>
      <c r="D38" s="2" t="s">
        <v>219</v>
      </c>
      <c r="E38" s="2" t="n">
        <v>84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1</v>
      </c>
      <c r="Y38" s="2" t="s">
        <v>220</v>
      </c>
      <c r="Z38" s="2"/>
      <c r="AA38" s="2"/>
    </row>
    <row r="39" customFormat="false" ht="15" hidden="false" customHeight="false" outlineLevel="0" collapsed="false">
      <c r="A39" s="2" t="s">
        <v>27</v>
      </c>
      <c r="B39" s="2" t="s">
        <v>47</v>
      </c>
      <c r="C39" s="2" t="s">
        <v>221</v>
      </c>
      <c r="D39" s="2" t="s">
        <v>222</v>
      </c>
      <c r="E39" s="2" t="n">
        <v>77</v>
      </c>
      <c r="F39" s="2" t="n">
        <v>50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2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/>
      <c r="Z39" s="2"/>
      <c r="AA39" s="2"/>
    </row>
    <row r="40" customFormat="false" ht="15" hidden="false" customHeight="false" outlineLevel="0" collapsed="false">
      <c r="A40" s="2" t="s">
        <v>27</v>
      </c>
      <c r="B40" s="2" t="s">
        <v>47</v>
      </c>
      <c r="C40" s="2" t="s">
        <v>223</v>
      </c>
      <c r="D40" s="2" t="s">
        <v>224</v>
      </c>
      <c r="E40" s="2" t="n">
        <v>98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1</v>
      </c>
      <c r="Y40" s="2" t="s">
        <v>225</v>
      </c>
      <c r="Z40" s="2" t="s">
        <v>226</v>
      </c>
      <c r="AA40" s="2"/>
    </row>
    <row r="41" customFormat="false" ht="15" hidden="false" customHeight="false" outlineLevel="0" collapsed="false">
      <c r="A41" s="2" t="s">
        <v>27</v>
      </c>
      <c r="B41" s="2" t="s">
        <v>48</v>
      </c>
      <c r="C41" s="2" t="s">
        <v>227</v>
      </c>
      <c r="D41" s="2" t="s">
        <v>228</v>
      </c>
      <c r="E41" s="2" t="n">
        <v>49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2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/>
      <c r="Z41" s="2" t="s">
        <v>137</v>
      </c>
      <c r="AA41" s="2"/>
    </row>
    <row r="42" customFormat="false" ht="15" hidden="false" customHeight="false" outlineLevel="0" collapsed="false">
      <c r="A42" s="2" t="s">
        <v>27</v>
      </c>
      <c r="B42" s="2" t="s">
        <v>48</v>
      </c>
      <c r="C42" s="2" t="s">
        <v>229</v>
      </c>
      <c r="D42" s="2" t="s">
        <v>230</v>
      </c>
      <c r="E42" s="2" t="n">
        <v>49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2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/>
      <c r="Z42" s="2"/>
      <c r="AA42" s="2"/>
    </row>
    <row r="43" customFormat="false" ht="15" hidden="false" customHeight="false" outlineLevel="0" collapsed="false">
      <c r="A43" s="2" t="s">
        <v>27</v>
      </c>
      <c r="B43" s="2" t="s">
        <v>48</v>
      </c>
      <c r="C43" s="2" t="s">
        <v>231</v>
      </c>
      <c r="D43" s="2" t="s">
        <v>232</v>
      </c>
      <c r="E43" s="2" t="n">
        <v>63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2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/>
      <c r="Z43" s="2"/>
      <c r="AA43" s="2"/>
    </row>
    <row r="44" customFormat="false" ht="15" hidden="false" customHeight="false" outlineLevel="0" collapsed="false">
      <c r="A44" s="2" t="s">
        <v>27</v>
      </c>
      <c r="B44" s="2" t="s">
        <v>48</v>
      </c>
      <c r="C44" s="2" t="s">
        <v>233</v>
      </c>
      <c r="D44" s="2" t="s">
        <v>234</v>
      </c>
      <c r="E44" s="2" t="n">
        <v>49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1</v>
      </c>
      <c r="Y44" s="2" t="s">
        <v>235</v>
      </c>
      <c r="Z44" s="2"/>
      <c r="AA44" s="2"/>
    </row>
    <row r="45" customFormat="false" ht="15" hidden="false" customHeight="false" outlineLevel="0" collapsed="false">
      <c r="A45" s="2" t="s">
        <v>27</v>
      </c>
      <c r="B45" s="2" t="s">
        <v>48</v>
      </c>
      <c r="C45" s="2" t="s">
        <v>236</v>
      </c>
      <c r="D45" s="2" t="s">
        <v>237</v>
      </c>
      <c r="E45" s="2" t="n">
        <v>49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2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/>
      <c r="Z45" s="2"/>
      <c r="AA45" s="2"/>
    </row>
    <row r="46" customFormat="false" ht="15" hidden="false" customHeight="false" outlineLevel="0" collapsed="false">
      <c r="A46" s="2" t="s">
        <v>27</v>
      </c>
      <c r="B46" s="2" t="s">
        <v>48</v>
      </c>
      <c r="C46" s="2" t="s">
        <v>238</v>
      </c>
      <c r="D46" s="2" t="s">
        <v>239</v>
      </c>
      <c r="E46" s="2" t="n">
        <v>105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/>
      <c r="Z46" s="2"/>
      <c r="AA46" s="2"/>
    </row>
    <row r="47" customFormat="false" ht="15" hidden="false" customHeight="false" outlineLevel="0" collapsed="false">
      <c r="A47" s="2" t="s">
        <v>27</v>
      </c>
      <c r="B47" s="2" t="s">
        <v>49</v>
      </c>
      <c r="C47" s="2" t="s">
        <v>240</v>
      </c>
      <c r="D47" s="2" t="s">
        <v>241</v>
      </c>
      <c r="E47" s="2" t="n">
        <v>49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1</v>
      </c>
      <c r="Y47" s="2" t="s">
        <v>242</v>
      </c>
      <c r="Z47" s="2"/>
      <c r="AA47" s="2"/>
    </row>
    <row r="48" customFormat="false" ht="15" hidden="false" customHeight="false" outlineLevel="0" collapsed="false">
      <c r="A48" s="2" t="s">
        <v>27</v>
      </c>
      <c r="B48" s="2" t="s">
        <v>49</v>
      </c>
      <c r="C48" s="2" t="s">
        <v>243</v>
      </c>
      <c r="D48" s="2" t="s">
        <v>244</v>
      </c>
      <c r="E48" s="2" t="n">
        <v>49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/>
      <c r="Z48" s="2"/>
      <c r="AA48" s="2"/>
    </row>
    <row r="49" customFormat="false" ht="15" hidden="false" customHeight="false" outlineLevel="0" collapsed="false">
      <c r="A49" s="2" t="s">
        <v>27</v>
      </c>
      <c r="B49" s="2" t="s">
        <v>49</v>
      </c>
      <c r="C49" s="2" t="s">
        <v>245</v>
      </c>
      <c r="D49" s="2" t="s">
        <v>246</v>
      </c>
      <c r="E49" s="2" t="n">
        <v>63</v>
      </c>
      <c r="F49" s="2" t="n">
        <v>0</v>
      </c>
      <c r="G49" s="2" t="n">
        <v>0</v>
      </c>
      <c r="H49" s="2" t="n">
        <v>0</v>
      </c>
      <c r="I49" s="2" t="n">
        <v>50000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/>
      <c r="Z49" s="2"/>
      <c r="AA49" s="2"/>
    </row>
    <row r="50" customFormat="false" ht="15" hidden="false" customHeight="false" outlineLevel="0" collapsed="false">
      <c r="A50" s="2" t="s">
        <v>27</v>
      </c>
      <c r="B50" s="2" t="s">
        <v>49</v>
      </c>
      <c r="C50" s="2" t="s">
        <v>247</v>
      </c>
      <c r="D50" s="2" t="s">
        <v>248</v>
      </c>
      <c r="E50" s="2" t="n">
        <v>49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1</v>
      </c>
      <c r="Y50" s="2" t="s">
        <v>249</v>
      </c>
      <c r="Z50" s="2"/>
      <c r="AA50" s="2"/>
    </row>
    <row r="51" customFormat="false" ht="15" hidden="false" customHeight="false" outlineLevel="0" collapsed="false">
      <c r="A51" s="2" t="s">
        <v>27</v>
      </c>
      <c r="B51" s="2" t="s">
        <v>49</v>
      </c>
      <c r="C51" s="2" t="s">
        <v>250</v>
      </c>
      <c r="D51" s="2" t="s">
        <v>251</v>
      </c>
      <c r="E51" s="2" t="n">
        <v>49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75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/>
      <c r="Z51" s="2"/>
      <c r="AA51" s="2"/>
    </row>
    <row r="52" customFormat="false" ht="15" hidden="false" customHeight="false" outlineLevel="0" collapsed="false">
      <c r="A52" s="2" t="s">
        <v>27</v>
      </c>
      <c r="B52" s="2" t="s">
        <v>49</v>
      </c>
      <c r="C52" s="2" t="s">
        <v>252</v>
      </c>
      <c r="D52" s="2" t="s">
        <v>253</v>
      </c>
      <c r="E52" s="2" t="n">
        <v>84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2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1</v>
      </c>
      <c r="Y52" s="2" t="s">
        <v>254</v>
      </c>
      <c r="Z52" s="2" t="s">
        <v>255</v>
      </c>
      <c r="AA52" s="2"/>
    </row>
    <row r="53" customFormat="false" ht="15" hidden="false" customHeight="false" outlineLevel="0" collapsed="false">
      <c r="A53" s="2" t="s">
        <v>27</v>
      </c>
      <c r="B53" s="2" t="s">
        <v>50</v>
      </c>
      <c r="C53" s="2" t="s">
        <v>256</v>
      </c>
      <c r="D53" s="2" t="s">
        <v>257</v>
      </c>
      <c r="E53" s="2" t="n">
        <v>49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50</v>
      </c>
      <c r="W53" s="2" t="n">
        <v>0</v>
      </c>
      <c r="X53" s="2" t="n">
        <v>0</v>
      </c>
      <c r="Y53" s="2"/>
      <c r="Z53" s="2"/>
      <c r="AA53" s="2"/>
    </row>
    <row r="54" customFormat="false" ht="15" hidden="false" customHeight="false" outlineLevel="0" collapsed="false">
      <c r="A54" s="2" t="s">
        <v>27</v>
      </c>
      <c r="B54" s="2" t="s">
        <v>50</v>
      </c>
      <c r="C54" s="2" t="s">
        <v>258</v>
      </c>
      <c r="D54" s="2" t="s">
        <v>259</v>
      </c>
      <c r="E54" s="2" t="n">
        <v>49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25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2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/>
      <c r="Z54" s="2"/>
      <c r="AA54" s="2"/>
    </row>
    <row r="55" customFormat="false" ht="15" hidden="false" customHeight="false" outlineLevel="0" collapsed="false">
      <c r="A55" s="2" t="s">
        <v>27</v>
      </c>
      <c r="B55" s="2" t="s">
        <v>50</v>
      </c>
      <c r="C55" s="2" t="s">
        <v>260</v>
      </c>
      <c r="D55" s="2" t="s">
        <v>261</v>
      </c>
      <c r="E55" s="2" t="n">
        <v>63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2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100</v>
      </c>
      <c r="W55" s="2" t="n">
        <v>0</v>
      </c>
      <c r="X55" s="2" t="n">
        <v>0</v>
      </c>
      <c r="Y55" s="2"/>
      <c r="Z55" s="2" t="s">
        <v>262</v>
      </c>
      <c r="AA55" s="2"/>
    </row>
    <row r="56" customFormat="false" ht="15" hidden="false" customHeight="false" outlineLevel="0" collapsed="false">
      <c r="A56" s="2" t="s">
        <v>27</v>
      </c>
      <c r="B56" s="2" t="s">
        <v>50</v>
      </c>
      <c r="C56" s="2" t="s">
        <v>263</v>
      </c>
      <c r="D56" s="2" t="s">
        <v>264</v>
      </c>
      <c r="E56" s="2" t="n">
        <v>49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/>
      <c r="Z56" s="2"/>
      <c r="AA56" s="2"/>
    </row>
    <row r="57" customFormat="false" ht="15" hidden="false" customHeight="false" outlineLevel="0" collapsed="false">
      <c r="A57" s="2" t="s">
        <v>27</v>
      </c>
      <c r="B57" s="2" t="s">
        <v>50</v>
      </c>
      <c r="C57" s="2" t="s">
        <v>265</v>
      </c>
      <c r="D57" s="2" t="s">
        <v>266</v>
      </c>
      <c r="E57" s="2" t="n">
        <v>49</v>
      </c>
      <c r="F57" s="2" t="n">
        <v>0</v>
      </c>
      <c r="G57" s="2" t="n">
        <v>0</v>
      </c>
      <c r="H57" s="2" t="n">
        <v>5</v>
      </c>
      <c r="I57" s="2" t="n">
        <v>0</v>
      </c>
      <c r="J57" s="2" t="n">
        <v>0</v>
      </c>
      <c r="K57" s="2" t="n">
        <v>0</v>
      </c>
      <c r="L57" s="2" t="n">
        <v>50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/>
      <c r="Z57" s="2"/>
      <c r="AA57" s="2"/>
    </row>
    <row r="58" customFormat="false" ht="15" hidden="false" customHeight="false" outlineLevel="0" collapsed="false">
      <c r="A58" s="2" t="s">
        <v>27</v>
      </c>
      <c r="B58" s="2" t="s">
        <v>50</v>
      </c>
      <c r="C58" s="2" t="s">
        <v>267</v>
      </c>
      <c r="D58" s="2" t="s">
        <v>268</v>
      </c>
      <c r="E58" s="2" t="n">
        <v>84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0</v>
      </c>
      <c r="P58" s="2" t="n">
        <v>0</v>
      </c>
      <c r="Q58" s="2" t="n">
        <v>2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/>
      <c r="Z58" s="2"/>
      <c r="AA58" s="2"/>
    </row>
    <row r="59" customFormat="false" ht="15" hidden="false" customHeight="false" outlineLevel="0" collapsed="false">
      <c r="A59" s="2" t="s">
        <v>27</v>
      </c>
      <c r="B59" s="2" t="s">
        <v>51</v>
      </c>
      <c r="C59" s="2" t="s">
        <v>269</v>
      </c>
      <c r="D59" s="2" t="s">
        <v>270</v>
      </c>
      <c r="E59" s="2" t="n">
        <v>35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/>
      <c r="Z59" s="2" t="s">
        <v>194</v>
      </c>
      <c r="AA59" s="2"/>
    </row>
    <row r="60" customFormat="false" ht="15" hidden="false" customHeight="false" outlineLevel="0" collapsed="false">
      <c r="A60" s="2" t="s">
        <v>27</v>
      </c>
      <c r="B60" s="2" t="s">
        <v>51</v>
      </c>
      <c r="C60" s="2" t="s">
        <v>271</v>
      </c>
      <c r="D60" s="2" t="s">
        <v>272</v>
      </c>
      <c r="E60" s="2" t="n">
        <v>63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1</v>
      </c>
      <c r="Y60" s="2" t="s">
        <v>273</v>
      </c>
      <c r="Z60" s="2"/>
      <c r="AA60" s="2"/>
    </row>
    <row r="61" customFormat="false" ht="15" hidden="false" customHeight="false" outlineLevel="0" collapsed="false">
      <c r="A61" s="2" t="s">
        <v>27</v>
      </c>
      <c r="B61" s="2" t="s">
        <v>51</v>
      </c>
      <c r="C61" s="2" t="s">
        <v>274</v>
      </c>
      <c r="D61" s="2" t="s">
        <v>275</v>
      </c>
      <c r="E61" s="2" t="n">
        <v>49</v>
      </c>
      <c r="F61" s="2" t="n">
        <v>50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/>
      <c r="Z61" s="2" t="s">
        <v>137</v>
      </c>
      <c r="AA61" s="2"/>
    </row>
    <row r="62" customFormat="false" ht="15" hidden="false" customHeight="false" outlineLevel="0" collapsed="false">
      <c r="A62" s="2" t="s">
        <v>27</v>
      </c>
      <c r="B62" s="2" t="s">
        <v>51</v>
      </c>
      <c r="C62" s="2" t="s">
        <v>276</v>
      </c>
      <c r="D62" s="2" t="s">
        <v>277</v>
      </c>
      <c r="E62" s="2" t="n">
        <v>63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1</v>
      </c>
      <c r="Y62" s="2" t="s">
        <v>278</v>
      </c>
      <c r="Z62" s="2"/>
      <c r="AA62" s="2"/>
    </row>
    <row r="63" customFormat="false" ht="15" hidden="false" customHeight="false" outlineLevel="0" collapsed="false">
      <c r="A63" s="2" t="s">
        <v>27</v>
      </c>
      <c r="B63" s="2" t="s">
        <v>51</v>
      </c>
      <c r="C63" s="2" t="s">
        <v>279</v>
      </c>
      <c r="D63" s="2" t="s">
        <v>280</v>
      </c>
      <c r="E63" s="2" t="n">
        <v>49</v>
      </c>
      <c r="F63" s="2" t="n">
        <v>100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/>
      <c r="Z63" s="2"/>
      <c r="AA63" s="2"/>
    </row>
    <row r="64" customFormat="false" ht="15" hidden="false" customHeight="false" outlineLevel="0" collapsed="false">
      <c r="A64" s="2" t="s">
        <v>27</v>
      </c>
      <c r="B64" s="2" t="s">
        <v>51</v>
      </c>
      <c r="C64" s="2" t="s">
        <v>281</v>
      </c>
      <c r="D64" s="2" t="s">
        <v>282</v>
      </c>
      <c r="E64" s="2" t="n">
        <v>84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1</v>
      </c>
      <c r="Y64" s="2" t="s">
        <v>283</v>
      </c>
      <c r="Z64" s="2"/>
      <c r="AA64" s="2"/>
    </row>
    <row r="65" customFormat="false" ht="15" hidden="false" customHeight="false" outlineLevel="0" collapsed="false">
      <c r="A65" s="2" t="s">
        <v>27</v>
      </c>
      <c r="B65" s="2" t="s">
        <v>51</v>
      </c>
      <c r="C65" s="2" t="s">
        <v>284</v>
      </c>
      <c r="D65" s="2" t="s">
        <v>285</v>
      </c>
      <c r="E65" s="2" t="n">
        <v>105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1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/>
      <c r="Z65" s="2" t="s">
        <v>286</v>
      </c>
      <c r="AA65" s="2"/>
    </row>
    <row r="66" customFormat="false" ht="15" hidden="false" customHeight="false" outlineLevel="0" collapsed="false">
      <c r="A66" s="2" t="s">
        <v>27</v>
      </c>
      <c r="B66" s="2" t="s">
        <v>52</v>
      </c>
      <c r="C66" s="2" t="s">
        <v>287</v>
      </c>
      <c r="D66" s="2" t="s">
        <v>288</v>
      </c>
      <c r="E66" s="2" t="n">
        <v>49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1</v>
      </c>
      <c r="Y66" s="2" t="s">
        <v>289</v>
      </c>
      <c r="Z66" s="2" t="s">
        <v>290</v>
      </c>
      <c r="AA66" s="2"/>
    </row>
    <row r="67" customFormat="false" ht="15" hidden="false" customHeight="false" outlineLevel="0" collapsed="false">
      <c r="A67" s="2" t="s">
        <v>27</v>
      </c>
      <c r="B67" s="2" t="s">
        <v>52</v>
      </c>
      <c r="C67" s="2" t="s">
        <v>291</v>
      </c>
      <c r="D67" s="2" t="s">
        <v>292</v>
      </c>
      <c r="E67" s="2" t="n">
        <v>49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/>
      <c r="Z67" s="2" t="s">
        <v>226</v>
      </c>
      <c r="AA67" s="2"/>
    </row>
    <row r="68" customFormat="false" ht="15" hidden="false" customHeight="false" outlineLevel="0" collapsed="false">
      <c r="A68" s="2" t="s">
        <v>27</v>
      </c>
      <c r="B68" s="2" t="s">
        <v>52</v>
      </c>
      <c r="C68" s="2" t="s">
        <v>293</v>
      </c>
      <c r="D68" s="2" t="s">
        <v>294</v>
      </c>
      <c r="E68" s="2" t="n">
        <v>63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2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/>
      <c r="Z68" s="2" t="s">
        <v>226</v>
      </c>
      <c r="AA68" s="2"/>
    </row>
    <row r="69" customFormat="false" ht="15" hidden="false" customHeight="false" outlineLevel="0" collapsed="false">
      <c r="A69" s="2" t="s">
        <v>27</v>
      </c>
      <c r="B69" s="2" t="s">
        <v>52</v>
      </c>
      <c r="C69" s="2" t="s">
        <v>295</v>
      </c>
      <c r="D69" s="2" t="s">
        <v>296</v>
      </c>
      <c r="E69" s="2" t="n">
        <v>84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1</v>
      </c>
      <c r="Y69" s="2" t="s">
        <v>297</v>
      </c>
      <c r="Z69" s="2"/>
      <c r="AA69" s="2"/>
    </row>
    <row r="70" customFormat="false" ht="15" hidden="false" customHeight="false" outlineLevel="0" collapsed="false">
      <c r="A70" s="2" t="s">
        <v>27</v>
      </c>
      <c r="B70" s="2" t="s">
        <v>52</v>
      </c>
      <c r="C70" s="2" t="s">
        <v>298</v>
      </c>
      <c r="D70" s="2" t="s">
        <v>299</v>
      </c>
      <c r="E70" s="2" t="n">
        <v>63</v>
      </c>
      <c r="F70" s="2" t="n">
        <v>100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/>
      <c r="Z70" s="2"/>
      <c r="AA70" s="2"/>
    </row>
    <row r="71" customFormat="false" ht="15" hidden="false" customHeight="false" outlineLevel="0" collapsed="false">
      <c r="A71" s="2" t="s">
        <v>27</v>
      </c>
      <c r="B71" s="2" t="s">
        <v>52</v>
      </c>
      <c r="C71" s="2" t="s">
        <v>300</v>
      </c>
      <c r="D71" s="2" t="s">
        <v>301</v>
      </c>
      <c r="E71" s="2" t="n">
        <v>105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1</v>
      </c>
      <c r="Y71" s="2" t="s">
        <v>302</v>
      </c>
      <c r="Z71" s="2"/>
      <c r="AA71" s="2"/>
    </row>
    <row r="72" customFormat="false" ht="15" hidden="false" customHeight="false" outlineLevel="0" collapsed="false">
      <c r="A72" s="2" t="s">
        <v>28</v>
      </c>
      <c r="B72" s="2" t="s">
        <v>53</v>
      </c>
      <c r="C72" s="2" t="s">
        <v>303</v>
      </c>
      <c r="D72" s="2" t="s">
        <v>304</v>
      </c>
      <c r="E72" s="2" t="n">
        <v>49</v>
      </c>
      <c r="F72" s="2" t="n">
        <v>100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/>
      <c r="Z72" s="2" t="s">
        <v>305</v>
      </c>
      <c r="AA72" s="2"/>
    </row>
    <row r="73" customFormat="false" ht="15" hidden="false" customHeight="false" outlineLevel="0" collapsed="false">
      <c r="A73" s="2" t="s">
        <v>28</v>
      </c>
      <c r="B73" s="2" t="s">
        <v>53</v>
      </c>
      <c r="C73" s="2" t="s">
        <v>306</v>
      </c>
      <c r="D73" s="2" t="s">
        <v>307</v>
      </c>
      <c r="E73" s="2" t="n">
        <v>49</v>
      </c>
      <c r="F73" s="2" t="n">
        <v>100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/>
      <c r="Z73" s="2"/>
      <c r="AA73" s="2"/>
    </row>
    <row r="74" customFormat="false" ht="15" hidden="false" customHeight="false" outlineLevel="0" collapsed="false">
      <c r="A74" s="2" t="s">
        <v>28</v>
      </c>
      <c r="B74" s="2" t="s">
        <v>53</v>
      </c>
      <c r="C74" s="2" t="s">
        <v>308</v>
      </c>
      <c r="D74" s="2" t="s">
        <v>309</v>
      </c>
      <c r="E74" s="2" t="n">
        <v>49</v>
      </c>
      <c r="F74" s="2" t="n">
        <v>100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/>
      <c r="Z74" s="2"/>
      <c r="AA74" s="2" t="s">
        <v>310</v>
      </c>
    </row>
    <row r="75" customFormat="false" ht="15" hidden="false" customHeight="false" outlineLevel="0" collapsed="false">
      <c r="A75" s="2" t="s">
        <v>28</v>
      </c>
      <c r="B75" s="2" t="s">
        <v>53</v>
      </c>
      <c r="C75" s="2" t="s">
        <v>311</v>
      </c>
      <c r="D75" s="2" t="s">
        <v>312</v>
      </c>
      <c r="E75" s="2" t="n">
        <v>49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1</v>
      </c>
      <c r="Y75" s="2" t="s">
        <v>313</v>
      </c>
      <c r="Z75" s="2"/>
      <c r="AA75" s="2"/>
    </row>
    <row r="76" customFormat="false" ht="15" hidden="false" customHeight="false" outlineLevel="0" collapsed="false">
      <c r="A76" s="2" t="s">
        <v>28</v>
      </c>
      <c r="B76" s="2" t="s">
        <v>53</v>
      </c>
      <c r="C76" s="2" t="s">
        <v>314</v>
      </c>
      <c r="D76" s="2" t="s">
        <v>315</v>
      </c>
      <c r="E76" s="2" t="n">
        <v>63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1</v>
      </c>
      <c r="Y76" s="2" t="s">
        <v>316</v>
      </c>
      <c r="Z76" s="2"/>
      <c r="AA76" s="2"/>
    </row>
    <row r="77" customFormat="false" ht="15" hidden="false" customHeight="false" outlineLevel="0" collapsed="false">
      <c r="A77" s="2" t="s">
        <v>28</v>
      </c>
      <c r="B77" s="2" t="s">
        <v>53</v>
      </c>
      <c r="C77" s="2" t="s">
        <v>317</v>
      </c>
      <c r="D77" s="2" t="s">
        <v>318</v>
      </c>
      <c r="E77" s="2" t="n">
        <v>63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1</v>
      </c>
      <c r="Y77" s="2" t="s">
        <v>319</v>
      </c>
      <c r="Z77" s="2"/>
      <c r="AA77" s="2"/>
    </row>
    <row r="78" customFormat="false" ht="15" hidden="false" customHeight="false" outlineLevel="0" collapsed="false">
      <c r="A78" s="2" t="s">
        <v>28</v>
      </c>
      <c r="B78" s="2" t="s">
        <v>53</v>
      </c>
      <c r="C78" s="2" t="s">
        <v>320</v>
      </c>
      <c r="D78" s="2" t="s">
        <v>321</v>
      </c>
      <c r="E78" s="2" t="n">
        <v>49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1</v>
      </c>
      <c r="Y78" s="2" t="s">
        <v>322</v>
      </c>
      <c r="Z78" s="2"/>
      <c r="AA78" s="2"/>
    </row>
    <row r="79" customFormat="false" ht="15" hidden="false" customHeight="false" outlineLevel="0" collapsed="false">
      <c r="A79" s="2" t="s">
        <v>28</v>
      </c>
      <c r="B79" s="2" t="s">
        <v>53</v>
      </c>
      <c r="C79" s="2" t="s">
        <v>323</v>
      </c>
      <c r="D79" s="2" t="s">
        <v>324</v>
      </c>
      <c r="E79" s="2" t="n">
        <v>105</v>
      </c>
      <c r="F79" s="2" t="n">
        <v>0</v>
      </c>
      <c r="G79" s="2" t="n">
        <v>0</v>
      </c>
      <c r="H79" s="2" t="n">
        <v>5</v>
      </c>
      <c r="I79" s="2" t="n">
        <v>0</v>
      </c>
      <c r="J79" s="2" t="n">
        <v>50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1</v>
      </c>
      <c r="X79" s="2" t="n">
        <v>0</v>
      </c>
      <c r="Y79" s="2"/>
      <c r="Z79" s="2"/>
      <c r="AA79" s="2"/>
    </row>
    <row r="80" customFormat="false" ht="15" hidden="false" customHeight="false" outlineLevel="0" collapsed="false">
      <c r="A80" s="2" t="s">
        <v>28</v>
      </c>
      <c r="B80" s="2" t="s">
        <v>53</v>
      </c>
      <c r="C80" s="2" t="s">
        <v>325</v>
      </c>
      <c r="D80" s="2" t="s">
        <v>326</v>
      </c>
      <c r="E80" s="2" t="n">
        <v>84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1</v>
      </c>
      <c r="Y80" s="2" t="s">
        <v>327</v>
      </c>
      <c r="Z80" s="2"/>
      <c r="AA80" s="2"/>
    </row>
    <row r="81" customFormat="false" ht="15" hidden="false" customHeight="false" outlineLevel="0" collapsed="false">
      <c r="A81" s="2" t="s">
        <v>28</v>
      </c>
      <c r="B81" s="2" t="s">
        <v>54</v>
      </c>
      <c r="C81" s="2" t="s">
        <v>310</v>
      </c>
      <c r="D81" s="2" t="s">
        <v>328</v>
      </c>
      <c r="E81" s="2" t="n">
        <v>35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/>
      <c r="Z81" s="2"/>
      <c r="AA81" s="2" t="s">
        <v>308</v>
      </c>
    </row>
    <row r="82" customFormat="false" ht="15" hidden="false" customHeight="false" outlineLevel="0" collapsed="false">
      <c r="A82" s="2" t="s">
        <v>28</v>
      </c>
      <c r="B82" s="2" t="s">
        <v>54</v>
      </c>
      <c r="C82" s="2" t="s">
        <v>329</v>
      </c>
      <c r="D82" s="2" t="s">
        <v>330</v>
      </c>
      <c r="E82" s="2" t="n">
        <v>63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1</v>
      </c>
      <c r="Y82" s="2" t="s">
        <v>331</v>
      </c>
      <c r="Z82" s="2" t="s">
        <v>332</v>
      </c>
      <c r="AA82" s="2"/>
    </row>
    <row r="83" customFormat="false" ht="15" hidden="false" customHeight="false" outlineLevel="0" collapsed="false">
      <c r="A83" s="2" t="s">
        <v>28</v>
      </c>
      <c r="B83" s="2" t="s">
        <v>54</v>
      </c>
      <c r="C83" s="2" t="s">
        <v>333</v>
      </c>
      <c r="D83" s="2" t="s">
        <v>334</v>
      </c>
      <c r="E83" s="2" t="n">
        <v>49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1</v>
      </c>
      <c r="Y83" s="2" t="s">
        <v>335</v>
      </c>
      <c r="Z83" s="2"/>
      <c r="AA83" s="2"/>
    </row>
    <row r="84" customFormat="false" ht="15" hidden="false" customHeight="false" outlineLevel="0" collapsed="false">
      <c r="A84" s="2" t="s">
        <v>28</v>
      </c>
      <c r="B84" s="2" t="s">
        <v>54</v>
      </c>
      <c r="C84" s="2" t="s">
        <v>336</v>
      </c>
      <c r="D84" s="2" t="s">
        <v>337</v>
      </c>
      <c r="E84" s="2" t="n">
        <v>63</v>
      </c>
      <c r="F84" s="2" t="n">
        <v>0</v>
      </c>
      <c r="G84" s="2" t="n">
        <v>0</v>
      </c>
      <c r="H84" s="2" t="n">
        <v>0</v>
      </c>
      <c r="I84" s="2" t="n">
        <v>100000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1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/>
      <c r="Z84" s="2"/>
      <c r="AA84" s="2"/>
    </row>
    <row r="85" customFormat="false" ht="15" hidden="false" customHeight="false" outlineLevel="0" collapsed="false">
      <c r="A85" s="2" t="s">
        <v>28</v>
      </c>
      <c r="B85" s="2" t="s">
        <v>54</v>
      </c>
      <c r="C85" s="2" t="s">
        <v>338</v>
      </c>
      <c r="D85" s="2" t="s">
        <v>339</v>
      </c>
      <c r="E85" s="2" t="n">
        <v>84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1</v>
      </c>
      <c r="Y85" s="2" t="s">
        <v>340</v>
      </c>
      <c r="Z85" s="2"/>
      <c r="AA85" s="2"/>
    </row>
    <row r="86" customFormat="false" ht="15" hidden="false" customHeight="false" outlineLevel="0" collapsed="false">
      <c r="A86" s="2" t="s">
        <v>28</v>
      </c>
      <c r="B86" s="2" t="s">
        <v>54</v>
      </c>
      <c r="C86" s="2" t="s">
        <v>341</v>
      </c>
      <c r="D86" s="2" t="s">
        <v>342</v>
      </c>
      <c r="E86" s="2" t="n">
        <v>49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/>
      <c r="Z86" s="2" t="s">
        <v>332</v>
      </c>
      <c r="AA86" s="2"/>
    </row>
    <row r="87" customFormat="false" ht="15" hidden="false" customHeight="false" outlineLevel="0" collapsed="false">
      <c r="A87" s="2" t="s">
        <v>28</v>
      </c>
      <c r="B87" s="2" t="s">
        <v>54</v>
      </c>
      <c r="C87" s="2" t="s">
        <v>343</v>
      </c>
      <c r="D87" s="2" t="s">
        <v>344</v>
      </c>
      <c r="E87" s="2" t="n">
        <v>63</v>
      </c>
      <c r="F87" s="2" t="n">
        <v>100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/>
      <c r="Z87" s="2" t="s">
        <v>305</v>
      </c>
      <c r="AA87" s="2"/>
    </row>
    <row r="88" customFormat="false" ht="15" hidden="false" customHeight="false" outlineLevel="0" collapsed="false">
      <c r="A88" s="2" t="s">
        <v>28</v>
      </c>
      <c r="B88" s="2" t="s">
        <v>54</v>
      </c>
      <c r="C88" s="2" t="s">
        <v>345</v>
      </c>
      <c r="D88" s="2" t="s">
        <v>346</v>
      </c>
      <c r="E88" s="2" t="n">
        <v>84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1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/>
      <c r="Z88" s="2" t="s">
        <v>347</v>
      </c>
      <c r="AA88" s="2"/>
    </row>
    <row r="89" customFormat="false" ht="15" hidden="false" customHeight="false" outlineLevel="0" collapsed="false">
      <c r="A89" s="2" t="s">
        <v>28</v>
      </c>
      <c r="B89" s="2" t="s">
        <v>54</v>
      </c>
      <c r="C89" s="2" t="s">
        <v>348</v>
      </c>
      <c r="D89" s="2" t="s">
        <v>349</v>
      </c>
      <c r="E89" s="2" t="n">
        <v>105</v>
      </c>
      <c r="F89" s="2" t="n">
        <v>0</v>
      </c>
      <c r="G89" s="2" t="n">
        <v>0</v>
      </c>
      <c r="H89" s="2" t="n">
        <v>5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/>
      <c r="Z89" s="2"/>
      <c r="AA89" s="2"/>
    </row>
    <row r="90" customFormat="false" ht="15" hidden="false" customHeight="false" outlineLevel="0" collapsed="false">
      <c r="A90" s="2" t="s">
        <v>28</v>
      </c>
      <c r="B90" s="2" t="s">
        <v>45</v>
      </c>
      <c r="C90" s="2" t="s">
        <v>350</v>
      </c>
      <c r="D90" s="2" t="s">
        <v>351</v>
      </c>
      <c r="E90" s="2" t="n">
        <v>70</v>
      </c>
      <c r="F90" s="2" t="n">
        <v>120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/>
      <c r="Z90" s="2"/>
      <c r="AA90" s="2"/>
    </row>
    <row r="91" customFormat="false" ht="15" hidden="false" customHeight="false" outlineLevel="0" collapsed="false">
      <c r="A91" s="2" t="s">
        <v>28</v>
      </c>
      <c r="B91" s="2" t="s">
        <v>45</v>
      </c>
      <c r="C91" s="2" t="s">
        <v>352</v>
      </c>
      <c r="D91" s="2" t="s">
        <v>353</v>
      </c>
      <c r="E91" s="2" t="n">
        <v>70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1</v>
      </c>
      <c r="Y91" s="2" t="s">
        <v>354</v>
      </c>
      <c r="Z91" s="2"/>
      <c r="AA91" s="2"/>
    </row>
    <row r="92" customFormat="false" ht="15" hidden="false" customHeight="false" outlineLevel="0" collapsed="false">
      <c r="A92" s="2" t="s">
        <v>28</v>
      </c>
      <c r="B92" s="2" t="s">
        <v>45</v>
      </c>
      <c r="C92" s="2" t="s">
        <v>355</v>
      </c>
      <c r="D92" s="2" t="s">
        <v>356</v>
      </c>
      <c r="E92" s="2" t="n">
        <v>70</v>
      </c>
      <c r="F92" s="2" t="n">
        <v>0</v>
      </c>
      <c r="G92" s="2" t="n">
        <v>0</v>
      </c>
      <c r="H92" s="2" t="n">
        <v>5</v>
      </c>
      <c r="I92" s="2" t="n">
        <v>0</v>
      </c>
      <c r="J92" s="2" t="n">
        <v>25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/>
      <c r="Z92" s="2"/>
      <c r="AA92" s="2"/>
    </row>
    <row r="93" customFormat="false" ht="15" hidden="false" customHeight="false" outlineLevel="0" collapsed="false">
      <c r="A93" s="2" t="s">
        <v>28</v>
      </c>
      <c r="B93" s="2" t="s">
        <v>45</v>
      </c>
      <c r="C93" s="2" t="s">
        <v>357</v>
      </c>
      <c r="D93" s="2" t="s">
        <v>358</v>
      </c>
      <c r="E93" s="2" t="n">
        <v>105</v>
      </c>
      <c r="F93" s="2" t="n">
        <v>50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7</v>
      </c>
      <c r="X93" s="2" t="n">
        <v>0</v>
      </c>
      <c r="Y93" s="2"/>
      <c r="Z93" s="2"/>
      <c r="AA93" s="2"/>
    </row>
    <row r="94" customFormat="false" ht="15" hidden="false" customHeight="false" outlineLevel="0" collapsed="false">
      <c r="A94" s="2" t="s">
        <v>28</v>
      </c>
      <c r="B94" s="2" t="s">
        <v>55</v>
      </c>
      <c r="C94" s="2" t="s">
        <v>359</v>
      </c>
      <c r="D94" s="2" t="s">
        <v>360</v>
      </c>
      <c r="E94" s="2" t="n">
        <v>49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2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/>
      <c r="Z94" s="2"/>
      <c r="AA94" s="2"/>
    </row>
    <row r="95" customFormat="false" ht="15" hidden="false" customHeight="false" outlineLevel="0" collapsed="false">
      <c r="A95" s="2" t="s">
        <v>28</v>
      </c>
      <c r="B95" s="2" t="s">
        <v>55</v>
      </c>
      <c r="C95" s="2" t="s">
        <v>361</v>
      </c>
      <c r="D95" s="2" t="s">
        <v>362</v>
      </c>
      <c r="E95" s="2" t="n">
        <v>63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1</v>
      </c>
      <c r="Y95" s="2" t="s">
        <v>363</v>
      </c>
      <c r="Z95" s="2"/>
      <c r="AA95" s="2" t="s">
        <v>364</v>
      </c>
    </row>
    <row r="96" customFormat="false" ht="15" hidden="false" customHeight="false" outlineLevel="0" collapsed="false">
      <c r="A96" s="2" t="s">
        <v>28</v>
      </c>
      <c r="B96" s="2" t="s">
        <v>55</v>
      </c>
      <c r="C96" s="2" t="s">
        <v>365</v>
      </c>
      <c r="D96" s="2" t="s">
        <v>366</v>
      </c>
      <c r="E96" s="2" t="n">
        <v>49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2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/>
      <c r="Z96" s="2"/>
      <c r="AA96" s="2"/>
    </row>
    <row r="97" customFormat="false" ht="15" hidden="false" customHeight="false" outlineLevel="0" collapsed="false">
      <c r="A97" s="2" t="s">
        <v>28</v>
      </c>
      <c r="B97" s="2" t="s">
        <v>55</v>
      </c>
      <c r="C97" s="2" t="s">
        <v>367</v>
      </c>
      <c r="D97" s="2" t="s">
        <v>368</v>
      </c>
      <c r="E97" s="2" t="n">
        <v>49</v>
      </c>
      <c r="F97" s="2" t="n">
        <v>100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/>
      <c r="Z97" s="2"/>
      <c r="AA97" s="2"/>
    </row>
    <row r="98" customFormat="false" ht="15" hidden="false" customHeight="false" outlineLevel="0" collapsed="false">
      <c r="A98" s="2" t="s">
        <v>28</v>
      </c>
      <c r="B98" s="2" t="s">
        <v>55</v>
      </c>
      <c r="C98" s="2" t="s">
        <v>369</v>
      </c>
      <c r="D98" s="2" t="s">
        <v>370</v>
      </c>
      <c r="E98" s="2" t="n">
        <v>63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2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/>
      <c r="Z98" s="2" t="s">
        <v>305</v>
      </c>
      <c r="AA98" s="2"/>
    </row>
    <row r="99" customFormat="false" ht="15" hidden="false" customHeight="false" outlineLevel="0" collapsed="false">
      <c r="A99" s="2" t="s">
        <v>28</v>
      </c>
      <c r="B99" s="2" t="s">
        <v>55</v>
      </c>
      <c r="C99" s="2" t="s">
        <v>371</v>
      </c>
      <c r="D99" s="2" t="s">
        <v>372</v>
      </c>
      <c r="E99" s="2" t="n">
        <v>84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3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/>
      <c r="Z99" s="2"/>
      <c r="AA99" s="2"/>
    </row>
    <row r="100" customFormat="false" ht="15" hidden="false" customHeight="false" outlineLevel="0" collapsed="false">
      <c r="A100" s="2" t="s">
        <v>28</v>
      </c>
      <c r="B100" s="2" t="s">
        <v>55</v>
      </c>
      <c r="C100" s="2" t="s">
        <v>373</v>
      </c>
      <c r="D100" s="2" t="s">
        <v>374</v>
      </c>
      <c r="E100" s="2" t="n">
        <v>77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2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/>
      <c r="Z100" s="2" t="s">
        <v>305</v>
      </c>
      <c r="AA100" s="2"/>
    </row>
    <row r="101" customFormat="false" ht="15" hidden="false" customHeight="false" outlineLevel="0" collapsed="false">
      <c r="A101" s="2" t="s">
        <v>28</v>
      </c>
      <c r="B101" s="2" t="s">
        <v>55</v>
      </c>
      <c r="C101" s="2" t="s">
        <v>375</v>
      </c>
      <c r="D101" s="2" t="s">
        <v>376</v>
      </c>
      <c r="E101" s="2" t="n">
        <v>98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1</v>
      </c>
      <c r="Y101" s="2" t="s">
        <v>377</v>
      </c>
      <c r="Z101" s="2"/>
      <c r="AA101" s="2"/>
    </row>
    <row r="102" customFormat="false" ht="15" hidden="false" customHeight="false" outlineLevel="0" collapsed="false">
      <c r="A102" s="2" t="s">
        <v>28</v>
      </c>
      <c r="B102" s="2" t="s">
        <v>56</v>
      </c>
      <c r="C102" s="2" t="s">
        <v>364</v>
      </c>
      <c r="D102" s="2" t="s">
        <v>378</v>
      </c>
      <c r="E102" s="2" t="n">
        <v>63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1</v>
      </c>
      <c r="Y102" s="2" t="s">
        <v>379</v>
      </c>
      <c r="Z102" s="2" t="s">
        <v>305</v>
      </c>
      <c r="AA102" s="2" t="s">
        <v>361</v>
      </c>
    </row>
    <row r="103" customFormat="false" ht="15" hidden="false" customHeight="false" outlineLevel="0" collapsed="false">
      <c r="A103" s="2" t="s">
        <v>28</v>
      </c>
      <c r="B103" s="2" t="s">
        <v>56</v>
      </c>
      <c r="C103" s="2" t="s">
        <v>380</v>
      </c>
      <c r="D103" s="2" t="s">
        <v>381</v>
      </c>
      <c r="E103" s="2" t="n">
        <v>49</v>
      </c>
      <c r="F103" s="2" t="n">
        <v>100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/>
      <c r="Z103" s="2" t="s">
        <v>382</v>
      </c>
      <c r="AA103" s="2"/>
    </row>
    <row r="104" customFormat="false" ht="15" hidden="false" customHeight="false" outlineLevel="0" collapsed="false">
      <c r="A104" s="2" t="s">
        <v>28</v>
      </c>
      <c r="B104" s="2" t="s">
        <v>56</v>
      </c>
      <c r="C104" s="2" t="s">
        <v>383</v>
      </c>
      <c r="D104" s="2" t="s">
        <v>384</v>
      </c>
      <c r="E104" s="2" t="n">
        <v>49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2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/>
      <c r="Z104" s="2"/>
      <c r="AA104" s="2"/>
    </row>
    <row r="105" customFormat="false" ht="15" hidden="false" customHeight="false" outlineLevel="0" collapsed="false">
      <c r="A105" s="2" t="s">
        <v>28</v>
      </c>
      <c r="B105" s="2" t="s">
        <v>56</v>
      </c>
      <c r="C105" s="2" t="s">
        <v>385</v>
      </c>
      <c r="D105" s="2" t="s">
        <v>386</v>
      </c>
      <c r="E105" s="2" t="n">
        <v>63</v>
      </c>
      <c r="F105" s="2" t="n">
        <v>100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/>
      <c r="Z105" s="2" t="s">
        <v>387</v>
      </c>
      <c r="AA105" s="2"/>
    </row>
    <row r="106" customFormat="false" ht="15" hidden="false" customHeight="false" outlineLevel="0" collapsed="false">
      <c r="A106" s="2" t="s">
        <v>28</v>
      </c>
      <c r="B106" s="2" t="s">
        <v>56</v>
      </c>
      <c r="C106" s="2" t="s">
        <v>388</v>
      </c>
      <c r="D106" s="2" t="s">
        <v>389</v>
      </c>
      <c r="E106" s="2" t="n">
        <v>84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1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/>
      <c r="Z106" s="2"/>
      <c r="AA106" s="2"/>
    </row>
    <row r="107" customFormat="false" ht="15" hidden="false" customHeight="false" outlineLevel="0" collapsed="false">
      <c r="A107" s="2" t="s">
        <v>28</v>
      </c>
      <c r="B107" s="2" t="s">
        <v>56</v>
      </c>
      <c r="C107" s="2" t="s">
        <v>390</v>
      </c>
      <c r="D107" s="2" t="s">
        <v>391</v>
      </c>
      <c r="E107" s="2" t="n">
        <v>77</v>
      </c>
      <c r="F107" s="2" t="n">
        <v>100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/>
      <c r="Z107" s="2" t="s">
        <v>392</v>
      </c>
      <c r="AA107" s="2"/>
    </row>
    <row r="108" customFormat="false" ht="15" hidden="false" customHeight="false" outlineLevel="0" collapsed="false">
      <c r="A108" s="2" t="s">
        <v>28</v>
      </c>
      <c r="B108" s="2" t="s">
        <v>56</v>
      </c>
      <c r="C108" s="2" t="s">
        <v>393</v>
      </c>
      <c r="D108" s="2" t="s">
        <v>394</v>
      </c>
      <c r="E108" s="2" t="n">
        <v>98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1</v>
      </c>
      <c r="Y108" s="2" t="s">
        <v>395</v>
      </c>
      <c r="Z108" s="2"/>
      <c r="AA108" s="2"/>
    </row>
    <row r="109" customFormat="false" ht="15" hidden="false" customHeight="false" outlineLevel="0" collapsed="false">
      <c r="A109" s="2" t="s">
        <v>28</v>
      </c>
      <c r="B109" s="2" t="s">
        <v>57</v>
      </c>
      <c r="C109" s="2" t="s">
        <v>396</v>
      </c>
      <c r="D109" s="2" t="s">
        <v>397</v>
      </c>
      <c r="E109" s="2" t="n">
        <v>49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s">
        <v>398</v>
      </c>
      <c r="Z109" s="2"/>
      <c r="AA109" s="2"/>
    </row>
    <row r="110" customFormat="false" ht="15" hidden="false" customHeight="false" outlineLevel="0" collapsed="false">
      <c r="A110" s="2" t="s">
        <v>28</v>
      </c>
      <c r="B110" s="2" t="s">
        <v>57</v>
      </c>
      <c r="C110" s="2" t="s">
        <v>399</v>
      </c>
      <c r="D110" s="2" t="s">
        <v>400</v>
      </c>
      <c r="E110" s="2" t="n">
        <v>49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/>
      <c r="Z110" s="2"/>
      <c r="AA110" s="2"/>
    </row>
    <row r="111" customFormat="false" ht="15" hidden="false" customHeight="false" outlineLevel="0" collapsed="false">
      <c r="A111" s="2" t="s">
        <v>28</v>
      </c>
      <c r="B111" s="2" t="s">
        <v>57</v>
      </c>
      <c r="C111" s="2" t="s">
        <v>401</v>
      </c>
      <c r="D111" s="2" t="s">
        <v>402</v>
      </c>
      <c r="E111" s="2" t="n">
        <v>63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2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/>
      <c r="Z111" s="2"/>
      <c r="AA111" s="2"/>
    </row>
    <row r="112" customFormat="false" ht="15" hidden="false" customHeight="false" outlineLevel="0" collapsed="false">
      <c r="A112" s="2" t="s">
        <v>28</v>
      </c>
      <c r="B112" s="2" t="s">
        <v>57</v>
      </c>
      <c r="C112" s="2" t="s">
        <v>403</v>
      </c>
      <c r="D112" s="2" t="s">
        <v>404</v>
      </c>
      <c r="E112" s="2" t="n">
        <v>49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1</v>
      </c>
      <c r="Y112" s="2" t="s">
        <v>405</v>
      </c>
      <c r="Z112" s="2"/>
      <c r="AA112" s="2"/>
    </row>
    <row r="113" customFormat="false" ht="15" hidden="false" customHeight="false" outlineLevel="0" collapsed="false">
      <c r="A113" s="2" t="s">
        <v>28</v>
      </c>
      <c r="B113" s="2" t="s">
        <v>57</v>
      </c>
      <c r="C113" s="2" t="s">
        <v>406</v>
      </c>
      <c r="D113" s="2" t="s">
        <v>407</v>
      </c>
      <c r="E113" s="2" t="n">
        <v>49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2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/>
      <c r="Z113" s="2"/>
      <c r="AA113" s="2"/>
    </row>
    <row r="114" customFormat="false" ht="15" hidden="false" customHeight="false" outlineLevel="0" collapsed="false">
      <c r="A114" s="2" t="s">
        <v>28</v>
      </c>
      <c r="B114" s="2" t="s">
        <v>57</v>
      </c>
      <c r="C114" s="2" t="s">
        <v>408</v>
      </c>
      <c r="D114" s="2" t="s">
        <v>409</v>
      </c>
      <c r="E114" s="2" t="n">
        <v>105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1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/>
      <c r="Z114" s="2" t="s">
        <v>305</v>
      </c>
      <c r="AA114" s="2"/>
    </row>
    <row r="115" customFormat="false" ht="15" hidden="false" customHeight="false" outlineLevel="0" collapsed="false">
      <c r="A115" s="2" t="s">
        <v>28</v>
      </c>
      <c r="B115" s="2" t="s">
        <v>58</v>
      </c>
      <c r="C115" s="2" t="s">
        <v>410</v>
      </c>
      <c r="D115" s="2" t="s">
        <v>411</v>
      </c>
      <c r="E115" s="2" t="n">
        <v>49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s">
        <v>412</v>
      </c>
      <c r="Z115" s="2"/>
      <c r="AA115" s="2"/>
    </row>
    <row r="116" customFormat="false" ht="15" hidden="false" customHeight="false" outlineLevel="0" collapsed="false">
      <c r="A116" s="2" t="s">
        <v>28</v>
      </c>
      <c r="B116" s="2" t="s">
        <v>58</v>
      </c>
      <c r="C116" s="2" t="s">
        <v>413</v>
      </c>
      <c r="D116" s="2" t="s">
        <v>414</v>
      </c>
      <c r="E116" s="2" t="n">
        <v>49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1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/>
      <c r="Z116" s="2"/>
      <c r="AA116" s="2"/>
    </row>
    <row r="117" customFormat="false" ht="15" hidden="false" customHeight="false" outlineLevel="0" collapsed="false">
      <c r="A117" s="2" t="s">
        <v>28</v>
      </c>
      <c r="B117" s="2" t="s">
        <v>58</v>
      </c>
      <c r="C117" s="2" t="s">
        <v>415</v>
      </c>
      <c r="D117" s="2" t="s">
        <v>416</v>
      </c>
      <c r="E117" s="2" t="n">
        <v>63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1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/>
      <c r="Z117" s="2" t="s">
        <v>382</v>
      </c>
      <c r="AA117" s="2"/>
    </row>
    <row r="118" customFormat="false" ht="15" hidden="false" customHeight="false" outlineLevel="0" collapsed="false">
      <c r="A118" s="2" t="s">
        <v>28</v>
      </c>
      <c r="B118" s="2" t="s">
        <v>58</v>
      </c>
      <c r="C118" s="2" t="s">
        <v>417</v>
      </c>
      <c r="D118" s="2" t="s">
        <v>418</v>
      </c>
      <c r="E118" s="2" t="n">
        <v>49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2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/>
      <c r="Z118" s="2"/>
      <c r="AA118" s="2"/>
    </row>
    <row r="119" customFormat="false" ht="15" hidden="false" customHeight="false" outlineLevel="0" collapsed="false">
      <c r="A119" s="2" t="s">
        <v>28</v>
      </c>
      <c r="B119" s="2" t="s">
        <v>58</v>
      </c>
      <c r="C119" s="2" t="s">
        <v>419</v>
      </c>
      <c r="D119" s="2" t="s">
        <v>420</v>
      </c>
      <c r="E119" s="2" t="n">
        <v>63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2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/>
      <c r="Z119" s="2"/>
      <c r="AA119" s="2"/>
    </row>
    <row r="120" customFormat="false" ht="15" hidden="false" customHeight="false" outlineLevel="0" collapsed="false">
      <c r="A120" s="2" t="s">
        <v>28</v>
      </c>
      <c r="B120" s="2" t="s">
        <v>58</v>
      </c>
      <c r="C120" s="2" t="s">
        <v>421</v>
      </c>
      <c r="D120" s="2" t="s">
        <v>422</v>
      </c>
      <c r="E120" s="2" t="n">
        <v>84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1</v>
      </c>
      <c r="Y120" s="2" t="s">
        <v>423</v>
      </c>
      <c r="Z120" s="2"/>
      <c r="AA120" s="2"/>
    </row>
    <row r="121" customFormat="false" ht="15" hidden="false" customHeight="false" outlineLevel="0" collapsed="false">
      <c r="A121" s="2" t="s">
        <v>28</v>
      </c>
      <c r="B121" s="2" t="s">
        <v>59</v>
      </c>
      <c r="C121" s="2" t="s">
        <v>424</v>
      </c>
      <c r="D121" s="2" t="s">
        <v>425</v>
      </c>
      <c r="E121" s="2" t="n">
        <v>49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1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/>
      <c r="Z121" s="2"/>
      <c r="AA121" s="2"/>
    </row>
    <row r="122" customFormat="false" ht="15" hidden="false" customHeight="false" outlineLevel="0" collapsed="false">
      <c r="A122" s="2" t="s">
        <v>28</v>
      </c>
      <c r="B122" s="2" t="s">
        <v>59</v>
      </c>
      <c r="C122" s="2" t="s">
        <v>426</v>
      </c>
      <c r="D122" s="2" t="s">
        <v>427</v>
      </c>
      <c r="E122" s="2" t="n">
        <v>49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2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/>
      <c r="Z122" s="2"/>
      <c r="AA122" s="2"/>
    </row>
    <row r="123" customFormat="false" ht="15" hidden="false" customHeight="false" outlineLevel="0" collapsed="false">
      <c r="A123" s="2" t="s">
        <v>28</v>
      </c>
      <c r="B123" s="2" t="s">
        <v>59</v>
      </c>
      <c r="C123" s="2" t="s">
        <v>428</v>
      </c>
      <c r="D123" s="2" t="s">
        <v>429</v>
      </c>
      <c r="E123" s="2" t="n">
        <v>63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2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100</v>
      </c>
      <c r="W123" s="2" t="n">
        <v>0</v>
      </c>
      <c r="X123" s="2" t="n">
        <v>0</v>
      </c>
      <c r="Y123" s="2"/>
      <c r="Z123" s="2"/>
      <c r="AA123" s="2"/>
    </row>
    <row r="124" customFormat="false" ht="15" hidden="false" customHeight="false" outlineLevel="0" collapsed="false">
      <c r="A124" s="2" t="s">
        <v>28</v>
      </c>
      <c r="B124" s="2" t="s">
        <v>59</v>
      </c>
      <c r="C124" s="2" t="s">
        <v>430</v>
      </c>
      <c r="D124" s="2" t="s">
        <v>431</v>
      </c>
      <c r="E124" s="2" t="n">
        <v>84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3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/>
      <c r="Z124" s="2"/>
      <c r="AA124" s="2"/>
    </row>
    <row r="125" customFormat="false" ht="15" hidden="false" customHeight="false" outlineLevel="0" collapsed="false">
      <c r="A125" s="2" t="s">
        <v>28</v>
      </c>
      <c r="B125" s="2" t="s">
        <v>59</v>
      </c>
      <c r="C125" s="2" t="s">
        <v>432</v>
      </c>
      <c r="D125" s="2" t="s">
        <v>433</v>
      </c>
      <c r="E125" s="2" t="n">
        <v>63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1</v>
      </c>
      <c r="Y125" s="2" t="s">
        <v>434</v>
      </c>
      <c r="Z125" s="2"/>
      <c r="AA125" s="2"/>
    </row>
    <row r="126" customFormat="false" ht="15" hidden="false" customHeight="false" outlineLevel="0" collapsed="false">
      <c r="A126" s="2" t="s">
        <v>28</v>
      </c>
      <c r="B126" s="2" t="s">
        <v>59</v>
      </c>
      <c r="C126" s="2" t="s">
        <v>435</v>
      </c>
      <c r="D126" s="2" t="s">
        <v>436</v>
      </c>
      <c r="E126" s="2" t="n">
        <v>49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1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/>
      <c r="Z126" s="2" t="s">
        <v>382</v>
      </c>
      <c r="AA126" s="2"/>
    </row>
    <row r="127" customFormat="false" ht="15" hidden="false" customHeight="false" outlineLevel="0" collapsed="false">
      <c r="A127" s="2" t="s">
        <v>28</v>
      </c>
      <c r="B127" s="2" t="s">
        <v>60</v>
      </c>
      <c r="C127" s="2" t="s">
        <v>437</v>
      </c>
      <c r="D127" s="2" t="s">
        <v>438</v>
      </c>
      <c r="E127" s="2" t="n">
        <v>63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/>
      <c r="Z127" s="2" t="s">
        <v>332</v>
      </c>
      <c r="AA127" s="2"/>
    </row>
    <row r="128" customFormat="false" ht="15" hidden="false" customHeight="false" outlineLevel="0" collapsed="false">
      <c r="A128" s="2" t="s">
        <v>28</v>
      </c>
      <c r="B128" s="2" t="s">
        <v>60</v>
      </c>
      <c r="C128" s="2" t="s">
        <v>439</v>
      </c>
      <c r="D128" s="2" t="s">
        <v>440</v>
      </c>
      <c r="E128" s="2" t="n">
        <v>49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s">
        <v>441</v>
      </c>
      <c r="Z128" s="2" t="s">
        <v>387</v>
      </c>
      <c r="AA128" s="2"/>
    </row>
    <row r="129" customFormat="false" ht="15" hidden="false" customHeight="false" outlineLevel="0" collapsed="false">
      <c r="A129" s="2" t="s">
        <v>28</v>
      </c>
      <c r="B129" s="2" t="s">
        <v>60</v>
      </c>
      <c r="C129" s="2" t="s">
        <v>442</v>
      </c>
      <c r="D129" s="2" t="s">
        <v>443</v>
      </c>
      <c r="E129" s="2" t="n">
        <v>49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/>
      <c r="Z129" s="2" t="s">
        <v>305</v>
      </c>
      <c r="AA129" s="2"/>
    </row>
    <row r="130" customFormat="false" ht="15" hidden="false" customHeight="false" outlineLevel="0" collapsed="false">
      <c r="A130" s="2" t="s">
        <v>28</v>
      </c>
      <c r="B130" s="2" t="s">
        <v>60</v>
      </c>
      <c r="C130" s="2" t="s">
        <v>444</v>
      </c>
      <c r="D130" s="2" t="s">
        <v>445</v>
      </c>
      <c r="E130" s="2" t="n">
        <v>63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/>
      <c r="Z130" s="2" t="s">
        <v>332</v>
      </c>
      <c r="AA130" s="2"/>
    </row>
    <row r="131" customFormat="false" ht="15" hidden="false" customHeight="false" outlineLevel="0" collapsed="false">
      <c r="A131" s="2" t="s">
        <v>28</v>
      </c>
      <c r="B131" s="2" t="s">
        <v>60</v>
      </c>
      <c r="C131" s="2" t="s">
        <v>446</v>
      </c>
      <c r="D131" s="2" t="s">
        <v>447</v>
      </c>
      <c r="E131" s="2" t="n">
        <v>49</v>
      </c>
      <c r="F131" s="2" t="n">
        <v>50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/>
      <c r="Z131" s="2" t="s">
        <v>305</v>
      </c>
      <c r="AA131" s="2"/>
    </row>
    <row r="132" customFormat="false" ht="15" hidden="false" customHeight="false" outlineLevel="0" collapsed="false">
      <c r="A132" s="2" t="s">
        <v>28</v>
      </c>
      <c r="B132" s="2" t="s">
        <v>60</v>
      </c>
      <c r="C132" s="2" t="s">
        <v>448</v>
      </c>
      <c r="D132" s="2" t="s">
        <v>449</v>
      </c>
      <c r="E132" s="2" t="n">
        <v>49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/>
      <c r="Z132" s="2" t="s">
        <v>387</v>
      </c>
      <c r="AA132" s="2"/>
    </row>
    <row r="133" customFormat="false" ht="15" hidden="false" customHeight="false" outlineLevel="0" collapsed="false">
      <c r="A133" s="2" t="s">
        <v>28</v>
      </c>
      <c r="B133" s="2" t="s">
        <v>60</v>
      </c>
      <c r="C133" s="2" t="s">
        <v>450</v>
      </c>
      <c r="D133" s="2" t="s">
        <v>451</v>
      </c>
      <c r="E133" s="2" t="n">
        <v>63</v>
      </c>
      <c r="F133" s="2" t="n">
        <v>100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/>
      <c r="Z133" s="2"/>
      <c r="AA133" s="2"/>
    </row>
    <row r="134" customFormat="false" ht="15" hidden="false" customHeight="false" outlineLevel="0" collapsed="false">
      <c r="A134" s="2" t="s">
        <v>28</v>
      </c>
      <c r="B134" s="2" t="s">
        <v>60</v>
      </c>
      <c r="C134" s="2" t="s">
        <v>452</v>
      </c>
      <c r="D134" s="2" t="s">
        <v>453</v>
      </c>
      <c r="E134" s="2" t="n">
        <v>105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1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/>
      <c r="Z134" s="2" t="s">
        <v>454</v>
      </c>
      <c r="AA134" s="2"/>
    </row>
    <row r="135" customFormat="false" ht="15" hidden="false" customHeight="false" outlineLevel="0" collapsed="false">
      <c r="A135" s="2" t="s">
        <v>28</v>
      </c>
      <c r="B135" s="2" t="s">
        <v>61</v>
      </c>
      <c r="C135" s="2" t="s">
        <v>455</v>
      </c>
      <c r="D135" s="2" t="s">
        <v>456</v>
      </c>
      <c r="E135" s="2" t="n">
        <v>49</v>
      </c>
      <c r="F135" s="2" t="n">
        <v>50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s">
        <v>441</v>
      </c>
      <c r="Z135" s="2" t="s">
        <v>457</v>
      </c>
      <c r="AA135" s="2"/>
    </row>
    <row r="136" customFormat="false" ht="15" hidden="false" customHeight="false" outlineLevel="0" collapsed="false">
      <c r="A136" s="2" t="s">
        <v>28</v>
      </c>
      <c r="B136" s="2" t="s">
        <v>61</v>
      </c>
      <c r="C136" s="2" t="s">
        <v>458</v>
      </c>
      <c r="D136" s="2" t="s">
        <v>459</v>
      </c>
      <c r="E136" s="2" t="n">
        <v>49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1</v>
      </c>
      <c r="Y136" s="2" t="s">
        <v>460</v>
      </c>
      <c r="Z136" s="2"/>
      <c r="AA136" s="2"/>
    </row>
    <row r="137" customFormat="false" ht="15" hidden="false" customHeight="false" outlineLevel="0" collapsed="false">
      <c r="A137" s="2" t="s">
        <v>28</v>
      </c>
      <c r="B137" s="2" t="s">
        <v>61</v>
      </c>
      <c r="C137" s="2" t="s">
        <v>461</v>
      </c>
      <c r="D137" s="2" t="s">
        <v>462</v>
      </c>
      <c r="E137" s="2" t="n">
        <v>63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/>
      <c r="Z137" s="2" t="s">
        <v>463</v>
      </c>
      <c r="AA137" s="2"/>
    </row>
    <row r="138" customFormat="false" ht="15" hidden="false" customHeight="false" outlineLevel="0" collapsed="false">
      <c r="A138" s="2" t="s">
        <v>28</v>
      </c>
      <c r="B138" s="2" t="s">
        <v>61</v>
      </c>
      <c r="C138" s="2" t="s">
        <v>464</v>
      </c>
      <c r="D138" s="2" t="s">
        <v>465</v>
      </c>
      <c r="E138" s="2" t="n">
        <v>84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1</v>
      </c>
      <c r="Y138" s="2" t="s">
        <v>466</v>
      </c>
      <c r="Z138" s="2"/>
      <c r="AA138" s="2"/>
    </row>
    <row r="139" customFormat="false" ht="15" hidden="false" customHeight="false" outlineLevel="0" collapsed="false">
      <c r="A139" s="2" t="s">
        <v>28</v>
      </c>
      <c r="B139" s="2" t="s">
        <v>61</v>
      </c>
      <c r="C139" s="2" t="s">
        <v>467</v>
      </c>
      <c r="D139" s="2" t="s">
        <v>468</v>
      </c>
      <c r="E139" s="2" t="n">
        <v>63</v>
      </c>
      <c r="F139" s="2" t="n">
        <v>100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/>
      <c r="Z139" s="2"/>
      <c r="AA139" s="2"/>
    </row>
    <row r="140" customFormat="false" ht="15" hidden="false" customHeight="false" outlineLevel="0" collapsed="false">
      <c r="A140" s="2" t="s">
        <v>28</v>
      </c>
      <c r="B140" s="2" t="s">
        <v>61</v>
      </c>
      <c r="C140" s="2" t="s">
        <v>469</v>
      </c>
      <c r="D140" s="2" t="s">
        <v>470</v>
      </c>
      <c r="E140" s="2" t="n">
        <v>105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1</v>
      </c>
      <c r="Y140" s="2" t="s">
        <v>471</v>
      </c>
      <c r="Z140" s="2"/>
      <c r="AA140" s="2"/>
    </row>
    <row r="141" customFormat="false" ht="15" hidden="false" customHeight="false" outlineLevel="0" collapsed="false">
      <c r="A141" s="2" t="s">
        <v>29</v>
      </c>
      <c r="B141" s="2" t="s">
        <v>62</v>
      </c>
      <c r="C141" s="2" t="s">
        <v>472</v>
      </c>
      <c r="D141" s="2" t="s">
        <v>473</v>
      </c>
      <c r="E141" s="2" t="n">
        <v>49</v>
      </c>
      <c r="F141" s="2" t="n">
        <v>100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/>
      <c r="Z141" s="2"/>
      <c r="AA141" s="2"/>
    </row>
    <row r="142" customFormat="false" ht="15" hidden="false" customHeight="false" outlineLevel="0" collapsed="false">
      <c r="A142" s="2" t="s">
        <v>29</v>
      </c>
      <c r="B142" s="2" t="s">
        <v>62</v>
      </c>
      <c r="C142" s="2" t="s">
        <v>474</v>
      </c>
      <c r="D142" s="2" t="s">
        <v>475</v>
      </c>
      <c r="E142" s="2" t="n">
        <v>49</v>
      </c>
      <c r="F142" s="2" t="n">
        <v>100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/>
      <c r="Z142" s="2"/>
      <c r="AA142" s="2"/>
    </row>
    <row r="143" customFormat="false" ht="15" hidden="false" customHeight="false" outlineLevel="0" collapsed="false">
      <c r="A143" s="2" t="s">
        <v>29</v>
      </c>
      <c r="B143" s="2" t="s">
        <v>62</v>
      </c>
      <c r="C143" s="2" t="s">
        <v>476</v>
      </c>
      <c r="D143" s="2" t="s">
        <v>477</v>
      </c>
      <c r="E143" s="2" t="n">
        <v>49</v>
      </c>
      <c r="F143" s="2" t="n">
        <v>100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s">
        <v>478</v>
      </c>
      <c r="Z143" s="2"/>
      <c r="AA143" s="2" t="s">
        <v>479</v>
      </c>
    </row>
    <row r="144" customFormat="false" ht="15" hidden="false" customHeight="false" outlineLevel="0" collapsed="false">
      <c r="A144" s="2" t="s">
        <v>29</v>
      </c>
      <c r="B144" s="2" t="s">
        <v>62</v>
      </c>
      <c r="C144" s="2" t="s">
        <v>480</v>
      </c>
      <c r="D144" s="2" t="s">
        <v>481</v>
      </c>
      <c r="E144" s="2" t="n">
        <v>49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1</v>
      </c>
      <c r="Y144" s="2" t="s">
        <v>482</v>
      </c>
      <c r="Z144" s="2"/>
      <c r="AA144" s="2"/>
    </row>
    <row r="145" customFormat="false" ht="15" hidden="false" customHeight="false" outlineLevel="0" collapsed="false">
      <c r="A145" s="2" t="s">
        <v>29</v>
      </c>
      <c r="B145" s="2" t="s">
        <v>62</v>
      </c>
      <c r="C145" s="2" t="s">
        <v>483</v>
      </c>
      <c r="D145" s="2" t="s">
        <v>484</v>
      </c>
      <c r="E145" s="2" t="n">
        <v>49</v>
      </c>
      <c r="F145" s="2" t="n">
        <v>50</v>
      </c>
      <c r="G145" s="2" t="n">
        <v>5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/>
      <c r="Z145" s="2" t="s">
        <v>485</v>
      </c>
      <c r="AA145" s="2"/>
    </row>
    <row r="146" customFormat="false" ht="15" hidden="false" customHeight="false" outlineLevel="0" collapsed="false">
      <c r="A146" s="2" t="s">
        <v>29</v>
      </c>
      <c r="B146" s="2" t="s">
        <v>62</v>
      </c>
      <c r="C146" s="2" t="s">
        <v>486</v>
      </c>
      <c r="D146" s="2" t="s">
        <v>487</v>
      </c>
      <c r="E146" s="2" t="n">
        <v>49</v>
      </c>
      <c r="F146" s="2" t="n">
        <v>100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/>
      <c r="Z146" s="2" t="s">
        <v>488</v>
      </c>
      <c r="AA146" s="2"/>
    </row>
    <row r="147" customFormat="false" ht="15" hidden="false" customHeight="false" outlineLevel="0" collapsed="false">
      <c r="A147" s="2" t="s">
        <v>29</v>
      </c>
      <c r="B147" s="2" t="s">
        <v>62</v>
      </c>
      <c r="C147" s="2" t="s">
        <v>489</v>
      </c>
      <c r="D147" s="2" t="s">
        <v>490</v>
      </c>
      <c r="E147" s="2" t="n">
        <v>49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1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/>
      <c r="Z147" s="2" t="s">
        <v>491</v>
      </c>
      <c r="AA147" s="2"/>
    </row>
    <row r="148" customFormat="false" ht="15" hidden="false" customHeight="false" outlineLevel="0" collapsed="false">
      <c r="A148" s="2" t="s">
        <v>29</v>
      </c>
      <c r="B148" s="2" t="s">
        <v>62</v>
      </c>
      <c r="C148" s="2" t="s">
        <v>492</v>
      </c>
      <c r="D148" s="2" t="s">
        <v>493</v>
      </c>
      <c r="E148" s="2" t="n">
        <v>49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2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/>
      <c r="Z148" s="2" t="s">
        <v>494</v>
      </c>
      <c r="AA148" s="2"/>
    </row>
    <row r="149" customFormat="false" ht="15" hidden="false" customHeight="false" outlineLevel="0" collapsed="false">
      <c r="A149" s="2" t="s">
        <v>29</v>
      </c>
      <c r="B149" s="2" t="s">
        <v>62</v>
      </c>
      <c r="C149" s="2" t="s">
        <v>495</v>
      </c>
      <c r="D149" s="2" t="s">
        <v>496</v>
      </c>
      <c r="E149" s="2" t="n">
        <v>84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1</v>
      </c>
      <c r="Y149" s="2" t="s">
        <v>497</v>
      </c>
      <c r="Z149" s="2"/>
      <c r="AA149" s="2"/>
    </row>
    <row r="150" customFormat="false" ht="15" hidden="false" customHeight="false" outlineLevel="0" collapsed="false">
      <c r="A150" s="2" t="s">
        <v>29</v>
      </c>
      <c r="B150" s="2" t="s">
        <v>62</v>
      </c>
      <c r="C150" s="2" t="s">
        <v>498</v>
      </c>
      <c r="D150" s="2" t="s">
        <v>499</v>
      </c>
      <c r="E150" s="2" t="n">
        <v>63</v>
      </c>
      <c r="F150" s="2" t="n">
        <v>100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/>
      <c r="Z150" s="2" t="s">
        <v>500</v>
      </c>
      <c r="AA150" s="2"/>
    </row>
    <row r="151" customFormat="false" ht="15" hidden="false" customHeight="false" outlineLevel="0" collapsed="false">
      <c r="A151" s="2" t="s">
        <v>29</v>
      </c>
      <c r="B151" s="2" t="s">
        <v>62</v>
      </c>
      <c r="C151" s="2" t="s">
        <v>501</v>
      </c>
      <c r="D151" s="2" t="s">
        <v>502</v>
      </c>
      <c r="E151" s="2" t="n">
        <v>105</v>
      </c>
      <c r="F151" s="2" t="n">
        <v>0</v>
      </c>
      <c r="G151" s="2" t="n">
        <v>0</v>
      </c>
      <c r="H151" s="2" t="n">
        <v>5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/>
      <c r="Z151" s="2"/>
      <c r="AA151" s="2"/>
    </row>
    <row r="152" customFormat="false" ht="15" hidden="false" customHeight="false" outlineLevel="0" collapsed="false">
      <c r="A152" s="2" t="s">
        <v>29</v>
      </c>
      <c r="B152" s="2" t="s">
        <v>63</v>
      </c>
      <c r="C152" s="2" t="s">
        <v>479</v>
      </c>
      <c r="D152" s="2" t="s">
        <v>503</v>
      </c>
      <c r="E152" s="2" t="n">
        <v>35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1</v>
      </c>
      <c r="Y152" s="2" t="s">
        <v>504</v>
      </c>
      <c r="Z152" s="2"/>
      <c r="AA152" s="2" t="s">
        <v>476</v>
      </c>
    </row>
    <row r="153" customFormat="false" ht="15" hidden="false" customHeight="false" outlineLevel="0" collapsed="false">
      <c r="A153" s="2" t="s">
        <v>29</v>
      </c>
      <c r="B153" s="2" t="s">
        <v>63</v>
      </c>
      <c r="C153" s="2" t="s">
        <v>505</v>
      </c>
      <c r="D153" s="2" t="s">
        <v>506</v>
      </c>
      <c r="E153" s="2" t="n">
        <v>49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1</v>
      </c>
      <c r="Y153" s="2" t="s">
        <v>507</v>
      </c>
      <c r="Z153" s="2" t="s">
        <v>508</v>
      </c>
      <c r="AA153" s="2"/>
    </row>
    <row r="154" customFormat="false" ht="15" hidden="false" customHeight="false" outlineLevel="0" collapsed="false">
      <c r="A154" s="2" t="s">
        <v>29</v>
      </c>
      <c r="B154" s="2" t="s">
        <v>63</v>
      </c>
      <c r="C154" s="2" t="s">
        <v>509</v>
      </c>
      <c r="D154" s="2" t="s">
        <v>510</v>
      </c>
      <c r="E154" s="2" t="n">
        <v>49</v>
      </c>
      <c r="F154" s="2" t="n">
        <v>150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2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/>
      <c r="Z154" s="2" t="s">
        <v>491</v>
      </c>
      <c r="AA154" s="2"/>
    </row>
    <row r="155" customFormat="false" ht="15" hidden="false" customHeight="false" outlineLevel="0" collapsed="false">
      <c r="A155" s="2" t="s">
        <v>29</v>
      </c>
      <c r="B155" s="2" t="s">
        <v>63</v>
      </c>
      <c r="C155" s="2" t="s">
        <v>511</v>
      </c>
      <c r="D155" s="2" t="s">
        <v>512</v>
      </c>
      <c r="E155" s="2" t="n">
        <v>63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1</v>
      </c>
      <c r="Y155" s="2" t="s">
        <v>513</v>
      </c>
      <c r="Z155" s="2"/>
      <c r="AA155" s="2"/>
    </row>
    <row r="156" customFormat="false" ht="15" hidden="false" customHeight="false" outlineLevel="0" collapsed="false">
      <c r="A156" s="2" t="s">
        <v>29</v>
      </c>
      <c r="B156" s="2" t="s">
        <v>63</v>
      </c>
      <c r="C156" s="2" t="s">
        <v>514</v>
      </c>
      <c r="D156" s="2" t="s">
        <v>515</v>
      </c>
      <c r="E156" s="2" t="n">
        <v>84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1</v>
      </c>
      <c r="Y156" s="2" t="s">
        <v>516</v>
      </c>
      <c r="Z156" s="2"/>
      <c r="AA156" s="2"/>
    </row>
    <row r="157" customFormat="false" ht="15" hidden="false" customHeight="false" outlineLevel="0" collapsed="false">
      <c r="A157" s="2" t="s">
        <v>29</v>
      </c>
      <c r="B157" s="2" t="s">
        <v>63</v>
      </c>
      <c r="C157" s="2" t="s">
        <v>517</v>
      </c>
      <c r="D157" s="2" t="s">
        <v>518</v>
      </c>
      <c r="E157" s="2" t="n">
        <v>49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1</v>
      </c>
      <c r="Y157" s="2" t="s">
        <v>519</v>
      </c>
      <c r="Z157" s="2"/>
      <c r="AA157" s="2"/>
    </row>
    <row r="158" customFormat="false" ht="15" hidden="false" customHeight="false" outlineLevel="0" collapsed="false">
      <c r="A158" s="2" t="s">
        <v>29</v>
      </c>
      <c r="B158" s="2" t="s">
        <v>63</v>
      </c>
      <c r="C158" s="2" t="s">
        <v>520</v>
      </c>
      <c r="D158" s="2" t="s">
        <v>521</v>
      </c>
      <c r="E158" s="2" t="n">
        <v>105</v>
      </c>
      <c r="F158" s="2" t="n">
        <v>0</v>
      </c>
      <c r="G158" s="2" t="n">
        <v>0</v>
      </c>
      <c r="H158" s="2" t="n">
        <v>5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2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/>
      <c r="Z158" s="2"/>
      <c r="AA158" s="2"/>
    </row>
    <row r="159" customFormat="false" ht="15" hidden="false" customHeight="false" outlineLevel="0" collapsed="false">
      <c r="A159" s="2" t="s">
        <v>29</v>
      </c>
      <c r="B159" s="2" t="s">
        <v>45</v>
      </c>
      <c r="C159" s="2" t="s">
        <v>522</v>
      </c>
      <c r="D159" s="2" t="s">
        <v>523</v>
      </c>
      <c r="E159" s="2" t="n">
        <v>70</v>
      </c>
      <c r="F159" s="2" t="n">
        <v>120</v>
      </c>
      <c r="G159" s="2" t="n">
        <v>5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/>
      <c r="Z159" s="2"/>
      <c r="AA159" s="2"/>
    </row>
    <row r="160" customFormat="false" ht="15" hidden="false" customHeight="false" outlineLevel="0" collapsed="false">
      <c r="A160" s="2" t="s">
        <v>29</v>
      </c>
      <c r="B160" s="2" t="s">
        <v>45</v>
      </c>
      <c r="C160" s="2" t="s">
        <v>524</v>
      </c>
      <c r="D160" s="2" t="s">
        <v>525</v>
      </c>
      <c r="E160" s="2" t="n">
        <v>70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1</v>
      </c>
      <c r="Y160" s="2" t="s">
        <v>526</v>
      </c>
      <c r="Z160" s="2"/>
      <c r="AA160" s="2"/>
    </row>
    <row r="161" customFormat="false" ht="15" hidden="false" customHeight="false" outlineLevel="0" collapsed="false">
      <c r="A161" s="2" t="s">
        <v>29</v>
      </c>
      <c r="B161" s="2" t="s">
        <v>45</v>
      </c>
      <c r="C161" s="2" t="s">
        <v>527</v>
      </c>
      <c r="D161" s="2" t="s">
        <v>528</v>
      </c>
      <c r="E161" s="2" t="n">
        <v>70</v>
      </c>
      <c r="F161" s="2" t="n">
        <v>0</v>
      </c>
      <c r="G161" s="2" t="n">
        <v>0</v>
      </c>
      <c r="H161" s="2" t="n">
        <v>5</v>
      </c>
      <c r="I161" s="2" t="n">
        <v>0</v>
      </c>
      <c r="J161" s="2" t="n">
        <v>25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/>
      <c r="Z161" s="2"/>
      <c r="AA161" s="2"/>
    </row>
    <row r="162" customFormat="false" ht="15" hidden="false" customHeight="false" outlineLevel="0" collapsed="false">
      <c r="A162" s="2" t="s">
        <v>29</v>
      </c>
      <c r="B162" s="2" t="s">
        <v>45</v>
      </c>
      <c r="C162" s="2" t="s">
        <v>529</v>
      </c>
      <c r="D162" s="2" t="s">
        <v>530</v>
      </c>
      <c r="E162" s="2" t="n">
        <v>105</v>
      </c>
      <c r="F162" s="2" t="n">
        <v>50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7</v>
      </c>
      <c r="X162" s="2" t="n">
        <v>0</v>
      </c>
      <c r="Y162" s="2"/>
      <c r="Z162" s="2"/>
      <c r="AA162" s="2"/>
    </row>
    <row r="163" customFormat="false" ht="15" hidden="false" customHeight="false" outlineLevel="0" collapsed="false">
      <c r="A163" s="2" t="s">
        <v>29</v>
      </c>
      <c r="B163" s="2" t="s">
        <v>64</v>
      </c>
      <c r="C163" s="2" t="s">
        <v>531</v>
      </c>
      <c r="D163" s="2" t="s">
        <v>360</v>
      </c>
      <c r="E163" s="2" t="n">
        <v>49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2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/>
      <c r="Z163" s="2"/>
      <c r="AA163" s="2"/>
    </row>
    <row r="164" customFormat="false" ht="15" hidden="false" customHeight="false" outlineLevel="0" collapsed="false">
      <c r="A164" s="2" t="s">
        <v>29</v>
      </c>
      <c r="B164" s="2" t="s">
        <v>64</v>
      </c>
      <c r="C164" s="2" t="s">
        <v>532</v>
      </c>
      <c r="D164" s="2" t="s">
        <v>533</v>
      </c>
      <c r="E164" s="2" t="n">
        <v>63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1</v>
      </c>
      <c r="Y164" s="2" t="s">
        <v>534</v>
      </c>
      <c r="Z164" s="2" t="s">
        <v>535</v>
      </c>
      <c r="AA164" s="2" t="s">
        <v>536</v>
      </c>
    </row>
    <row r="165" customFormat="false" ht="15" hidden="false" customHeight="false" outlineLevel="0" collapsed="false">
      <c r="A165" s="2" t="s">
        <v>29</v>
      </c>
      <c r="B165" s="2" t="s">
        <v>64</v>
      </c>
      <c r="C165" s="2" t="s">
        <v>537</v>
      </c>
      <c r="D165" s="2" t="s">
        <v>538</v>
      </c>
      <c r="E165" s="2" t="n">
        <v>49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2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/>
      <c r="Z165" s="2"/>
      <c r="AA165" s="2"/>
    </row>
    <row r="166" customFormat="false" ht="15" hidden="false" customHeight="false" outlineLevel="0" collapsed="false">
      <c r="A166" s="2" t="s">
        <v>29</v>
      </c>
      <c r="B166" s="2" t="s">
        <v>64</v>
      </c>
      <c r="C166" s="2" t="s">
        <v>539</v>
      </c>
      <c r="D166" s="2" t="s">
        <v>540</v>
      </c>
      <c r="E166" s="2" t="n">
        <v>49</v>
      </c>
      <c r="F166" s="2" t="n">
        <v>100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/>
      <c r="Z166" s="2" t="s">
        <v>535</v>
      </c>
      <c r="AA166" s="2"/>
    </row>
    <row r="167" customFormat="false" ht="15" hidden="false" customHeight="false" outlineLevel="0" collapsed="false">
      <c r="A167" s="2" t="s">
        <v>29</v>
      </c>
      <c r="B167" s="2" t="s">
        <v>64</v>
      </c>
      <c r="C167" s="2" t="s">
        <v>541</v>
      </c>
      <c r="D167" s="2" t="s">
        <v>542</v>
      </c>
      <c r="E167" s="2" t="n">
        <v>49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1</v>
      </c>
      <c r="Y167" s="2" t="s">
        <v>543</v>
      </c>
      <c r="Z167" s="2" t="s">
        <v>544</v>
      </c>
      <c r="AA167" s="2"/>
    </row>
    <row r="168" customFormat="false" ht="15" hidden="false" customHeight="false" outlineLevel="0" collapsed="false">
      <c r="A168" s="2" t="s">
        <v>29</v>
      </c>
      <c r="B168" s="2" t="s">
        <v>64</v>
      </c>
      <c r="C168" s="2" t="s">
        <v>545</v>
      </c>
      <c r="D168" s="2" t="s">
        <v>546</v>
      </c>
      <c r="E168" s="2" t="n">
        <v>84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1</v>
      </c>
      <c r="Y168" s="2" t="s">
        <v>547</v>
      </c>
      <c r="Z168" s="2"/>
      <c r="AA168" s="2"/>
    </row>
    <row r="169" customFormat="false" ht="15" hidden="false" customHeight="false" outlineLevel="0" collapsed="false">
      <c r="A169" s="2" t="s">
        <v>29</v>
      </c>
      <c r="B169" s="2" t="s">
        <v>64</v>
      </c>
      <c r="C169" s="2" t="s">
        <v>548</v>
      </c>
      <c r="D169" s="2" t="s">
        <v>549</v>
      </c>
      <c r="E169" s="2" t="n">
        <v>77</v>
      </c>
      <c r="F169" s="2" t="n">
        <v>50</v>
      </c>
      <c r="G169" s="2" t="n">
        <v>5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/>
      <c r="Z169" s="2"/>
      <c r="AA169" s="2"/>
    </row>
    <row r="170" customFormat="false" ht="15" hidden="false" customHeight="false" outlineLevel="0" collapsed="false">
      <c r="A170" s="2" t="s">
        <v>29</v>
      </c>
      <c r="B170" s="2" t="s">
        <v>64</v>
      </c>
      <c r="C170" s="2" t="s">
        <v>550</v>
      </c>
      <c r="D170" s="2" t="s">
        <v>551</v>
      </c>
      <c r="E170" s="2" t="n">
        <v>98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1</v>
      </c>
      <c r="Y170" s="2" t="s">
        <v>552</v>
      </c>
      <c r="Z170" s="2"/>
      <c r="AA170" s="2"/>
    </row>
    <row r="171" customFormat="false" ht="15" hidden="false" customHeight="false" outlineLevel="0" collapsed="false">
      <c r="A171" s="2" t="s">
        <v>29</v>
      </c>
      <c r="B171" s="2" t="s">
        <v>65</v>
      </c>
      <c r="C171" s="2" t="s">
        <v>536</v>
      </c>
      <c r="D171" s="2" t="s">
        <v>553</v>
      </c>
      <c r="E171" s="2" t="n">
        <v>63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1</v>
      </c>
      <c r="Y171" s="2" t="s">
        <v>554</v>
      </c>
      <c r="Z171" s="2" t="s">
        <v>494</v>
      </c>
      <c r="AA171" s="2" t="s">
        <v>532</v>
      </c>
    </row>
    <row r="172" customFormat="false" ht="15" hidden="false" customHeight="false" outlineLevel="0" collapsed="false">
      <c r="A172" s="2" t="s">
        <v>29</v>
      </c>
      <c r="B172" s="2" t="s">
        <v>65</v>
      </c>
      <c r="C172" s="2" t="s">
        <v>555</v>
      </c>
      <c r="D172" s="2" t="s">
        <v>556</v>
      </c>
      <c r="E172" s="2" t="n">
        <v>49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2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/>
      <c r="Z172" s="2" t="s">
        <v>500</v>
      </c>
      <c r="AA172" s="2"/>
    </row>
    <row r="173" customFormat="false" ht="15" hidden="false" customHeight="false" outlineLevel="0" collapsed="false">
      <c r="A173" s="2" t="s">
        <v>29</v>
      </c>
      <c r="B173" s="2" t="s">
        <v>65</v>
      </c>
      <c r="C173" s="2" t="s">
        <v>557</v>
      </c>
      <c r="D173" s="2" t="s">
        <v>558</v>
      </c>
      <c r="E173" s="2" t="n">
        <v>49</v>
      </c>
      <c r="F173" s="2" t="n">
        <v>100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/>
      <c r="Z173" s="2"/>
      <c r="AA173" s="2"/>
    </row>
    <row r="174" customFormat="false" ht="15" hidden="false" customHeight="false" outlineLevel="0" collapsed="false">
      <c r="A174" s="2" t="s">
        <v>29</v>
      </c>
      <c r="B174" s="2" t="s">
        <v>65</v>
      </c>
      <c r="C174" s="2" t="s">
        <v>559</v>
      </c>
      <c r="D174" s="2" t="s">
        <v>560</v>
      </c>
      <c r="E174" s="2" t="n">
        <v>49</v>
      </c>
      <c r="F174" s="2" t="n">
        <v>100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/>
      <c r="Z174" s="2" t="s">
        <v>500</v>
      </c>
      <c r="AA174" s="2"/>
    </row>
    <row r="175" customFormat="false" ht="15" hidden="false" customHeight="false" outlineLevel="0" collapsed="false">
      <c r="A175" s="2" t="s">
        <v>29</v>
      </c>
      <c r="B175" s="2" t="s">
        <v>65</v>
      </c>
      <c r="C175" s="2" t="s">
        <v>561</v>
      </c>
      <c r="D175" s="2" t="s">
        <v>562</v>
      </c>
      <c r="E175" s="2" t="n">
        <v>84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1</v>
      </c>
      <c r="Y175" s="2" t="s">
        <v>563</v>
      </c>
      <c r="Z175" s="2"/>
      <c r="AA175" s="2"/>
    </row>
    <row r="176" customFormat="false" ht="15" hidden="false" customHeight="false" outlineLevel="0" collapsed="false">
      <c r="A176" s="2" t="s">
        <v>29</v>
      </c>
      <c r="B176" s="2" t="s">
        <v>65</v>
      </c>
      <c r="C176" s="2" t="s">
        <v>564</v>
      </c>
      <c r="D176" s="2" t="s">
        <v>565</v>
      </c>
      <c r="E176" s="2" t="n">
        <v>77</v>
      </c>
      <c r="F176" s="2" t="n">
        <v>100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2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/>
      <c r="Z176" s="2"/>
      <c r="AA176" s="2"/>
    </row>
    <row r="177" customFormat="false" ht="15" hidden="false" customHeight="false" outlineLevel="0" collapsed="false">
      <c r="A177" s="2" t="s">
        <v>29</v>
      </c>
      <c r="B177" s="2" t="s">
        <v>65</v>
      </c>
      <c r="C177" s="2" t="s">
        <v>566</v>
      </c>
      <c r="D177" s="2" t="s">
        <v>567</v>
      </c>
      <c r="E177" s="2" t="n">
        <v>98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1</v>
      </c>
      <c r="Y177" s="2" t="s">
        <v>568</v>
      </c>
      <c r="Z177" s="2"/>
      <c r="AA177" s="2"/>
    </row>
    <row r="178" customFormat="false" ht="15" hidden="false" customHeight="false" outlineLevel="0" collapsed="false">
      <c r="A178" s="2" t="s">
        <v>29</v>
      </c>
      <c r="B178" s="2" t="s">
        <v>66</v>
      </c>
      <c r="C178" s="2" t="s">
        <v>569</v>
      </c>
      <c r="D178" s="2" t="s">
        <v>570</v>
      </c>
      <c r="E178" s="2" t="n">
        <v>49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2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s">
        <v>571</v>
      </c>
      <c r="Z178" s="2"/>
      <c r="AA178" s="2"/>
    </row>
    <row r="179" customFormat="false" ht="15" hidden="false" customHeight="false" outlineLevel="0" collapsed="false">
      <c r="A179" s="2" t="s">
        <v>29</v>
      </c>
      <c r="B179" s="2" t="s">
        <v>66</v>
      </c>
      <c r="C179" s="2" t="s">
        <v>572</v>
      </c>
      <c r="D179" s="2" t="s">
        <v>573</v>
      </c>
      <c r="E179" s="2" t="n">
        <v>49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1</v>
      </c>
      <c r="O179" s="2" t="n">
        <v>0</v>
      </c>
      <c r="P179" s="2" t="n">
        <v>2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/>
      <c r="Z179" s="2" t="s">
        <v>574</v>
      </c>
      <c r="AA179" s="2"/>
    </row>
    <row r="180" customFormat="false" ht="15" hidden="false" customHeight="false" outlineLevel="0" collapsed="false">
      <c r="A180" s="2" t="s">
        <v>29</v>
      </c>
      <c r="B180" s="2" t="s">
        <v>66</v>
      </c>
      <c r="C180" s="2" t="s">
        <v>575</v>
      </c>
      <c r="D180" s="2" t="s">
        <v>576</v>
      </c>
      <c r="E180" s="2" t="n">
        <v>63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2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1</v>
      </c>
      <c r="Y180" s="2" t="s">
        <v>577</v>
      </c>
      <c r="Z180" s="2" t="s">
        <v>574</v>
      </c>
      <c r="AA180" s="2"/>
    </row>
    <row r="181" customFormat="false" ht="15" hidden="false" customHeight="false" outlineLevel="0" collapsed="false">
      <c r="A181" s="2" t="s">
        <v>29</v>
      </c>
      <c r="B181" s="2" t="s">
        <v>66</v>
      </c>
      <c r="C181" s="2" t="s">
        <v>578</v>
      </c>
      <c r="D181" s="2" t="s">
        <v>579</v>
      </c>
      <c r="E181" s="2" t="n">
        <v>49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4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/>
      <c r="Z181" s="2" t="s">
        <v>544</v>
      </c>
      <c r="AA181" s="2"/>
    </row>
    <row r="182" customFormat="false" ht="15" hidden="false" customHeight="false" outlineLevel="0" collapsed="false">
      <c r="A182" s="2" t="s">
        <v>29</v>
      </c>
      <c r="B182" s="2" t="s">
        <v>66</v>
      </c>
      <c r="C182" s="2" t="s">
        <v>580</v>
      </c>
      <c r="D182" s="2" t="s">
        <v>581</v>
      </c>
      <c r="E182" s="2" t="n">
        <v>49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2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/>
      <c r="Z182" s="2"/>
      <c r="AA182" s="2"/>
    </row>
    <row r="183" customFormat="false" ht="15" hidden="false" customHeight="false" outlineLevel="0" collapsed="false">
      <c r="A183" s="2" t="s">
        <v>29</v>
      </c>
      <c r="B183" s="2" t="s">
        <v>66</v>
      </c>
      <c r="C183" s="2" t="s">
        <v>582</v>
      </c>
      <c r="D183" s="2" t="s">
        <v>583</v>
      </c>
      <c r="E183" s="2" t="n">
        <v>105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1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/>
      <c r="Z183" s="2"/>
      <c r="AA183" s="2"/>
    </row>
    <row r="184" customFormat="false" ht="15" hidden="false" customHeight="false" outlineLevel="0" collapsed="false">
      <c r="A184" s="2" t="s">
        <v>29</v>
      </c>
      <c r="B184" s="2" t="s">
        <v>67</v>
      </c>
      <c r="C184" s="2" t="s">
        <v>584</v>
      </c>
      <c r="D184" s="2" t="s">
        <v>585</v>
      </c>
      <c r="E184" s="2" t="n">
        <v>49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1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/>
      <c r="Z184" s="2"/>
      <c r="AA184" s="2"/>
    </row>
    <row r="185" customFormat="false" ht="15" hidden="false" customHeight="false" outlineLevel="0" collapsed="false">
      <c r="A185" s="2" t="s">
        <v>29</v>
      </c>
      <c r="B185" s="2" t="s">
        <v>67</v>
      </c>
      <c r="C185" s="2" t="s">
        <v>586</v>
      </c>
      <c r="D185" s="2" t="s">
        <v>587</v>
      </c>
      <c r="E185" s="2" t="n">
        <v>49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1</v>
      </c>
      <c r="Y185" s="2" t="s">
        <v>588</v>
      </c>
      <c r="Z185" s="2"/>
      <c r="AA185" s="2"/>
    </row>
    <row r="186" customFormat="false" ht="15" hidden="false" customHeight="false" outlineLevel="0" collapsed="false">
      <c r="A186" s="2" t="s">
        <v>29</v>
      </c>
      <c r="B186" s="2" t="s">
        <v>67</v>
      </c>
      <c r="C186" s="2" t="s">
        <v>589</v>
      </c>
      <c r="D186" s="2" t="s">
        <v>590</v>
      </c>
      <c r="E186" s="2" t="n">
        <v>63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2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/>
      <c r="Z186" s="2" t="s">
        <v>574</v>
      </c>
      <c r="AA186" s="2"/>
    </row>
    <row r="187" customFormat="false" ht="15" hidden="false" customHeight="false" outlineLevel="0" collapsed="false">
      <c r="A187" s="2" t="s">
        <v>29</v>
      </c>
      <c r="B187" s="2" t="s">
        <v>67</v>
      </c>
      <c r="C187" s="2" t="s">
        <v>591</v>
      </c>
      <c r="D187" s="2" t="s">
        <v>592</v>
      </c>
      <c r="E187" s="2" t="n">
        <v>49</v>
      </c>
      <c r="F187" s="2" t="n">
        <v>0</v>
      </c>
      <c r="G187" s="2" t="n">
        <v>0</v>
      </c>
      <c r="H187" s="2" t="n">
        <v>0</v>
      </c>
      <c r="I187" s="2" t="n">
        <v>100000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/>
      <c r="Z187" s="2"/>
      <c r="AA187" s="2"/>
    </row>
    <row r="188" customFormat="false" ht="15" hidden="false" customHeight="false" outlineLevel="0" collapsed="false">
      <c r="A188" s="2" t="s">
        <v>29</v>
      </c>
      <c r="B188" s="2" t="s">
        <v>67</v>
      </c>
      <c r="C188" s="2" t="s">
        <v>593</v>
      </c>
      <c r="D188" s="2" t="s">
        <v>594</v>
      </c>
      <c r="E188" s="2" t="n">
        <v>63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1</v>
      </c>
      <c r="Y188" s="2" t="s">
        <v>595</v>
      </c>
      <c r="Z188" s="2"/>
      <c r="AA188" s="2"/>
    </row>
    <row r="189" customFormat="false" ht="15" hidden="false" customHeight="false" outlineLevel="0" collapsed="false">
      <c r="A189" s="2" t="s">
        <v>29</v>
      </c>
      <c r="B189" s="2" t="s">
        <v>67</v>
      </c>
      <c r="C189" s="2" t="s">
        <v>596</v>
      </c>
      <c r="D189" s="2" t="s">
        <v>597</v>
      </c>
      <c r="E189" s="2" t="n">
        <v>84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50</v>
      </c>
      <c r="K189" s="2" t="n">
        <v>0</v>
      </c>
      <c r="L189" s="2" t="n">
        <v>0</v>
      </c>
      <c r="M189" s="2" t="n">
        <v>0</v>
      </c>
      <c r="N189" s="2" t="n">
        <v>2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/>
      <c r="Z189" s="2"/>
      <c r="AA189" s="2"/>
    </row>
    <row r="190" customFormat="false" ht="15" hidden="false" customHeight="false" outlineLevel="0" collapsed="false">
      <c r="A190" s="2" t="s">
        <v>29</v>
      </c>
      <c r="B190" s="2" t="s">
        <v>68</v>
      </c>
      <c r="C190" s="2" t="s">
        <v>598</v>
      </c>
      <c r="D190" s="2" t="s">
        <v>599</v>
      </c>
      <c r="E190" s="2" t="n">
        <v>49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2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/>
      <c r="Z190" s="2"/>
      <c r="AA190" s="2"/>
    </row>
    <row r="191" customFormat="false" ht="15" hidden="false" customHeight="false" outlineLevel="0" collapsed="false">
      <c r="A191" s="2" t="s">
        <v>29</v>
      </c>
      <c r="B191" s="2" t="s">
        <v>68</v>
      </c>
      <c r="C191" s="2" t="s">
        <v>600</v>
      </c>
      <c r="D191" s="2" t="s">
        <v>601</v>
      </c>
      <c r="E191" s="2" t="n">
        <v>49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1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/>
      <c r="Z191" s="2"/>
      <c r="AA191" s="2"/>
    </row>
    <row r="192" customFormat="false" ht="15" hidden="false" customHeight="false" outlineLevel="0" collapsed="false">
      <c r="A192" s="2" t="s">
        <v>29</v>
      </c>
      <c r="B192" s="2" t="s">
        <v>68</v>
      </c>
      <c r="C192" s="2" t="s">
        <v>602</v>
      </c>
      <c r="D192" s="2" t="s">
        <v>603</v>
      </c>
      <c r="E192" s="2" t="n">
        <v>49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50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/>
      <c r="Z192" s="2"/>
      <c r="AA192" s="2"/>
    </row>
    <row r="193" customFormat="false" ht="15" hidden="false" customHeight="false" outlineLevel="0" collapsed="false">
      <c r="A193" s="2" t="s">
        <v>29</v>
      </c>
      <c r="B193" s="2" t="s">
        <v>68</v>
      </c>
      <c r="C193" s="2" t="s">
        <v>604</v>
      </c>
      <c r="D193" s="2" t="s">
        <v>605</v>
      </c>
      <c r="E193" s="2" t="n">
        <v>63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2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120</v>
      </c>
      <c r="W193" s="2" t="n">
        <v>0</v>
      </c>
      <c r="X193" s="2" t="n">
        <v>0</v>
      </c>
      <c r="Y193" s="2"/>
      <c r="Z193" s="2"/>
      <c r="AA193" s="2"/>
    </row>
    <row r="194" customFormat="false" ht="15" hidden="false" customHeight="false" outlineLevel="0" collapsed="false">
      <c r="A194" s="2" t="s">
        <v>29</v>
      </c>
      <c r="B194" s="2" t="s">
        <v>68</v>
      </c>
      <c r="C194" s="2" t="s">
        <v>606</v>
      </c>
      <c r="D194" s="2" t="s">
        <v>607</v>
      </c>
      <c r="E194" s="2" t="n">
        <v>84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3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/>
      <c r="Z194" s="2"/>
      <c r="AA194" s="2"/>
    </row>
    <row r="195" customFormat="false" ht="15" hidden="false" customHeight="false" outlineLevel="0" collapsed="false">
      <c r="A195" s="2" t="s">
        <v>29</v>
      </c>
      <c r="B195" s="2" t="s">
        <v>68</v>
      </c>
      <c r="C195" s="2" t="s">
        <v>608</v>
      </c>
      <c r="D195" s="2" t="s">
        <v>609</v>
      </c>
      <c r="E195" s="2" t="n">
        <v>84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1</v>
      </c>
      <c r="Y195" s="2" t="s">
        <v>610</v>
      </c>
      <c r="Z195" s="2"/>
      <c r="AA195" s="2"/>
    </row>
    <row r="196" customFormat="false" ht="15" hidden="false" customHeight="false" outlineLevel="0" collapsed="false">
      <c r="A196" s="2" t="s">
        <v>29</v>
      </c>
      <c r="B196" s="2" t="s">
        <v>69</v>
      </c>
      <c r="C196" s="2" t="s">
        <v>611</v>
      </c>
      <c r="D196" s="2" t="s">
        <v>612</v>
      </c>
      <c r="E196" s="2" t="n">
        <v>35</v>
      </c>
      <c r="F196" s="2" t="n">
        <v>50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/>
      <c r="Z196" s="2"/>
      <c r="AA196" s="2"/>
    </row>
    <row r="197" customFormat="false" ht="15" hidden="false" customHeight="false" outlineLevel="0" collapsed="false">
      <c r="A197" s="2" t="s">
        <v>29</v>
      </c>
      <c r="B197" s="2" t="s">
        <v>69</v>
      </c>
      <c r="C197" s="2" t="s">
        <v>613</v>
      </c>
      <c r="D197" s="2" t="s">
        <v>614</v>
      </c>
      <c r="E197" s="2" t="n">
        <v>49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1</v>
      </c>
      <c r="Y197" s="2" t="s">
        <v>615</v>
      </c>
      <c r="Z197" s="2"/>
      <c r="AA197" s="2"/>
    </row>
    <row r="198" customFormat="false" ht="15" hidden="false" customHeight="false" outlineLevel="0" collapsed="false">
      <c r="A198" s="2" t="s">
        <v>29</v>
      </c>
      <c r="B198" s="2" t="s">
        <v>69</v>
      </c>
      <c r="C198" s="2" t="s">
        <v>616</v>
      </c>
      <c r="D198" s="2" t="s">
        <v>617</v>
      </c>
      <c r="E198" s="2" t="n">
        <v>49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2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/>
      <c r="Z198" s="2" t="s">
        <v>618</v>
      </c>
      <c r="AA198" s="2" t="s">
        <v>619</v>
      </c>
    </row>
    <row r="199" customFormat="false" ht="15" hidden="false" customHeight="false" outlineLevel="0" collapsed="false">
      <c r="A199" s="2" t="s">
        <v>29</v>
      </c>
      <c r="B199" s="2" t="s">
        <v>69</v>
      </c>
      <c r="C199" s="2" t="s">
        <v>619</v>
      </c>
      <c r="D199" s="2" t="s">
        <v>620</v>
      </c>
      <c r="E199" s="2" t="n">
        <v>49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2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/>
      <c r="Z199" s="2" t="s">
        <v>621</v>
      </c>
      <c r="AA199" s="2" t="s">
        <v>616</v>
      </c>
    </row>
    <row r="200" customFormat="false" ht="15" hidden="false" customHeight="false" outlineLevel="0" collapsed="false">
      <c r="A200" s="2" t="s">
        <v>29</v>
      </c>
      <c r="B200" s="2" t="s">
        <v>69</v>
      </c>
      <c r="C200" s="2" t="s">
        <v>622</v>
      </c>
      <c r="D200" s="2" t="s">
        <v>623</v>
      </c>
      <c r="E200" s="2" t="n">
        <v>63</v>
      </c>
      <c r="F200" s="2" t="n">
        <v>100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/>
      <c r="Z200" s="2" t="s">
        <v>488</v>
      </c>
      <c r="AA200" s="2"/>
    </row>
    <row r="201" customFormat="false" ht="15" hidden="false" customHeight="false" outlineLevel="0" collapsed="false">
      <c r="A201" s="2" t="s">
        <v>29</v>
      </c>
      <c r="B201" s="2" t="s">
        <v>69</v>
      </c>
      <c r="C201" s="2" t="s">
        <v>624</v>
      </c>
      <c r="D201" s="2" t="s">
        <v>625</v>
      </c>
      <c r="E201" s="2" t="n">
        <v>84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1</v>
      </c>
      <c r="Y201" s="2" t="s">
        <v>626</v>
      </c>
      <c r="Z201" s="2"/>
      <c r="AA201" s="2"/>
    </row>
    <row r="202" customFormat="false" ht="15" hidden="false" customHeight="false" outlineLevel="0" collapsed="false">
      <c r="A202" s="2" t="s">
        <v>29</v>
      </c>
      <c r="B202" s="2" t="s">
        <v>70</v>
      </c>
      <c r="C202" s="2" t="s">
        <v>627</v>
      </c>
      <c r="D202" s="2" t="s">
        <v>628</v>
      </c>
      <c r="E202" s="2" t="n">
        <v>49</v>
      </c>
      <c r="F202" s="2" t="n">
        <v>50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/>
      <c r="Z202" s="2" t="s">
        <v>629</v>
      </c>
      <c r="AA202" s="2"/>
    </row>
    <row r="203" customFormat="false" ht="15" hidden="false" customHeight="false" outlineLevel="0" collapsed="false">
      <c r="A203" s="2" t="s">
        <v>29</v>
      </c>
      <c r="B203" s="2" t="s">
        <v>70</v>
      </c>
      <c r="C203" s="2" t="s">
        <v>630</v>
      </c>
      <c r="D203" s="2" t="s">
        <v>631</v>
      </c>
      <c r="E203" s="2" t="n">
        <v>49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1</v>
      </c>
      <c r="Y203" s="2" t="s">
        <v>632</v>
      </c>
      <c r="Z203" s="2"/>
      <c r="AA203" s="2"/>
    </row>
    <row r="204" customFormat="false" ht="15" hidden="false" customHeight="false" outlineLevel="0" collapsed="false">
      <c r="A204" s="2" t="s">
        <v>29</v>
      </c>
      <c r="B204" s="2" t="s">
        <v>70</v>
      </c>
      <c r="C204" s="2" t="s">
        <v>633</v>
      </c>
      <c r="D204" s="2" t="s">
        <v>634</v>
      </c>
      <c r="E204" s="2" t="n">
        <v>63</v>
      </c>
      <c r="F204" s="2" t="n">
        <v>50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/>
      <c r="Z204" s="2"/>
      <c r="AA204" s="2"/>
    </row>
    <row r="205" customFormat="false" ht="15" hidden="false" customHeight="false" outlineLevel="0" collapsed="false">
      <c r="A205" s="2" t="s">
        <v>29</v>
      </c>
      <c r="B205" s="2" t="s">
        <v>70</v>
      </c>
      <c r="C205" s="2" t="s">
        <v>635</v>
      </c>
      <c r="D205" s="2" t="s">
        <v>636</v>
      </c>
      <c r="E205" s="2" t="n">
        <v>84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1</v>
      </c>
      <c r="Y205" s="2" t="s">
        <v>637</v>
      </c>
      <c r="Z205" s="2"/>
      <c r="AA205" s="2"/>
    </row>
    <row r="206" customFormat="false" ht="15" hidden="false" customHeight="false" outlineLevel="0" collapsed="false">
      <c r="A206" s="2" t="s">
        <v>29</v>
      </c>
      <c r="B206" s="2" t="s">
        <v>70</v>
      </c>
      <c r="C206" s="2" t="s">
        <v>638</v>
      </c>
      <c r="D206" s="2" t="s">
        <v>639</v>
      </c>
      <c r="E206" s="2" t="n">
        <v>63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2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/>
      <c r="Z206" s="2" t="s">
        <v>640</v>
      </c>
      <c r="AA206" s="2"/>
    </row>
    <row r="207" customFormat="false" ht="15" hidden="false" customHeight="false" outlineLevel="0" collapsed="false">
      <c r="A207" s="2" t="s">
        <v>29</v>
      </c>
      <c r="B207" s="2" t="s">
        <v>70</v>
      </c>
      <c r="C207" s="2" t="s">
        <v>641</v>
      </c>
      <c r="D207" s="2" t="s">
        <v>642</v>
      </c>
      <c r="E207" s="2" t="n">
        <v>105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1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/>
      <c r="Z207" s="2"/>
      <c r="AA207" s="2"/>
    </row>
    <row r="208" customFormat="false" ht="15" hidden="false" customHeight="false" outlineLevel="0" collapsed="false">
      <c r="A208" s="2" t="s">
        <v>30</v>
      </c>
      <c r="B208" s="2" t="s">
        <v>71</v>
      </c>
      <c r="C208" s="2" t="s">
        <v>643</v>
      </c>
      <c r="D208" s="2" t="s">
        <v>644</v>
      </c>
      <c r="E208" s="2" t="n">
        <v>49</v>
      </c>
      <c r="F208" s="2" t="n">
        <v>100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/>
      <c r="Z208" s="2"/>
      <c r="AA208" s="2"/>
    </row>
    <row r="209" customFormat="false" ht="15" hidden="false" customHeight="false" outlineLevel="0" collapsed="false">
      <c r="A209" s="2" t="s">
        <v>30</v>
      </c>
      <c r="B209" s="2" t="s">
        <v>71</v>
      </c>
      <c r="C209" s="2" t="s">
        <v>645</v>
      </c>
      <c r="D209" s="2" t="s">
        <v>646</v>
      </c>
      <c r="E209" s="2" t="n">
        <v>49</v>
      </c>
      <c r="F209" s="2" t="n">
        <v>100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s">
        <v>647</v>
      </c>
      <c r="Z209" s="2"/>
      <c r="AA209" s="2"/>
    </row>
    <row r="210" customFormat="false" ht="15" hidden="false" customHeight="false" outlineLevel="0" collapsed="false">
      <c r="A210" s="2" t="s">
        <v>30</v>
      </c>
      <c r="B210" s="2" t="s">
        <v>71</v>
      </c>
      <c r="C210" s="2" t="s">
        <v>648</v>
      </c>
      <c r="D210" s="2" t="s">
        <v>649</v>
      </c>
      <c r="E210" s="2" t="n">
        <v>49</v>
      </c>
      <c r="F210" s="2" t="n">
        <v>100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/>
      <c r="Z210" s="2"/>
      <c r="AA210" s="2" t="s">
        <v>650</v>
      </c>
    </row>
    <row r="211" customFormat="false" ht="15" hidden="false" customHeight="false" outlineLevel="0" collapsed="false">
      <c r="A211" s="2" t="s">
        <v>30</v>
      </c>
      <c r="B211" s="2" t="s">
        <v>71</v>
      </c>
      <c r="C211" s="2" t="s">
        <v>651</v>
      </c>
      <c r="D211" s="2" t="s">
        <v>652</v>
      </c>
      <c r="E211" s="2" t="n">
        <v>49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1</v>
      </c>
      <c r="Y211" s="2" t="s">
        <v>653</v>
      </c>
      <c r="Z211" s="2"/>
      <c r="AA211" s="2"/>
    </row>
    <row r="212" customFormat="false" ht="15" hidden="false" customHeight="false" outlineLevel="0" collapsed="false">
      <c r="A212" s="2" t="s">
        <v>30</v>
      </c>
      <c r="B212" s="2" t="s">
        <v>71</v>
      </c>
      <c r="C212" s="2" t="s">
        <v>654</v>
      </c>
      <c r="D212" s="2" t="s">
        <v>655</v>
      </c>
      <c r="E212" s="2" t="n">
        <v>49</v>
      </c>
      <c r="F212" s="2" t="n">
        <v>100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/>
      <c r="Z212" s="2"/>
      <c r="AA212" s="2"/>
    </row>
    <row r="213" customFormat="false" ht="15" hidden="false" customHeight="false" outlineLevel="0" collapsed="false">
      <c r="A213" s="2" t="s">
        <v>30</v>
      </c>
      <c r="B213" s="2" t="s">
        <v>71</v>
      </c>
      <c r="C213" s="2" t="s">
        <v>656</v>
      </c>
      <c r="D213" s="2" t="s">
        <v>657</v>
      </c>
      <c r="E213" s="2" t="n">
        <v>63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1</v>
      </c>
      <c r="Y213" s="2" t="s">
        <v>658</v>
      </c>
      <c r="Z213" s="2"/>
      <c r="AA213" s="2"/>
    </row>
    <row r="214" customFormat="false" ht="15" hidden="false" customHeight="false" outlineLevel="0" collapsed="false">
      <c r="A214" s="2" t="s">
        <v>30</v>
      </c>
      <c r="B214" s="2" t="s">
        <v>71</v>
      </c>
      <c r="C214" s="2" t="s">
        <v>659</v>
      </c>
      <c r="D214" s="2" t="s">
        <v>660</v>
      </c>
      <c r="E214" s="2" t="n">
        <v>63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2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/>
      <c r="Z214" s="2"/>
      <c r="AA214" s="2"/>
    </row>
    <row r="215" customFormat="false" ht="15" hidden="false" customHeight="false" outlineLevel="0" collapsed="false">
      <c r="A215" s="2" t="s">
        <v>30</v>
      </c>
      <c r="B215" s="2" t="s">
        <v>71</v>
      </c>
      <c r="C215" s="2" t="s">
        <v>661</v>
      </c>
      <c r="D215" s="2" t="s">
        <v>662</v>
      </c>
      <c r="E215" s="2" t="n">
        <v>63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1</v>
      </c>
      <c r="Y215" s="2" t="s">
        <v>663</v>
      </c>
      <c r="Z215" s="2"/>
      <c r="AA215" s="2"/>
    </row>
    <row r="216" customFormat="false" ht="15" hidden="false" customHeight="false" outlineLevel="0" collapsed="false">
      <c r="A216" s="2" t="s">
        <v>30</v>
      </c>
      <c r="B216" s="2" t="s">
        <v>71</v>
      </c>
      <c r="C216" s="2" t="s">
        <v>664</v>
      </c>
      <c r="D216" s="2" t="s">
        <v>665</v>
      </c>
      <c r="E216" s="2" t="n">
        <v>105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/>
      <c r="Z216" s="2"/>
      <c r="AA216" s="2"/>
    </row>
    <row r="217" customFormat="false" ht="15" hidden="false" customHeight="false" outlineLevel="0" collapsed="false">
      <c r="A217" s="2" t="s">
        <v>30</v>
      </c>
      <c r="B217" s="2" t="s">
        <v>72</v>
      </c>
      <c r="C217" s="2" t="s">
        <v>650</v>
      </c>
      <c r="D217" s="2" t="s">
        <v>666</v>
      </c>
      <c r="E217" s="2" t="n">
        <v>35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/>
      <c r="Z217" s="2"/>
      <c r="AA217" s="2" t="s">
        <v>648</v>
      </c>
    </row>
    <row r="218" customFormat="false" ht="15" hidden="false" customHeight="false" outlineLevel="0" collapsed="false">
      <c r="A218" s="2" t="s">
        <v>30</v>
      </c>
      <c r="B218" s="2" t="s">
        <v>72</v>
      </c>
      <c r="C218" s="2" t="s">
        <v>667</v>
      </c>
      <c r="D218" s="2" t="s">
        <v>668</v>
      </c>
      <c r="E218" s="2" t="n">
        <v>49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1</v>
      </c>
      <c r="Y218" s="2" t="s">
        <v>669</v>
      </c>
      <c r="Z218" s="2"/>
      <c r="AA218" s="2"/>
    </row>
    <row r="219" customFormat="false" ht="15" hidden="false" customHeight="false" outlineLevel="0" collapsed="false">
      <c r="A219" s="2" t="s">
        <v>30</v>
      </c>
      <c r="B219" s="2" t="s">
        <v>72</v>
      </c>
      <c r="C219" s="2" t="s">
        <v>670</v>
      </c>
      <c r="D219" s="2" t="s">
        <v>671</v>
      </c>
      <c r="E219" s="2" t="n">
        <v>49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1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/>
      <c r="Z219" s="2"/>
      <c r="AA219" s="2"/>
    </row>
    <row r="220" customFormat="false" ht="15" hidden="false" customHeight="false" outlineLevel="0" collapsed="false">
      <c r="A220" s="2" t="s">
        <v>30</v>
      </c>
      <c r="B220" s="2" t="s">
        <v>72</v>
      </c>
      <c r="C220" s="2" t="s">
        <v>672</v>
      </c>
      <c r="D220" s="2" t="s">
        <v>673</v>
      </c>
      <c r="E220" s="2" t="n">
        <v>63</v>
      </c>
      <c r="F220" s="2" t="n">
        <v>100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/>
      <c r="Z220" s="2" t="s">
        <v>674</v>
      </c>
      <c r="AA220" s="2"/>
    </row>
    <row r="221" customFormat="false" ht="15" hidden="false" customHeight="false" outlineLevel="0" collapsed="false">
      <c r="A221" s="2" t="s">
        <v>30</v>
      </c>
      <c r="B221" s="2" t="s">
        <v>72</v>
      </c>
      <c r="C221" s="2" t="s">
        <v>675</v>
      </c>
      <c r="D221" s="2" t="s">
        <v>676</v>
      </c>
      <c r="E221" s="2" t="n">
        <v>63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25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2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/>
      <c r="Z221" s="2"/>
      <c r="AA221" s="2"/>
    </row>
    <row r="222" customFormat="false" ht="15" hidden="false" customHeight="false" outlineLevel="0" collapsed="false">
      <c r="A222" s="2" t="s">
        <v>30</v>
      </c>
      <c r="B222" s="2" t="s">
        <v>72</v>
      </c>
      <c r="C222" s="2" t="s">
        <v>677</v>
      </c>
      <c r="D222" s="2" t="s">
        <v>678</v>
      </c>
      <c r="E222" s="2" t="n">
        <v>84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1</v>
      </c>
      <c r="Y222" s="2" t="s">
        <v>679</v>
      </c>
      <c r="Z222" s="2"/>
      <c r="AA222" s="2"/>
    </row>
    <row r="223" customFormat="false" ht="15" hidden="false" customHeight="false" outlineLevel="0" collapsed="false">
      <c r="A223" s="2" t="s">
        <v>30</v>
      </c>
      <c r="B223" s="2" t="s">
        <v>72</v>
      </c>
      <c r="C223" s="2" t="s">
        <v>680</v>
      </c>
      <c r="D223" s="2" t="s">
        <v>681</v>
      </c>
      <c r="E223" s="2" t="n">
        <v>105</v>
      </c>
      <c r="F223" s="2" t="n">
        <v>0</v>
      </c>
      <c r="G223" s="2" t="n">
        <v>0</v>
      </c>
      <c r="H223" s="2" t="n">
        <v>10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1</v>
      </c>
      <c r="X223" s="2" t="n">
        <v>0</v>
      </c>
      <c r="Y223" s="2"/>
      <c r="Z223" s="2"/>
      <c r="AA223" s="2"/>
    </row>
    <row r="224" customFormat="false" ht="15" hidden="false" customHeight="false" outlineLevel="0" collapsed="false">
      <c r="A224" s="2" t="s">
        <v>30</v>
      </c>
      <c r="B224" s="2" t="s">
        <v>45</v>
      </c>
      <c r="C224" s="2" t="s">
        <v>682</v>
      </c>
      <c r="D224" s="2" t="s">
        <v>683</v>
      </c>
      <c r="E224" s="2" t="n">
        <v>70</v>
      </c>
      <c r="F224" s="2" t="n">
        <v>120</v>
      </c>
      <c r="G224" s="2" t="n">
        <v>5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/>
      <c r="Z224" s="2"/>
      <c r="AA224" s="2"/>
    </row>
    <row r="225" customFormat="false" ht="15" hidden="false" customHeight="false" outlineLevel="0" collapsed="false">
      <c r="A225" s="2" t="s">
        <v>30</v>
      </c>
      <c r="B225" s="2" t="s">
        <v>45</v>
      </c>
      <c r="C225" s="2" t="s">
        <v>684</v>
      </c>
      <c r="D225" s="2" t="s">
        <v>685</v>
      </c>
      <c r="E225" s="2" t="n">
        <v>70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1</v>
      </c>
      <c r="Y225" s="2" t="s">
        <v>686</v>
      </c>
      <c r="Z225" s="2"/>
      <c r="AA225" s="2"/>
    </row>
    <row r="226" customFormat="false" ht="15" hidden="false" customHeight="false" outlineLevel="0" collapsed="false">
      <c r="A226" s="2" t="s">
        <v>30</v>
      </c>
      <c r="B226" s="2" t="s">
        <v>45</v>
      </c>
      <c r="C226" s="2" t="s">
        <v>687</v>
      </c>
      <c r="D226" s="2" t="s">
        <v>688</v>
      </c>
      <c r="E226" s="2" t="n">
        <v>70</v>
      </c>
      <c r="F226" s="2" t="n">
        <v>0</v>
      </c>
      <c r="G226" s="2" t="n">
        <v>0</v>
      </c>
      <c r="H226" s="2" t="n">
        <v>5</v>
      </c>
      <c r="I226" s="2" t="n">
        <v>0</v>
      </c>
      <c r="J226" s="2" t="n">
        <v>25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/>
      <c r="Z226" s="2"/>
      <c r="AA226" s="2"/>
    </row>
    <row r="227" customFormat="false" ht="15" hidden="false" customHeight="false" outlineLevel="0" collapsed="false">
      <c r="A227" s="2" t="s">
        <v>30</v>
      </c>
      <c r="B227" s="2" t="s">
        <v>45</v>
      </c>
      <c r="C227" s="2" t="s">
        <v>689</v>
      </c>
      <c r="D227" s="2" t="s">
        <v>690</v>
      </c>
      <c r="E227" s="2" t="n">
        <v>105</v>
      </c>
      <c r="F227" s="2" t="n">
        <v>50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7</v>
      </c>
      <c r="X227" s="2" t="n">
        <v>0</v>
      </c>
      <c r="Y227" s="2"/>
      <c r="Z227" s="2"/>
      <c r="AA227" s="2"/>
    </row>
    <row r="228" customFormat="false" ht="15" hidden="false" customHeight="false" outlineLevel="0" collapsed="false">
      <c r="A228" s="2" t="s">
        <v>30</v>
      </c>
      <c r="B228" s="2" t="s">
        <v>73</v>
      </c>
      <c r="C228" s="2" t="s">
        <v>691</v>
      </c>
      <c r="D228" s="2" t="s">
        <v>692</v>
      </c>
      <c r="E228" s="2" t="n">
        <v>49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2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/>
      <c r="Z228" s="2"/>
      <c r="AA228" s="2"/>
    </row>
    <row r="229" customFormat="false" ht="15" hidden="false" customHeight="false" outlineLevel="0" collapsed="false">
      <c r="A229" s="2" t="s">
        <v>30</v>
      </c>
      <c r="B229" s="2" t="s">
        <v>73</v>
      </c>
      <c r="C229" s="2" t="s">
        <v>693</v>
      </c>
      <c r="D229" s="2" t="s">
        <v>694</v>
      </c>
      <c r="E229" s="2" t="n">
        <v>63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1</v>
      </c>
      <c r="Y229" s="2" t="s">
        <v>695</v>
      </c>
      <c r="Z229" s="2"/>
      <c r="AA229" s="2" t="s">
        <v>696</v>
      </c>
    </row>
    <row r="230" customFormat="false" ht="15" hidden="false" customHeight="false" outlineLevel="0" collapsed="false">
      <c r="A230" s="2" t="s">
        <v>30</v>
      </c>
      <c r="B230" s="2" t="s">
        <v>73</v>
      </c>
      <c r="C230" s="2" t="s">
        <v>697</v>
      </c>
      <c r="D230" s="2" t="s">
        <v>698</v>
      </c>
      <c r="E230" s="2" t="n">
        <v>49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2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/>
      <c r="Z230" s="2"/>
      <c r="AA230" s="2"/>
    </row>
    <row r="231" customFormat="false" ht="15" hidden="false" customHeight="false" outlineLevel="0" collapsed="false">
      <c r="A231" s="2" t="s">
        <v>30</v>
      </c>
      <c r="B231" s="2" t="s">
        <v>73</v>
      </c>
      <c r="C231" s="2" t="s">
        <v>699</v>
      </c>
      <c r="D231" s="2" t="s">
        <v>700</v>
      </c>
      <c r="E231" s="2" t="n">
        <v>49</v>
      </c>
      <c r="F231" s="2" t="n">
        <v>100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/>
      <c r="Z231" s="2"/>
      <c r="AA231" s="2"/>
    </row>
    <row r="232" customFormat="false" ht="15" hidden="false" customHeight="false" outlineLevel="0" collapsed="false">
      <c r="A232" s="2" t="s">
        <v>30</v>
      </c>
      <c r="B232" s="2" t="s">
        <v>73</v>
      </c>
      <c r="C232" s="2" t="s">
        <v>701</v>
      </c>
      <c r="D232" s="2" t="s">
        <v>702</v>
      </c>
      <c r="E232" s="2" t="n">
        <v>84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3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/>
      <c r="Z232" s="2"/>
      <c r="AA232" s="2"/>
    </row>
    <row r="233" customFormat="false" ht="15" hidden="false" customHeight="false" outlineLevel="0" collapsed="false">
      <c r="A233" s="2" t="s">
        <v>30</v>
      </c>
      <c r="B233" s="2" t="s">
        <v>73</v>
      </c>
      <c r="C233" s="2" t="s">
        <v>703</v>
      </c>
      <c r="D233" s="2" t="s">
        <v>704</v>
      </c>
      <c r="E233" s="2" t="n">
        <v>77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2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/>
      <c r="Z233" s="2"/>
      <c r="AA233" s="2"/>
    </row>
    <row r="234" customFormat="false" ht="15" hidden="false" customHeight="false" outlineLevel="0" collapsed="false">
      <c r="A234" s="2" t="s">
        <v>30</v>
      </c>
      <c r="B234" s="2" t="s">
        <v>73</v>
      </c>
      <c r="C234" s="2" t="s">
        <v>705</v>
      </c>
      <c r="D234" s="2" t="s">
        <v>706</v>
      </c>
      <c r="E234" s="2" t="n">
        <v>98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1</v>
      </c>
      <c r="Y234" s="2" t="s">
        <v>707</v>
      </c>
      <c r="Z234" s="2"/>
      <c r="AA234" s="2"/>
    </row>
    <row r="235" customFormat="false" ht="15" hidden="false" customHeight="false" outlineLevel="0" collapsed="false">
      <c r="A235" s="2" t="s">
        <v>30</v>
      </c>
      <c r="B235" s="2" t="s">
        <v>74</v>
      </c>
      <c r="C235" s="2" t="s">
        <v>696</v>
      </c>
      <c r="D235" s="2" t="s">
        <v>708</v>
      </c>
      <c r="E235" s="2" t="n">
        <v>63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1</v>
      </c>
      <c r="Y235" s="2" t="s">
        <v>709</v>
      </c>
      <c r="Z235" s="2"/>
      <c r="AA235" s="2" t="s">
        <v>693</v>
      </c>
    </row>
    <row r="236" customFormat="false" ht="15" hidden="false" customHeight="false" outlineLevel="0" collapsed="false">
      <c r="A236" s="2" t="s">
        <v>30</v>
      </c>
      <c r="B236" s="2" t="s">
        <v>74</v>
      </c>
      <c r="C236" s="2" t="s">
        <v>710</v>
      </c>
      <c r="D236" s="2" t="s">
        <v>711</v>
      </c>
      <c r="E236" s="2" t="n">
        <v>49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2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/>
      <c r="Z236" s="2"/>
      <c r="AA236" s="2"/>
    </row>
    <row r="237" customFormat="false" ht="15" hidden="false" customHeight="false" outlineLevel="0" collapsed="false">
      <c r="A237" s="2" t="s">
        <v>30</v>
      </c>
      <c r="B237" s="2" t="s">
        <v>74</v>
      </c>
      <c r="C237" s="2" t="s">
        <v>712</v>
      </c>
      <c r="D237" s="2" t="s">
        <v>713</v>
      </c>
      <c r="E237" s="2" t="n">
        <v>49</v>
      </c>
      <c r="F237" s="2" t="n">
        <v>100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/>
      <c r="Z237" s="2"/>
      <c r="AA237" s="2"/>
    </row>
    <row r="238" customFormat="false" ht="15" hidden="false" customHeight="false" outlineLevel="0" collapsed="false">
      <c r="A238" s="2" t="s">
        <v>30</v>
      </c>
      <c r="B238" s="2" t="s">
        <v>74</v>
      </c>
      <c r="C238" s="2" t="s">
        <v>714</v>
      </c>
      <c r="D238" s="2" t="s">
        <v>715</v>
      </c>
      <c r="E238" s="2" t="n">
        <v>84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3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/>
      <c r="Z238" s="2"/>
      <c r="AA238" s="2"/>
    </row>
    <row r="239" customFormat="false" ht="15" hidden="false" customHeight="false" outlineLevel="0" collapsed="false">
      <c r="A239" s="2" t="s">
        <v>30</v>
      </c>
      <c r="B239" s="2" t="s">
        <v>74</v>
      </c>
      <c r="C239" s="2" t="s">
        <v>716</v>
      </c>
      <c r="D239" s="2" t="s">
        <v>717</v>
      </c>
      <c r="E239" s="2" t="n">
        <v>77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25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1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/>
      <c r="Z239" s="2"/>
      <c r="AA239" s="2"/>
    </row>
    <row r="240" customFormat="false" ht="15" hidden="false" customHeight="false" outlineLevel="0" collapsed="false">
      <c r="A240" s="2" t="s">
        <v>30</v>
      </c>
      <c r="B240" s="2" t="s">
        <v>74</v>
      </c>
      <c r="C240" s="2" t="s">
        <v>718</v>
      </c>
      <c r="D240" s="2" t="s">
        <v>719</v>
      </c>
      <c r="E240" s="2" t="n">
        <v>98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1</v>
      </c>
      <c r="Y240" s="2" t="s">
        <v>720</v>
      </c>
      <c r="Z240" s="2"/>
      <c r="AA240" s="2"/>
    </row>
    <row r="241" customFormat="false" ht="15" hidden="false" customHeight="false" outlineLevel="0" collapsed="false">
      <c r="A241" s="2" t="s">
        <v>30</v>
      </c>
      <c r="B241" s="2" t="s">
        <v>75</v>
      </c>
      <c r="C241" s="2" t="s">
        <v>721</v>
      </c>
      <c r="D241" s="2" t="s">
        <v>722</v>
      </c>
      <c r="E241" s="2" t="n">
        <v>49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2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s">
        <v>723</v>
      </c>
      <c r="Z241" s="2"/>
      <c r="AA241" s="2"/>
    </row>
    <row r="242" customFormat="false" ht="15" hidden="false" customHeight="false" outlineLevel="0" collapsed="false">
      <c r="A242" s="2" t="s">
        <v>30</v>
      </c>
      <c r="B242" s="2" t="s">
        <v>75</v>
      </c>
      <c r="C242" s="2" t="s">
        <v>724</v>
      </c>
      <c r="D242" s="2" t="s">
        <v>725</v>
      </c>
      <c r="E242" s="2" t="n">
        <v>49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1</v>
      </c>
      <c r="O242" s="2" t="n">
        <v>0</v>
      </c>
      <c r="P242" s="2" t="n">
        <v>0</v>
      </c>
      <c r="Q242" s="2" t="n">
        <v>0</v>
      </c>
      <c r="R242" s="2" t="n">
        <v>1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/>
      <c r="Z242" s="2"/>
      <c r="AA242" s="2"/>
    </row>
    <row r="243" customFormat="false" ht="15" hidden="false" customHeight="false" outlineLevel="0" collapsed="false">
      <c r="A243" s="2" t="s">
        <v>30</v>
      </c>
      <c r="B243" s="2" t="s">
        <v>75</v>
      </c>
      <c r="C243" s="2" t="s">
        <v>726</v>
      </c>
      <c r="D243" s="2" t="s">
        <v>727</v>
      </c>
      <c r="E243" s="2" t="n">
        <v>49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2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/>
      <c r="Z243" s="2"/>
      <c r="AA243" s="2"/>
    </row>
    <row r="244" customFormat="false" ht="15" hidden="false" customHeight="false" outlineLevel="0" collapsed="false">
      <c r="A244" s="2" t="s">
        <v>30</v>
      </c>
      <c r="B244" s="2" t="s">
        <v>75</v>
      </c>
      <c r="C244" s="2" t="s">
        <v>728</v>
      </c>
      <c r="D244" s="2" t="s">
        <v>729</v>
      </c>
      <c r="E244" s="2" t="n">
        <v>63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2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/>
      <c r="Z244" s="2"/>
      <c r="AA244" s="2"/>
    </row>
    <row r="245" customFormat="false" ht="15" hidden="false" customHeight="false" outlineLevel="0" collapsed="false">
      <c r="A245" s="2" t="s">
        <v>30</v>
      </c>
      <c r="B245" s="2" t="s">
        <v>75</v>
      </c>
      <c r="C245" s="2" t="s">
        <v>730</v>
      </c>
      <c r="D245" s="2" t="s">
        <v>731</v>
      </c>
      <c r="E245" s="2" t="n">
        <v>84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1</v>
      </c>
      <c r="Y245" s="2" t="s">
        <v>732</v>
      </c>
      <c r="Z245" s="2"/>
      <c r="AA245" s="2"/>
    </row>
    <row r="246" customFormat="false" ht="15" hidden="false" customHeight="false" outlineLevel="0" collapsed="false">
      <c r="A246" s="2" t="s">
        <v>30</v>
      </c>
      <c r="B246" s="2" t="s">
        <v>75</v>
      </c>
      <c r="C246" s="2" t="s">
        <v>733</v>
      </c>
      <c r="D246" s="2" t="s">
        <v>734</v>
      </c>
      <c r="E246" s="2" t="n">
        <v>105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1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/>
      <c r="Z246" s="2"/>
      <c r="AA246" s="2"/>
    </row>
    <row r="247" customFormat="false" ht="15" hidden="false" customHeight="false" outlineLevel="0" collapsed="false">
      <c r="A247" s="2" t="s">
        <v>30</v>
      </c>
      <c r="B247" s="2" t="s">
        <v>76</v>
      </c>
      <c r="C247" s="2" t="s">
        <v>735</v>
      </c>
      <c r="D247" s="2" t="s">
        <v>736</v>
      </c>
      <c r="E247" s="2" t="n">
        <v>49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1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/>
      <c r="Z247" s="2"/>
      <c r="AA247" s="2"/>
    </row>
    <row r="248" customFormat="false" ht="15" hidden="false" customHeight="false" outlineLevel="0" collapsed="false">
      <c r="A248" s="2" t="s">
        <v>30</v>
      </c>
      <c r="B248" s="2" t="s">
        <v>76</v>
      </c>
      <c r="C248" s="2" t="s">
        <v>737</v>
      </c>
      <c r="D248" s="2" t="s">
        <v>738</v>
      </c>
      <c r="E248" s="2" t="n">
        <v>49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1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/>
      <c r="Z248" s="2"/>
      <c r="AA248" s="2"/>
    </row>
    <row r="249" customFormat="false" ht="15" hidden="false" customHeight="false" outlineLevel="0" collapsed="false">
      <c r="A249" s="2" t="s">
        <v>30</v>
      </c>
      <c r="B249" s="2" t="s">
        <v>76</v>
      </c>
      <c r="C249" s="2" t="s">
        <v>739</v>
      </c>
      <c r="D249" s="2" t="s">
        <v>740</v>
      </c>
      <c r="E249" s="2" t="n">
        <v>63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50</v>
      </c>
      <c r="K249" s="2" t="n">
        <v>25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/>
      <c r="Z249" s="2"/>
      <c r="AA249" s="2"/>
    </row>
    <row r="250" customFormat="false" ht="15" hidden="false" customHeight="false" outlineLevel="0" collapsed="false">
      <c r="A250" s="2" t="s">
        <v>30</v>
      </c>
      <c r="B250" s="2" t="s">
        <v>76</v>
      </c>
      <c r="C250" s="2" t="s">
        <v>741</v>
      </c>
      <c r="D250" s="2" t="s">
        <v>742</v>
      </c>
      <c r="E250" s="2" t="n">
        <v>49</v>
      </c>
      <c r="F250" s="2" t="n">
        <v>0</v>
      </c>
      <c r="G250" s="2" t="n">
        <v>0</v>
      </c>
      <c r="H250" s="2" t="n">
        <v>0</v>
      </c>
      <c r="I250" s="2" t="n">
        <v>75000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/>
      <c r="Z250" s="2"/>
      <c r="AA250" s="2"/>
    </row>
    <row r="251" customFormat="false" ht="15" hidden="false" customHeight="false" outlineLevel="0" collapsed="false">
      <c r="A251" s="2" t="s">
        <v>30</v>
      </c>
      <c r="B251" s="2" t="s">
        <v>76</v>
      </c>
      <c r="C251" s="2" t="s">
        <v>743</v>
      </c>
      <c r="D251" s="2" t="s">
        <v>744</v>
      </c>
      <c r="E251" s="2" t="n">
        <v>49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1</v>
      </c>
      <c r="Y251" s="2" t="s">
        <v>745</v>
      </c>
      <c r="Z251" s="2"/>
      <c r="AA251" s="2"/>
    </row>
    <row r="252" customFormat="false" ht="15" hidden="false" customHeight="false" outlineLevel="0" collapsed="false">
      <c r="A252" s="2" t="s">
        <v>30</v>
      </c>
      <c r="B252" s="2" t="s">
        <v>76</v>
      </c>
      <c r="C252" s="2" t="s">
        <v>746</v>
      </c>
      <c r="D252" s="2" t="s">
        <v>747</v>
      </c>
      <c r="E252" s="2" t="n">
        <v>84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75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/>
      <c r="Z252" s="2"/>
      <c r="AA252" s="2"/>
    </row>
    <row r="253" customFormat="false" ht="15" hidden="false" customHeight="false" outlineLevel="0" collapsed="false">
      <c r="A253" s="2" t="s">
        <v>30</v>
      </c>
      <c r="B253" s="2" t="s">
        <v>77</v>
      </c>
      <c r="C253" s="2" t="s">
        <v>748</v>
      </c>
      <c r="D253" s="2" t="s">
        <v>603</v>
      </c>
      <c r="E253" s="2" t="n">
        <v>49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1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/>
      <c r="Z253" s="2"/>
      <c r="AA253" s="2"/>
    </row>
    <row r="254" customFormat="false" ht="15" hidden="false" customHeight="false" outlineLevel="0" collapsed="false">
      <c r="A254" s="2" t="s">
        <v>30</v>
      </c>
      <c r="B254" s="2" t="s">
        <v>77</v>
      </c>
      <c r="C254" s="2" t="s">
        <v>749</v>
      </c>
      <c r="D254" s="2" t="s">
        <v>750</v>
      </c>
      <c r="E254" s="2" t="n">
        <v>49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1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80</v>
      </c>
      <c r="W254" s="2" t="n">
        <v>0</v>
      </c>
      <c r="X254" s="2" t="n">
        <v>0</v>
      </c>
      <c r="Y254" s="2"/>
      <c r="Z254" s="2"/>
      <c r="AA254" s="2"/>
    </row>
    <row r="255" customFormat="false" ht="15" hidden="false" customHeight="false" outlineLevel="0" collapsed="false">
      <c r="A255" s="2" t="s">
        <v>30</v>
      </c>
      <c r="B255" s="2" t="s">
        <v>77</v>
      </c>
      <c r="C255" s="2" t="s">
        <v>751</v>
      </c>
      <c r="D255" s="2" t="s">
        <v>752</v>
      </c>
      <c r="E255" s="2" t="n">
        <v>49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1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/>
      <c r="Z255" s="2"/>
      <c r="AA255" s="2"/>
    </row>
    <row r="256" customFormat="false" ht="15" hidden="false" customHeight="false" outlineLevel="0" collapsed="false">
      <c r="A256" s="2" t="s">
        <v>30</v>
      </c>
      <c r="B256" s="2" t="s">
        <v>77</v>
      </c>
      <c r="C256" s="2" t="s">
        <v>753</v>
      </c>
      <c r="D256" s="2" t="s">
        <v>754</v>
      </c>
      <c r="E256" s="2" t="n">
        <v>84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3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/>
      <c r="Z256" s="2"/>
      <c r="AA256" s="2"/>
    </row>
    <row r="257" customFormat="false" ht="15" hidden="false" customHeight="false" outlineLevel="0" collapsed="false">
      <c r="A257" s="2" t="s">
        <v>30</v>
      </c>
      <c r="B257" s="2" t="s">
        <v>77</v>
      </c>
      <c r="C257" s="2" t="s">
        <v>755</v>
      </c>
      <c r="D257" s="2" t="s">
        <v>756</v>
      </c>
      <c r="E257" s="2" t="n">
        <v>84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1</v>
      </c>
      <c r="Y257" s="2" t="s">
        <v>757</v>
      </c>
      <c r="Z257" s="2"/>
      <c r="AA257" s="2"/>
    </row>
    <row r="258" customFormat="false" ht="15" hidden="false" customHeight="false" outlineLevel="0" collapsed="false">
      <c r="A258" s="2" t="s">
        <v>30</v>
      </c>
      <c r="B258" s="2" t="s">
        <v>77</v>
      </c>
      <c r="C258" s="2" t="s">
        <v>758</v>
      </c>
      <c r="D258" s="2" t="s">
        <v>759</v>
      </c>
      <c r="E258" s="2" t="n">
        <v>63</v>
      </c>
      <c r="F258" s="2" t="n">
        <v>50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50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/>
      <c r="Z258" s="2"/>
      <c r="AA258" s="2"/>
    </row>
    <row r="259" customFormat="false" ht="15" hidden="false" customHeight="false" outlineLevel="0" collapsed="false">
      <c r="A259" s="2" t="s">
        <v>30</v>
      </c>
      <c r="B259" s="2" t="s">
        <v>78</v>
      </c>
      <c r="C259" s="2" t="s">
        <v>760</v>
      </c>
      <c r="D259" s="2" t="s">
        <v>761</v>
      </c>
      <c r="E259" s="2" t="n">
        <v>63</v>
      </c>
      <c r="F259" s="2" t="n">
        <v>75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15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1</v>
      </c>
      <c r="R259" s="2" t="n">
        <v>2</v>
      </c>
      <c r="S259" s="2" t="n">
        <v>1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/>
      <c r="Z259" s="2" t="s">
        <v>762</v>
      </c>
      <c r="AA259" s="2"/>
    </row>
    <row r="260" customFormat="false" ht="15" hidden="false" customHeight="false" outlineLevel="0" collapsed="false">
      <c r="A260" s="2" t="s">
        <v>30</v>
      </c>
      <c r="B260" s="2" t="s">
        <v>78</v>
      </c>
      <c r="C260" s="2" t="s">
        <v>763</v>
      </c>
      <c r="D260" s="2" t="s">
        <v>764</v>
      </c>
      <c r="E260" s="2" t="n">
        <v>49</v>
      </c>
      <c r="F260" s="2" t="n">
        <v>75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15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1</v>
      </c>
      <c r="R260" s="2" t="n">
        <v>2</v>
      </c>
      <c r="S260" s="2" t="n">
        <v>1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/>
      <c r="Z260" s="2" t="s">
        <v>762</v>
      </c>
      <c r="AA260" s="2"/>
    </row>
    <row r="261" customFormat="false" ht="15" hidden="false" customHeight="false" outlineLevel="0" collapsed="false">
      <c r="A261" s="2" t="s">
        <v>30</v>
      </c>
      <c r="B261" s="2" t="s">
        <v>78</v>
      </c>
      <c r="C261" s="2" t="s">
        <v>765</v>
      </c>
      <c r="D261" s="2" t="s">
        <v>766</v>
      </c>
      <c r="E261" s="2" t="n">
        <v>49</v>
      </c>
      <c r="F261" s="2" t="n">
        <v>75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15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1</v>
      </c>
      <c r="R261" s="2" t="n">
        <v>2</v>
      </c>
      <c r="S261" s="2" t="n">
        <v>1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/>
      <c r="Z261" s="2" t="s">
        <v>762</v>
      </c>
      <c r="AA261" s="2"/>
    </row>
    <row r="262" customFormat="false" ht="15" hidden="false" customHeight="false" outlineLevel="0" collapsed="false">
      <c r="A262" s="2" t="s">
        <v>30</v>
      </c>
      <c r="B262" s="2" t="s">
        <v>78</v>
      </c>
      <c r="C262" s="2" t="s">
        <v>767</v>
      </c>
      <c r="D262" s="2" t="s">
        <v>768</v>
      </c>
      <c r="E262" s="2" t="n">
        <v>49</v>
      </c>
      <c r="F262" s="2" t="n">
        <v>75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15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1</v>
      </c>
      <c r="X262" s="2" t="n">
        <v>0</v>
      </c>
      <c r="Y262" s="2"/>
      <c r="Z262" s="2" t="s">
        <v>762</v>
      </c>
      <c r="AA262" s="2"/>
    </row>
    <row r="263" customFormat="false" ht="15" hidden="false" customHeight="false" outlineLevel="0" collapsed="false">
      <c r="A263" s="2" t="s">
        <v>30</v>
      </c>
      <c r="B263" s="2" t="s">
        <v>78</v>
      </c>
      <c r="C263" s="2" t="s">
        <v>769</v>
      </c>
      <c r="D263" s="2" t="s">
        <v>770</v>
      </c>
      <c r="E263" s="2" t="n">
        <v>49</v>
      </c>
      <c r="F263" s="2" t="n">
        <v>100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15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2</v>
      </c>
      <c r="X263" s="2" t="n">
        <v>0</v>
      </c>
      <c r="Y263" s="2"/>
      <c r="Z263" s="2" t="s">
        <v>762</v>
      </c>
      <c r="AA263" s="2"/>
    </row>
    <row r="264" customFormat="false" ht="15" hidden="false" customHeight="false" outlineLevel="0" collapsed="false">
      <c r="A264" s="2" t="s">
        <v>30</v>
      </c>
      <c r="B264" s="2" t="s">
        <v>78</v>
      </c>
      <c r="C264" s="2" t="s">
        <v>771</v>
      </c>
      <c r="D264" s="2" t="s">
        <v>772</v>
      </c>
      <c r="E264" s="2" t="n">
        <v>49</v>
      </c>
      <c r="F264" s="2" t="n">
        <v>75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15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1</v>
      </c>
      <c r="X264" s="2" t="n">
        <v>0</v>
      </c>
      <c r="Y264" s="2"/>
      <c r="Z264" s="2" t="s">
        <v>762</v>
      </c>
      <c r="AA264" s="2"/>
    </row>
    <row r="265" customFormat="false" ht="15" hidden="false" customHeight="false" outlineLevel="0" collapsed="false">
      <c r="A265" s="2" t="s">
        <v>30</v>
      </c>
      <c r="B265" s="2" t="s">
        <v>78</v>
      </c>
      <c r="C265" s="2" t="s">
        <v>773</v>
      </c>
      <c r="D265" s="2" t="s">
        <v>774</v>
      </c>
      <c r="E265" s="2" t="n">
        <v>105</v>
      </c>
      <c r="F265" s="2" t="n">
        <v>175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15</v>
      </c>
      <c r="L265" s="2" t="n">
        <v>0</v>
      </c>
      <c r="M265" s="2" t="n">
        <v>1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/>
      <c r="Z265" s="2" t="s">
        <v>762</v>
      </c>
      <c r="AA265" s="2"/>
    </row>
    <row r="266" customFormat="false" ht="15" hidden="false" customHeight="false" outlineLevel="0" collapsed="false">
      <c r="A266" s="2" t="s">
        <v>30</v>
      </c>
      <c r="B266" s="2" t="s">
        <v>78</v>
      </c>
      <c r="C266" s="2" t="s">
        <v>775</v>
      </c>
      <c r="D266" s="2" t="s">
        <v>776</v>
      </c>
      <c r="E266" s="2" t="n">
        <v>49</v>
      </c>
      <c r="F266" s="2" t="n">
        <v>50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/>
      <c r="Z266" s="2" t="s">
        <v>777</v>
      </c>
      <c r="AA266" s="2"/>
    </row>
    <row r="267" customFormat="false" ht="15" hidden="false" customHeight="false" outlineLevel="0" collapsed="false">
      <c r="A267" s="2" t="s">
        <v>30</v>
      </c>
      <c r="B267" s="2" t="s">
        <v>78</v>
      </c>
      <c r="C267" s="2" t="s">
        <v>778</v>
      </c>
      <c r="D267" s="2" t="s">
        <v>779</v>
      </c>
      <c r="E267" s="2" t="n">
        <v>49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1</v>
      </c>
      <c r="Y267" s="2" t="s">
        <v>780</v>
      </c>
      <c r="Z267" s="2"/>
      <c r="AA267" s="2"/>
    </row>
    <row r="268" customFormat="false" ht="15" hidden="false" customHeight="false" outlineLevel="0" collapsed="false">
      <c r="A268" s="2" t="s">
        <v>30</v>
      </c>
      <c r="B268" s="2" t="s">
        <v>78</v>
      </c>
      <c r="C268" s="2" t="s">
        <v>781</v>
      </c>
      <c r="D268" s="2" t="s">
        <v>782</v>
      </c>
      <c r="E268" s="2" t="n">
        <v>63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25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2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/>
      <c r="Z268" s="2"/>
      <c r="AA268" s="2"/>
    </row>
    <row r="269" customFormat="false" ht="15" hidden="false" customHeight="false" outlineLevel="0" collapsed="false">
      <c r="A269" s="2" t="s">
        <v>30</v>
      </c>
      <c r="B269" s="2" t="s">
        <v>78</v>
      </c>
      <c r="C269" s="2" t="s">
        <v>783</v>
      </c>
      <c r="D269" s="2" t="s">
        <v>784</v>
      </c>
      <c r="E269" s="2" t="n">
        <v>84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1</v>
      </c>
      <c r="Y269" s="2" t="s">
        <v>785</v>
      </c>
      <c r="Z269" s="2" t="s">
        <v>786</v>
      </c>
      <c r="AA269" s="2"/>
    </row>
    <row r="270" customFormat="false" ht="15" hidden="false" customHeight="false" outlineLevel="0" collapsed="false">
      <c r="A270" s="2" t="s">
        <v>30</v>
      </c>
      <c r="B270" s="2" t="s">
        <v>78</v>
      </c>
      <c r="C270" s="2" t="s">
        <v>787</v>
      </c>
      <c r="D270" s="2" t="s">
        <v>788</v>
      </c>
      <c r="E270" s="2" t="n">
        <v>63</v>
      </c>
      <c r="F270" s="2" t="n">
        <v>100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/>
      <c r="Z270" s="2"/>
      <c r="AA270" s="2"/>
    </row>
    <row r="271" customFormat="false" ht="15" hidden="false" customHeight="false" outlineLevel="0" collapsed="false">
      <c r="A271" s="2" t="s">
        <v>30</v>
      </c>
      <c r="B271" s="2" t="s">
        <v>78</v>
      </c>
      <c r="C271" s="2" t="s">
        <v>789</v>
      </c>
      <c r="D271" s="2" t="s">
        <v>790</v>
      </c>
      <c r="E271" s="2" t="n">
        <v>105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1</v>
      </c>
      <c r="Y271" s="2" t="s">
        <v>791</v>
      </c>
      <c r="Z271" s="2"/>
      <c r="AA271" s="2"/>
    </row>
    <row r="272" customFormat="false" ht="15" hidden="false" customHeight="false" outlineLevel="0" collapsed="false">
      <c r="A272" s="2" t="s">
        <v>31</v>
      </c>
      <c r="B272" s="2" t="s">
        <v>79</v>
      </c>
      <c r="C272" s="2" t="s">
        <v>792</v>
      </c>
      <c r="D272" s="2" t="s">
        <v>793</v>
      </c>
      <c r="E272" s="2" t="n">
        <v>49</v>
      </c>
      <c r="F272" s="2" t="n">
        <v>100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/>
      <c r="Z272" s="2"/>
      <c r="AA272" s="2"/>
    </row>
    <row r="273" customFormat="false" ht="15" hidden="false" customHeight="false" outlineLevel="0" collapsed="false">
      <c r="A273" s="2" t="s">
        <v>31</v>
      </c>
      <c r="B273" s="2" t="s">
        <v>79</v>
      </c>
      <c r="C273" s="2" t="s">
        <v>794</v>
      </c>
      <c r="D273" s="2" t="s">
        <v>795</v>
      </c>
      <c r="E273" s="2" t="n">
        <v>49</v>
      </c>
      <c r="F273" s="2" t="n">
        <v>50</v>
      </c>
      <c r="G273" s="2" t="n">
        <v>3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/>
      <c r="Z273" s="2"/>
      <c r="AA273" s="2"/>
    </row>
    <row r="274" customFormat="false" ht="15" hidden="false" customHeight="false" outlineLevel="0" collapsed="false">
      <c r="A274" s="2" t="s">
        <v>31</v>
      </c>
      <c r="B274" s="2" t="s">
        <v>79</v>
      </c>
      <c r="C274" s="2" t="s">
        <v>796</v>
      </c>
      <c r="D274" s="2" t="s">
        <v>797</v>
      </c>
      <c r="E274" s="2" t="n">
        <v>49</v>
      </c>
      <c r="F274" s="2" t="n">
        <v>100</v>
      </c>
      <c r="G274" s="2" t="n">
        <v>5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/>
      <c r="Z274" s="2"/>
      <c r="AA274" s="2" t="s">
        <v>798</v>
      </c>
    </row>
    <row r="275" customFormat="false" ht="15" hidden="false" customHeight="false" outlineLevel="0" collapsed="false">
      <c r="A275" s="2" t="s">
        <v>31</v>
      </c>
      <c r="B275" s="2" t="s">
        <v>79</v>
      </c>
      <c r="C275" s="2" t="s">
        <v>799</v>
      </c>
      <c r="D275" s="2" t="s">
        <v>800</v>
      </c>
      <c r="E275" s="2" t="n">
        <v>49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1</v>
      </c>
      <c r="Y275" s="2" t="s">
        <v>801</v>
      </c>
      <c r="Z275" s="2"/>
      <c r="AA275" s="2"/>
    </row>
    <row r="276" customFormat="false" ht="15" hidden="false" customHeight="false" outlineLevel="0" collapsed="false">
      <c r="A276" s="2" t="s">
        <v>31</v>
      </c>
      <c r="B276" s="2" t="s">
        <v>79</v>
      </c>
      <c r="C276" s="2" t="s">
        <v>802</v>
      </c>
      <c r="D276" s="2" t="s">
        <v>803</v>
      </c>
      <c r="E276" s="2" t="n">
        <v>63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1</v>
      </c>
      <c r="Y276" s="2" t="s">
        <v>804</v>
      </c>
      <c r="Z276" s="2"/>
      <c r="AA276" s="2"/>
    </row>
    <row r="277" customFormat="false" ht="15" hidden="false" customHeight="false" outlineLevel="0" collapsed="false">
      <c r="A277" s="2" t="s">
        <v>31</v>
      </c>
      <c r="B277" s="2" t="s">
        <v>79</v>
      </c>
      <c r="C277" s="2" t="s">
        <v>805</v>
      </c>
      <c r="D277" s="2" t="s">
        <v>806</v>
      </c>
      <c r="E277" s="2" t="n">
        <v>63</v>
      </c>
      <c r="F277" s="2" t="n">
        <v>50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1</v>
      </c>
      <c r="X277" s="2" t="n">
        <v>0</v>
      </c>
      <c r="Y277" s="2"/>
      <c r="Z277" s="2"/>
      <c r="AA277" s="2"/>
    </row>
    <row r="278" customFormat="false" ht="15" hidden="false" customHeight="false" outlineLevel="0" collapsed="false">
      <c r="A278" s="2" t="s">
        <v>31</v>
      </c>
      <c r="B278" s="2" t="s">
        <v>79</v>
      </c>
      <c r="C278" s="2" t="s">
        <v>807</v>
      </c>
      <c r="D278" s="2" t="s">
        <v>808</v>
      </c>
      <c r="E278" s="2" t="n">
        <v>63</v>
      </c>
      <c r="F278" s="2" t="n">
        <v>50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1</v>
      </c>
      <c r="X278" s="2" t="n">
        <v>0</v>
      </c>
      <c r="Y278" s="2"/>
      <c r="Z278" s="2"/>
      <c r="AA278" s="2"/>
    </row>
    <row r="279" customFormat="false" ht="15" hidden="false" customHeight="false" outlineLevel="0" collapsed="false">
      <c r="A279" s="2" t="s">
        <v>31</v>
      </c>
      <c r="B279" s="2" t="s">
        <v>79</v>
      </c>
      <c r="C279" s="2" t="s">
        <v>809</v>
      </c>
      <c r="D279" s="2" t="s">
        <v>810</v>
      </c>
      <c r="E279" s="2" t="n">
        <v>84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1</v>
      </c>
      <c r="Y279" s="2" t="s">
        <v>811</v>
      </c>
      <c r="Z279" s="2"/>
      <c r="AA279" s="2"/>
    </row>
    <row r="280" customFormat="false" ht="15" hidden="false" customHeight="false" outlineLevel="0" collapsed="false">
      <c r="A280" s="2" t="s">
        <v>31</v>
      </c>
      <c r="B280" s="2" t="s">
        <v>79</v>
      </c>
      <c r="C280" s="2" t="s">
        <v>812</v>
      </c>
      <c r="D280" s="2" t="s">
        <v>813</v>
      </c>
      <c r="E280" s="2" t="n">
        <v>105</v>
      </c>
      <c r="F280" s="2" t="n">
        <v>50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/>
      <c r="Z280" s="2"/>
      <c r="AA280" s="2"/>
    </row>
    <row r="281" customFormat="false" ht="15" hidden="false" customHeight="false" outlineLevel="0" collapsed="false">
      <c r="A281" s="2" t="s">
        <v>31</v>
      </c>
      <c r="B281" s="2" t="s">
        <v>79</v>
      </c>
      <c r="C281" s="2" t="s">
        <v>814</v>
      </c>
      <c r="D281" s="2" t="s">
        <v>815</v>
      </c>
      <c r="E281" s="2" t="n">
        <v>84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1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1</v>
      </c>
      <c r="Y281" s="2" t="s">
        <v>816</v>
      </c>
      <c r="Z281" s="2"/>
      <c r="AA281" s="2"/>
    </row>
    <row r="282" customFormat="false" ht="15" hidden="false" customHeight="false" outlineLevel="0" collapsed="false">
      <c r="A282" s="2" t="s">
        <v>31</v>
      </c>
      <c r="B282" s="2" t="s">
        <v>80</v>
      </c>
      <c r="C282" s="2" t="s">
        <v>798</v>
      </c>
      <c r="D282" s="2" t="s">
        <v>817</v>
      </c>
      <c r="E282" s="2" t="n">
        <v>35</v>
      </c>
      <c r="F282" s="2" t="n">
        <v>50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/>
      <c r="Z282" s="2"/>
      <c r="AA282" s="2" t="s">
        <v>796</v>
      </c>
    </row>
    <row r="283" customFormat="false" ht="15" hidden="false" customHeight="false" outlineLevel="0" collapsed="false">
      <c r="A283" s="2" t="s">
        <v>31</v>
      </c>
      <c r="B283" s="2" t="s">
        <v>80</v>
      </c>
      <c r="C283" s="2" t="s">
        <v>818</v>
      </c>
      <c r="D283" s="2" t="s">
        <v>819</v>
      </c>
      <c r="E283" s="2" t="n">
        <v>63</v>
      </c>
      <c r="F283" s="2" t="n">
        <v>50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2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s">
        <v>820</v>
      </c>
      <c r="Z283" s="2"/>
      <c r="AA283" s="2"/>
    </row>
    <row r="284" customFormat="false" ht="15" hidden="false" customHeight="false" outlineLevel="0" collapsed="false">
      <c r="A284" s="2" t="s">
        <v>31</v>
      </c>
      <c r="B284" s="2" t="s">
        <v>80</v>
      </c>
      <c r="C284" s="2" t="s">
        <v>821</v>
      </c>
      <c r="D284" s="2" t="s">
        <v>822</v>
      </c>
      <c r="E284" s="2" t="n">
        <v>49</v>
      </c>
      <c r="F284" s="2" t="n">
        <v>0</v>
      </c>
      <c r="G284" s="2" t="n">
        <v>0</v>
      </c>
      <c r="H284" s="2" t="n">
        <v>0</v>
      </c>
      <c r="I284" s="2" t="n">
        <v>50000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1</v>
      </c>
      <c r="Y284" s="2" t="s">
        <v>823</v>
      </c>
      <c r="Z284" s="2"/>
      <c r="AA284" s="2"/>
    </row>
    <row r="285" customFormat="false" ht="15" hidden="false" customHeight="false" outlineLevel="0" collapsed="false">
      <c r="A285" s="2" t="s">
        <v>31</v>
      </c>
      <c r="B285" s="2" t="s">
        <v>80</v>
      </c>
      <c r="C285" s="2" t="s">
        <v>824</v>
      </c>
      <c r="D285" s="2" t="s">
        <v>825</v>
      </c>
      <c r="E285" s="2" t="n">
        <v>49</v>
      </c>
      <c r="F285" s="2" t="n">
        <v>50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3</v>
      </c>
      <c r="X285" s="2" t="n">
        <v>0</v>
      </c>
      <c r="Y285" s="2"/>
      <c r="Z285" s="2"/>
      <c r="AA285" s="2"/>
    </row>
    <row r="286" customFormat="false" ht="15" hidden="false" customHeight="false" outlineLevel="0" collapsed="false">
      <c r="A286" s="2" t="s">
        <v>31</v>
      </c>
      <c r="B286" s="2" t="s">
        <v>80</v>
      </c>
      <c r="C286" s="2" t="s">
        <v>826</v>
      </c>
      <c r="D286" s="2" t="s">
        <v>827</v>
      </c>
      <c r="E286" s="2" t="n">
        <v>63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3</v>
      </c>
      <c r="X286" s="2" t="n">
        <v>0</v>
      </c>
      <c r="Y286" s="2"/>
      <c r="Z286" s="2"/>
      <c r="AA286" s="2"/>
    </row>
    <row r="287" customFormat="false" ht="15" hidden="false" customHeight="false" outlineLevel="0" collapsed="false">
      <c r="A287" s="2" t="s">
        <v>31</v>
      </c>
      <c r="B287" s="2" t="s">
        <v>80</v>
      </c>
      <c r="C287" s="2" t="s">
        <v>828</v>
      </c>
      <c r="D287" s="2" t="s">
        <v>829</v>
      </c>
      <c r="E287" s="2" t="n">
        <v>63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25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3</v>
      </c>
      <c r="X287" s="2" t="n">
        <v>0</v>
      </c>
      <c r="Y287" s="2"/>
      <c r="Z287" s="2"/>
      <c r="AA287" s="2"/>
    </row>
    <row r="288" customFormat="false" ht="15" hidden="false" customHeight="false" outlineLevel="0" collapsed="false">
      <c r="A288" s="2" t="s">
        <v>31</v>
      </c>
      <c r="B288" s="2" t="s">
        <v>80</v>
      </c>
      <c r="C288" s="2" t="s">
        <v>830</v>
      </c>
      <c r="D288" s="2" t="s">
        <v>831</v>
      </c>
      <c r="E288" s="2" t="n">
        <v>63</v>
      </c>
      <c r="F288" s="2" t="n">
        <v>0</v>
      </c>
      <c r="G288" s="2" t="n">
        <v>0</v>
      </c>
      <c r="H288" s="2" t="n">
        <v>5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3</v>
      </c>
      <c r="X288" s="2" t="n">
        <v>0</v>
      </c>
      <c r="Y288" s="2"/>
      <c r="Z288" s="2"/>
      <c r="AA288" s="2"/>
    </row>
    <row r="289" customFormat="false" ht="15" hidden="false" customHeight="false" outlineLevel="0" collapsed="false">
      <c r="A289" s="2" t="s">
        <v>31</v>
      </c>
      <c r="B289" s="2" t="s">
        <v>80</v>
      </c>
      <c r="C289" s="2" t="s">
        <v>832</v>
      </c>
      <c r="D289" s="2" t="s">
        <v>833</v>
      </c>
      <c r="E289" s="2" t="n">
        <v>105</v>
      </c>
      <c r="F289" s="2" t="n">
        <v>0</v>
      </c>
      <c r="G289" s="2" t="n">
        <v>0</v>
      </c>
      <c r="H289" s="2" t="n">
        <v>10</v>
      </c>
      <c r="I289" s="2" t="n">
        <v>0</v>
      </c>
      <c r="J289" s="2" t="n">
        <v>50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1</v>
      </c>
      <c r="X289" s="2" t="n">
        <v>0</v>
      </c>
      <c r="Y289" s="2"/>
      <c r="Z289" s="2"/>
      <c r="AA289" s="2"/>
    </row>
    <row r="290" customFormat="false" ht="15" hidden="false" customHeight="false" outlineLevel="0" collapsed="false">
      <c r="A290" s="2" t="s">
        <v>31</v>
      </c>
      <c r="B290" s="2" t="s">
        <v>80</v>
      </c>
      <c r="C290" s="2" t="s">
        <v>834</v>
      </c>
      <c r="D290" s="2" t="s">
        <v>835</v>
      </c>
      <c r="E290" s="2" t="n">
        <v>105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1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1</v>
      </c>
      <c r="Y290" s="2" t="s">
        <v>836</v>
      </c>
      <c r="Z290" s="2"/>
      <c r="AA290" s="2"/>
    </row>
    <row r="291" customFormat="false" ht="15" hidden="false" customHeight="false" outlineLevel="0" collapsed="false">
      <c r="A291" s="2" t="s">
        <v>31</v>
      </c>
      <c r="B291" s="2" t="s">
        <v>45</v>
      </c>
      <c r="C291" s="2" t="s">
        <v>837</v>
      </c>
      <c r="D291" s="2" t="s">
        <v>838</v>
      </c>
      <c r="E291" s="2" t="n">
        <v>70</v>
      </c>
      <c r="F291" s="2" t="n">
        <v>120</v>
      </c>
      <c r="G291" s="2" t="n">
        <v>5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/>
      <c r="Z291" s="2"/>
      <c r="AA291" s="2"/>
    </row>
    <row r="292" customFormat="false" ht="15" hidden="false" customHeight="false" outlineLevel="0" collapsed="false">
      <c r="A292" s="2" t="s">
        <v>31</v>
      </c>
      <c r="B292" s="2" t="s">
        <v>45</v>
      </c>
      <c r="C292" s="2" t="s">
        <v>839</v>
      </c>
      <c r="D292" s="2" t="s">
        <v>840</v>
      </c>
      <c r="E292" s="2" t="n">
        <v>70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1</v>
      </c>
      <c r="Y292" s="2" t="s">
        <v>841</v>
      </c>
      <c r="Z292" s="2"/>
      <c r="AA292" s="2"/>
    </row>
    <row r="293" customFormat="false" ht="15" hidden="false" customHeight="false" outlineLevel="0" collapsed="false">
      <c r="A293" s="2" t="s">
        <v>31</v>
      </c>
      <c r="B293" s="2" t="s">
        <v>45</v>
      </c>
      <c r="C293" s="2" t="s">
        <v>842</v>
      </c>
      <c r="D293" s="2" t="s">
        <v>843</v>
      </c>
      <c r="E293" s="2" t="n">
        <v>70</v>
      </c>
      <c r="F293" s="2" t="n">
        <v>0</v>
      </c>
      <c r="G293" s="2" t="n">
        <v>0</v>
      </c>
      <c r="H293" s="2" t="n">
        <v>5</v>
      </c>
      <c r="I293" s="2" t="n">
        <v>0</v>
      </c>
      <c r="J293" s="2" t="n">
        <v>25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/>
      <c r="Z293" s="2"/>
      <c r="AA293" s="2"/>
    </row>
    <row r="294" customFormat="false" ht="15" hidden="false" customHeight="false" outlineLevel="0" collapsed="false">
      <c r="A294" s="2" t="s">
        <v>31</v>
      </c>
      <c r="B294" s="2" t="s">
        <v>45</v>
      </c>
      <c r="C294" s="2" t="s">
        <v>844</v>
      </c>
      <c r="D294" s="2" t="s">
        <v>845</v>
      </c>
      <c r="E294" s="2" t="n">
        <v>105</v>
      </c>
      <c r="F294" s="2" t="n">
        <v>50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7</v>
      </c>
      <c r="X294" s="2" t="n">
        <v>0</v>
      </c>
      <c r="Y294" s="2"/>
      <c r="Z294" s="2"/>
      <c r="AA294" s="2"/>
    </row>
    <row r="295" customFormat="false" ht="15" hidden="false" customHeight="false" outlineLevel="0" collapsed="false">
      <c r="A295" s="2" t="s">
        <v>31</v>
      </c>
      <c r="B295" s="2" t="s">
        <v>81</v>
      </c>
      <c r="C295" s="2" t="s">
        <v>846</v>
      </c>
      <c r="D295" s="2" t="s">
        <v>847</v>
      </c>
      <c r="E295" s="2" t="n">
        <v>49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2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/>
      <c r="Z295" s="2"/>
      <c r="AA295" s="2"/>
    </row>
    <row r="296" customFormat="false" ht="15" hidden="false" customHeight="false" outlineLevel="0" collapsed="false">
      <c r="A296" s="2" t="s">
        <v>31</v>
      </c>
      <c r="B296" s="2" t="s">
        <v>81</v>
      </c>
      <c r="C296" s="2" t="s">
        <v>848</v>
      </c>
      <c r="D296" s="2" t="s">
        <v>849</v>
      </c>
      <c r="E296" s="2" t="n">
        <v>63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1</v>
      </c>
      <c r="Y296" s="2" t="s">
        <v>850</v>
      </c>
      <c r="Z296" s="2"/>
      <c r="AA296" s="2" t="s">
        <v>851</v>
      </c>
    </row>
    <row r="297" customFormat="false" ht="15" hidden="false" customHeight="false" outlineLevel="0" collapsed="false">
      <c r="A297" s="2" t="s">
        <v>31</v>
      </c>
      <c r="B297" s="2" t="s">
        <v>81</v>
      </c>
      <c r="C297" s="2" t="s">
        <v>852</v>
      </c>
      <c r="D297" s="2" t="s">
        <v>853</v>
      </c>
      <c r="E297" s="2" t="n">
        <v>49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2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/>
      <c r="Z297" s="2"/>
      <c r="AA297" s="2"/>
    </row>
    <row r="298" customFormat="false" ht="15" hidden="false" customHeight="false" outlineLevel="0" collapsed="false">
      <c r="A298" s="2" t="s">
        <v>31</v>
      </c>
      <c r="B298" s="2" t="s">
        <v>81</v>
      </c>
      <c r="C298" s="2" t="s">
        <v>854</v>
      </c>
      <c r="D298" s="2" t="s">
        <v>855</v>
      </c>
      <c r="E298" s="2" t="n">
        <v>49</v>
      </c>
      <c r="F298" s="2" t="n">
        <v>100</v>
      </c>
      <c r="G298" s="2" t="n">
        <v>5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/>
      <c r="Z298" s="2"/>
      <c r="AA298" s="2"/>
    </row>
    <row r="299" customFormat="false" ht="15" hidden="false" customHeight="false" outlineLevel="0" collapsed="false">
      <c r="A299" s="2" t="s">
        <v>31</v>
      </c>
      <c r="B299" s="2" t="s">
        <v>81</v>
      </c>
      <c r="C299" s="2" t="s">
        <v>856</v>
      </c>
      <c r="D299" s="2" t="s">
        <v>857</v>
      </c>
      <c r="E299" s="2" t="n">
        <v>84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1</v>
      </c>
      <c r="Y299" s="2" t="s">
        <v>858</v>
      </c>
      <c r="Z299" s="2"/>
      <c r="AA299" s="2"/>
    </row>
    <row r="300" customFormat="false" ht="15" hidden="false" customHeight="false" outlineLevel="0" collapsed="false">
      <c r="A300" s="2" t="s">
        <v>31</v>
      </c>
      <c r="B300" s="2" t="s">
        <v>81</v>
      </c>
      <c r="C300" s="2" t="s">
        <v>859</v>
      </c>
      <c r="D300" s="2" t="s">
        <v>860</v>
      </c>
      <c r="E300" s="2" t="n">
        <v>77</v>
      </c>
      <c r="F300" s="2" t="n">
        <v>0</v>
      </c>
      <c r="G300" s="2" t="n">
        <v>5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1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/>
      <c r="Z300" s="2"/>
      <c r="AA300" s="2"/>
    </row>
    <row r="301" customFormat="false" ht="15" hidden="false" customHeight="false" outlineLevel="0" collapsed="false">
      <c r="A301" s="2" t="s">
        <v>31</v>
      </c>
      <c r="B301" s="2" t="s">
        <v>81</v>
      </c>
      <c r="C301" s="2" t="s">
        <v>861</v>
      </c>
      <c r="D301" s="2" t="s">
        <v>862</v>
      </c>
      <c r="E301" s="2" t="n">
        <v>98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1</v>
      </c>
      <c r="Y301" s="2" t="s">
        <v>863</v>
      </c>
      <c r="Z301" s="2"/>
      <c r="AA301" s="2"/>
    </row>
    <row r="302" customFormat="false" ht="15" hidden="false" customHeight="false" outlineLevel="0" collapsed="false">
      <c r="A302" s="2" t="s">
        <v>31</v>
      </c>
      <c r="B302" s="2" t="s">
        <v>82</v>
      </c>
      <c r="C302" s="2" t="s">
        <v>851</v>
      </c>
      <c r="D302" s="2" t="s">
        <v>864</v>
      </c>
      <c r="E302" s="2" t="n">
        <v>63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1</v>
      </c>
      <c r="Y302" s="2" t="s">
        <v>865</v>
      </c>
      <c r="Z302" s="2"/>
      <c r="AA302" s="2" t="s">
        <v>848</v>
      </c>
    </row>
    <row r="303" customFormat="false" ht="15" hidden="false" customHeight="false" outlineLevel="0" collapsed="false">
      <c r="A303" s="2" t="s">
        <v>31</v>
      </c>
      <c r="B303" s="2" t="s">
        <v>82</v>
      </c>
      <c r="C303" s="2" t="s">
        <v>866</v>
      </c>
      <c r="D303" s="2" t="s">
        <v>867</v>
      </c>
      <c r="E303" s="2" t="n">
        <v>49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2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/>
      <c r="Z303" s="2"/>
      <c r="AA303" s="2"/>
    </row>
    <row r="304" customFormat="false" ht="15" hidden="false" customHeight="false" outlineLevel="0" collapsed="false">
      <c r="A304" s="2" t="s">
        <v>31</v>
      </c>
      <c r="B304" s="2" t="s">
        <v>82</v>
      </c>
      <c r="C304" s="2" t="s">
        <v>868</v>
      </c>
      <c r="D304" s="2" t="s">
        <v>869</v>
      </c>
      <c r="E304" s="2" t="n">
        <v>49</v>
      </c>
      <c r="F304" s="2" t="n">
        <v>100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1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/>
      <c r="Z304" s="2"/>
      <c r="AA304" s="2"/>
    </row>
    <row r="305" customFormat="false" ht="15" hidden="false" customHeight="false" outlineLevel="0" collapsed="false">
      <c r="A305" s="2" t="s">
        <v>31</v>
      </c>
      <c r="B305" s="2" t="s">
        <v>82</v>
      </c>
      <c r="C305" s="2" t="s">
        <v>870</v>
      </c>
      <c r="D305" s="2" t="s">
        <v>871</v>
      </c>
      <c r="E305" s="2" t="n">
        <v>84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1</v>
      </c>
      <c r="Y305" s="2" t="s">
        <v>872</v>
      </c>
      <c r="Z305" s="2"/>
      <c r="AA305" s="2"/>
    </row>
    <row r="306" customFormat="false" ht="15" hidden="false" customHeight="false" outlineLevel="0" collapsed="false">
      <c r="A306" s="2" t="s">
        <v>31</v>
      </c>
      <c r="B306" s="2" t="s">
        <v>82</v>
      </c>
      <c r="C306" s="2" t="s">
        <v>873</v>
      </c>
      <c r="D306" s="2" t="s">
        <v>874</v>
      </c>
      <c r="E306" s="2" t="n">
        <v>77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2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/>
      <c r="Z306" s="2"/>
      <c r="AA306" s="2"/>
    </row>
    <row r="307" customFormat="false" ht="15" hidden="false" customHeight="false" outlineLevel="0" collapsed="false">
      <c r="A307" s="2" t="s">
        <v>31</v>
      </c>
      <c r="B307" s="2" t="s">
        <v>82</v>
      </c>
      <c r="C307" s="2" t="s">
        <v>875</v>
      </c>
      <c r="D307" s="2" t="s">
        <v>876</v>
      </c>
      <c r="E307" s="2" t="n">
        <v>98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1</v>
      </c>
      <c r="Y307" s="2" t="s">
        <v>877</v>
      </c>
      <c r="Z307" s="2"/>
      <c r="AA307" s="2"/>
    </row>
    <row r="308" customFormat="false" ht="15" hidden="false" customHeight="false" outlineLevel="0" collapsed="false">
      <c r="A308" s="2" t="s">
        <v>31</v>
      </c>
      <c r="B308" s="2" t="s">
        <v>83</v>
      </c>
      <c r="C308" s="2" t="s">
        <v>878</v>
      </c>
      <c r="D308" s="2" t="s">
        <v>879</v>
      </c>
      <c r="E308" s="2" t="n">
        <v>49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2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s">
        <v>820</v>
      </c>
      <c r="Z308" s="2"/>
      <c r="AA308" s="2"/>
    </row>
    <row r="309" customFormat="false" ht="15" hidden="false" customHeight="false" outlineLevel="0" collapsed="false">
      <c r="A309" s="2" t="s">
        <v>31</v>
      </c>
      <c r="B309" s="2" t="s">
        <v>83</v>
      </c>
      <c r="C309" s="2" t="s">
        <v>880</v>
      </c>
      <c r="D309" s="2" t="s">
        <v>881</v>
      </c>
      <c r="E309" s="2" t="n">
        <v>49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1</v>
      </c>
      <c r="Y309" s="2" t="s">
        <v>882</v>
      </c>
      <c r="Z309" s="2"/>
      <c r="AA309" s="2"/>
    </row>
    <row r="310" customFormat="false" ht="15" hidden="false" customHeight="false" outlineLevel="0" collapsed="false">
      <c r="A310" s="2" t="s">
        <v>31</v>
      </c>
      <c r="B310" s="2" t="s">
        <v>83</v>
      </c>
      <c r="C310" s="2" t="s">
        <v>883</v>
      </c>
      <c r="D310" s="2" t="s">
        <v>884</v>
      </c>
      <c r="E310" s="2" t="n">
        <v>49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2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/>
      <c r="Z310" s="2"/>
      <c r="AA310" s="2"/>
    </row>
    <row r="311" customFormat="false" ht="15" hidden="false" customHeight="false" outlineLevel="0" collapsed="false">
      <c r="A311" s="2" t="s">
        <v>31</v>
      </c>
      <c r="B311" s="2" t="s">
        <v>83</v>
      </c>
      <c r="C311" s="2" t="s">
        <v>885</v>
      </c>
      <c r="D311" s="2" t="s">
        <v>886</v>
      </c>
      <c r="E311" s="2" t="n">
        <v>63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1</v>
      </c>
      <c r="O311" s="2" t="n">
        <v>2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/>
      <c r="Z311" s="2"/>
      <c r="AA311" s="2"/>
    </row>
    <row r="312" customFormat="false" ht="15" hidden="false" customHeight="false" outlineLevel="0" collapsed="false">
      <c r="A312" s="2" t="s">
        <v>31</v>
      </c>
      <c r="B312" s="2" t="s">
        <v>83</v>
      </c>
      <c r="C312" s="2" t="s">
        <v>887</v>
      </c>
      <c r="D312" s="2" t="s">
        <v>888</v>
      </c>
      <c r="E312" s="2" t="n">
        <v>49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2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/>
      <c r="Z312" s="2"/>
      <c r="AA312" s="2"/>
    </row>
    <row r="313" customFormat="false" ht="15" hidden="false" customHeight="false" outlineLevel="0" collapsed="false">
      <c r="A313" s="2" t="s">
        <v>31</v>
      </c>
      <c r="B313" s="2" t="s">
        <v>83</v>
      </c>
      <c r="C313" s="2" t="s">
        <v>889</v>
      </c>
      <c r="D313" s="2" t="s">
        <v>890</v>
      </c>
      <c r="E313" s="2" t="n">
        <v>105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1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/>
      <c r="Z313" s="2"/>
      <c r="AA313" s="2"/>
    </row>
    <row r="314" customFormat="false" ht="15" hidden="false" customHeight="false" outlineLevel="0" collapsed="false">
      <c r="A314" s="2" t="s">
        <v>31</v>
      </c>
      <c r="B314" s="2" t="s">
        <v>84</v>
      </c>
      <c r="C314" s="2" t="s">
        <v>891</v>
      </c>
      <c r="D314" s="2" t="s">
        <v>892</v>
      </c>
      <c r="E314" s="2" t="n">
        <v>49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2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s">
        <v>893</v>
      </c>
      <c r="Z314" s="2"/>
      <c r="AA314" s="2"/>
    </row>
    <row r="315" customFormat="false" ht="15" hidden="false" customHeight="false" outlineLevel="0" collapsed="false">
      <c r="A315" s="2" t="s">
        <v>31</v>
      </c>
      <c r="B315" s="2" t="s">
        <v>84</v>
      </c>
      <c r="C315" s="2" t="s">
        <v>894</v>
      </c>
      <c r="D315" s="2" t="s">
        <v>895</v>
      </c>
      <c r="E315" s="2" t="n">
        <v>49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1</v>
      </c>
      <c r="Y315" s="2" t="s">
        <v>896</v>
      </c>
      <c r="Z315" s="2"/>
      <c r="AA315" s="2"/>
    </row>
    <row r="316" customFormat="false" ht="15" hidden="false" customHeight="false" outlineLevel="0" collapsed="false">
      <c r="A316" s="2" t="s">
        <v>31</v>
      </c>
      <c r="B316" s="2" t="s">
        <v>84</v>
      </c>
      <c r="C316" s="2" t="s">
        <v>897</v>
      </c>
      <c r="D316" s="2" t="s">
        <v>898</v>
      </c>
      <c r="E316" s="2" t="n">
        <v>49</v>
      </c>
      <c r="F316" s="2" t="n">
        <v>0</v>
      </c>
      <c r="G316" s="2" t="n">
        <v>0</v>
      </c>
      <c r="H316" s="2" t="n">
        <v>0</v>
      </c>
      <c r="I316" s="2" t="n">
        <v>30000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2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/>
      <c r="Z316" s="2"/>
      <c r="AA316" s="2"/>
    </row>
    <row r="317" customFormat="false" ht="15" hidden="false" customHeight="false" outlineLevel="0" collapsed="false">
      <c r="A317" s="2" t="s">
        <v>31</v>
      </c>
      <c r="B317" s="2" t="s">
        <v>84</v>
      </c>
      <c r="C317" s="2" t="s">
        <v>899</v>
      </c>
      <c r="D317" s="2" t="s">
        <v>900</v>
      </c>
      <c r="E317" s="2" t="n">
        <v>63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75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/>
      <c r="Z317" s="2"/>
      <c r="AA317" s="2"/>
    </row>
    <row r="318" customFormat="false" ht="15" hidden="false" customHeight="false" outlineLevel="0" collapsed="false">
      <c r="A318" s="2" t="s">
        <v>31</v>
      </c>
      <c r="B318" s="2" t="s">
        <v>84</v>
      </c>
      <c r="C318" s="2" t="s">
        <v>901</v>
      </c>
      <c r="D318" s="2" t="s">
        <v>902</v>
      </c>
      <c r="E318" s="2" t="n">
        <v>63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1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1</v>
      </c>
      <c r="Y318" s="2" t="s">
        <v>903</v>
      </c>
      <c r="Z318" s="2"/>
      <c r="AA318" s="2"/>
    </row>
    <row r="319" customFormat="false" ht="15" hidden="false" customHeight="false" outlineLevel="0" collapsed="false">
      <c r="A319" s="2" t="s">
        <v>31</v>
      </c>
      <c r="B319" s="2" t="s">
        <v>84</v>
      </c>
      <c r="C319" s="2" t="s">
        <v>904</v>
      </c>
      <c r="D319" s="2" t="s">
        <v>905</v>
      </c>
      <c r="E319" s="2" t="n">
        <v>84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150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/>
      <c r="Z319" s="2"/>
      <c r="AA319" s="2"/>
    </row>
    <row r="320" customFormat="false" ht="15" hidden="false" customHeight="false" outlineLevel="0" collapsed="false">
      <c r="A320" s="2" t="s">
        <v>31</v>
      </c>
      <c r="B320" s="2" t="s">
        <v>85</v>
      </c>
      <c r="C320" s="2" t="s">
        <v>906</v>
      </c>
      <c r="D320" s="2" t="s">
        <v>907</v>
      </c>
      <c r="E320" s="2" t="n">
        <v>49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2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100</v>
      </c>
      <c r="W320" s="2" t="n">
        <v>0</v>
      </c>
      <c r="X320" s="2" t="n">
        <v>0</v>
      </c>
      <c r="Y320" s="2"/>
      <c r="Z320" s="2"/>
      <c r="AA320" s="2"/>
    </row>
    <row r="321" customFormat="false" ht="15" hidden="false" customHeight="false" outlineLevel="0" collapsed="false">
      <c r="A321" s="2" t="s">
        <v>31</v>
      </c>
      <c r="B321" s="2" t="s">
        <v>85</v>
      </c>
      <c r="C321" s="2" t="s">
        <v>908</v>
      </c>
      <c r="D321" s="2" t="s">
        <v>909</v>
      </c>
      <c r="E321" s="2" t="n">
        <v>49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3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/>
      <c r="Z321" s="2"/>
      <c r="AA321" s="2"/>
    </row>
    <row r="322" customFormat="false" ht="15" hidden="false" customHeight="false" outlineLevel="0" collapsed="false">
      <c r="A322" s="2" t="s">
        <v>31</v>
      </c>
      <c r="B322" s="2" t="s">
        <v>85</v>
      </c>
      <c r="C322" s="2" t="s">
        <v>910</v>
      </c>
      <c r="D322" s="2" t="s">
        <v>911</v>
      </c>
      <c r="E322" s="2" t="n">
        <v>63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50</v>
      </c>
      <c r="M322" s="2" t="n">
        <v>0</v>
      </c>
      <c r="N322" s="2" t="n">
        <v>1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200</v>
      </c>
      <c r="W322" s="2" t="n">
        <v>0</v>
      </c>
      <c r="X322" s="2" t="n">
        <v>1</v>
      </c>
      <c r="Y322" s="2" t="s">
        <v>912</v>
      </c>
      <c r="Z322" s="2"/>
      <c r="AA322" s="2"/>
    </row>
    <row r="323" customFormat="false" ht="15" hidden="false" customHeight="false" outlineLevel="0" collapsed="false">
      <c r="A323" s="2" t="s">
        <v>31</v>
      </c>
      <c r="B323" s="2" t="s">
        <v>85</v>
      </c>
      <c r="C323" s="2" t="s">
        <v>913</v>
      </c>
      <c r="D323" s="2" t="s">
        <v>914</v>
      </c>
      <c r="E323" s="2" t="n">
        <v>49</v>
      </c>
      <c r="F323" s="2" t="n">
        <v>50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2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/>
      <c r="Z323" s="2"/>
      <c r="AA323" s="2"/>
    </row>
    <row r="324" customFormat="false" ht="15" hidden="false" customHeight="false" outlineLevel="0" collapsed="false">
      <c r="A324" s="2" t="s">
        <v>31</v>
      </c>
      <c r="B324" s="2" t="s">
        <v>85</v>
      </c>
      <c r="C324" s="2" t="s">
        <v>915</v>
      </c>
      <c r="D324" s="2" t="s">
        <v>916</v>
      </c>
      <c r="E324" s="2" t="n">
        <v>49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2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1</v>
      </c>
      <c r="Y324" s="2" t="s">
        <v>917</v>
      </c>
      <c r="Z324" s="2"/>
      <c r="AA324" s="2"/>
    </row>
    <row r="325" customFormat="false" ht="15" hidden="false" customHeight="false" outlineLevel="0" collapsed="false">
      <c r="A325" s="2" t="s">
        <v>31</v>
      </c>
      <c r="B325" s="2" t="s">
        <v>85</v>
      </c>
      <c r="C325" s="2" t="s">
        <v>918</v>
      </c>
      <c r="D325" s="2" t="s">
        <v>601</v>
      </c>
      <c r="E325" s="2" t="n">
        <v>84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25</v>
      </c>
      <c r="L325" s="2" t="n">
        <v>0</v>
      </c>
      <c r="M325" s="2" t="n">
        <v>0</v>
      </c>
      <c r="N325" s="2" t="n">
        <v>2</v>
      </c>
      <c r="O325" s="2" t="n">
        <v>0</v>
      </c>
      <c r="P325" s="2" t="n">
        <v>0</v>
      </c>
      <c r="Q325" s="2" t="n">
        <v>2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/>
      <c r="Z325" s="2"/>
      <c r="AA325" s="2"/>
    </row>
    <row r="326" customFormat="false" ht="15" hidden="false" customHeight="false" outlineLevel="0" collapsed="false">
      <c r="A326" s="2" t="s">
        <v>31</v>
      </c>
      <c r="B326" s="2" t="s">
        <v>86</v>
      </c>
      <c r="C326" s="2" t="s">
        <v>919</v>
      </c>
      <c r="D326" s="2" t="s">
        <v>920</v>
      </c>
      <c r="E326" s="2" t="n">
        <v>35</v>
      </c>
      <c r="F326" s="2" t="n">
        <v>50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/>
      <c r="Z326" s="2" t="s">
        <v>921</v>
      </c>
      <c r="AA326" s="2"/>
    </row>
    <row r="327" customFormat="false" ht="15" hidden="false" customHeight="false" outlineLevel="0" collapsed="false">
      <c r="A327" s="2" t="s">
        <v>31</v>
      </c>
      <c r="B327" s="2" t="s">
        <v>86</v>
      </c>
      <c r="C327" s="2" t="s">
        <v>922</v>
      </c>
      <c r="D327" s="2" t="s">
        <v>923</v>
      </c>
      <c r="E327" s="2" t="n">
        <v>49</v>
      </c>
      <c r="F327" s="2" t="n">
        <v>0</v>
      </c>
      <c r="G327" s="2" t="n">
        <v>5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/>
      <c r="Z327" s="2" t="s">
        <v>924</v>
      </c>
      <c r="AA327" s="2"/>
    </row>
    <row r="328" customFormat="false" ht="15" hidden="false" customHeight="false" outlineLevel="0" collapsed="false">
      <c r="A328" s="2" t="s">
        <v>31</v>
      </c>
      <c r="B328" s="2" t="s">
        <v>86</v>
      </c>
      <c r="C328" s="2" t="s">
        <v>925</v>
      </c>
      <c r="D328" s="2" t="s">
        <v>926</v>
      </c>
      <c r="E328" s="2" t="n">
        <v>49</v>
      </c>
      <c r="F328" s="2" t="n">
        <v>100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/>
      <c r="Z328" s="2"/>
      <c r="AA328" s="2"/>
    </row>
    <row r="329" customFormat="false" ht="15" hidden="false" customHeight="false" outlineLevel="0" collapsed="false">
      <c r="A329" s="2" t="s">
        <v>31</v>
      </c>
      <c r="B329" s="2" t="s">
        <v>86</v>
      </c>
      <c r="C329" s="2" t="s">
        <v>927</v>
      </c>
      <c r="D329" s="2" t="s">
        <v>928</v>
      </c>
      <c r="E329" s="2" t="n">
        <v>63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/>
      <c r="Z329" s="2" t="s">
        <v>929</v>
      </c>
      <c r="AA329" s="2"/>
    </row>
    <row r="330" customFormat="false" ht="15" hidden="false" customHeight="false" outlineLevel="0" collapsed="false">
      <c r="A330" s="2" t="s">
        <v>31</v>
      </c>
      <c r="B330" s="2" t="s">
        <v>86</v>
      </c>
      <c r="C330" s="2" t="s">
        <v>930</v>
      </c>
      <c r="D330" s="2" t="s">
        <v>931</v>
      </c>
      <c r="E330" s="2" t="n">
        <v>49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/>
      <c r="Z330" s="2" t="s">
        <v>932</v>
      </c>
      <c r="AA330" s="2"/>
    </row>
    <row r="331" customFormat="false" ht="15" hidden="false" customHeight="false" outlineLevel="0" collapsed="false">
      <c r="A331" s="2" t="s">
        <v>31</v>
      </c>
      <c r="B331" s="2" t="s">
        <v>86</v>
      </c>
      <c r="C331" s="2" t="s">
        <v>933</v>
      </c>
      <c r="D331" s="2" t="s">
        <v>934</v>
      </c>
      <c r="E331" s="2" t="n">
        <v>49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2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/>
      <c r="Z331" s="2"/>
      <c r="AA331" s="2"/>
    </row>
    <row r="332" customFormat="false" ht="15" hidden="false" customHeight="false" outlineLevel="0" collapsed="false">
      <c r="A332" s="2" t="s">
        <v>31</v>
      </c>
      <c r="B332" s="2" t="s">
        <v>86</v>
      </c>
      <c r="C332" s="2" t="s">
        <v>935</v>
      </c>
      <c r="D332" s="2" t="s">
        <v>936</v>
      </c>
      <c r="E332" s="2" t="n">
        <v>84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/>
      <c r="Z332" s="2" t="s">
        <v>937</v>
      </c>
      <c r="AA332" s="2"/>
    </row>
    <row r="333" customFormat="false" ht="15" hidden="false" customHeight="false" outlineLevel="0" collapsed="false">
      <c r="A333" s="2" t="s">
        <v>31</v>
      </c>
      <c r="B333" s="2" t="s">
        <v>86</v>
      </c>
      <c r="C333" s="2" t="s">
        <v>938</v>
      </c>
      <c r="D333" s="2" t="s">
        <v>939</v>
      </c>
      <c r="E333" s="2" t="n">
        <v>105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1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/>
      <c r="Z333" s="2"/>
      <c r="AA333" s="2"/>
    </row>
    <row r="334" customFormat="false" ht="15" hidden="false" customHeight="false" outlineLevel="0" collapsed="false">
      <c r="A334" s="2" t="s">
        <v>31</v>
      </c>
      <c r="B334" s="2" t="s">
        <v>87</v>
      </c>
      <c r="C334" s="2" t="s">
        <v>940</v>
      </c>
      <c r="D334" s="2" t="s">
        <v>941</v>
      </c>
      <c r="E334" s="2" t="n">
        <v>49</v>
      </c>
      <c r="F334" s="2" t="n">
        <v>50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/>
      <c r="Z334" s="2" t="s">
        <v>942</v>
      </c>
      <c r="AA334" s="2"/>
    </row>
    <row r="335" customFormat="false" ht="15" hidden="false" customHeight="false" outlineLevel="0" collapsed="false">
      <c r="A335" s="2" t="s">
        <v>31</v>
      </c>
      <c r="B335" s="2" t="s">
        <v>87</v>
      </c>
      <c r="C335" s="2" t="s">
        <v>943</v>
      </c>
      <c r="D335" s="2" t="s">
        <v>944</v>
      </c>
      <c r="E335" s="2" t="n">
        <v>49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1</v>
      </c>
      <c r="Y335" s="2" t="s">
        <v>945</v>
      </c>
      <c r="Z335" s="2"/>
      <c r="AA335" s="2"/>
    </row>
    <row r="336" customFormat="false" ht="15" hidden="false" customHeight="false" outlineLevel="0" collapsed="false">
      <c r="A336" s="2" t="s">
        <v>31</v>
      </c>
      <c r="B336" s="2" t="s">
        <v>87</v>
      </c>
      <c r="C336" s="2" t="s">
        <v>946</v>
      </c>
      <c r="D336" s="2" t="s">
        <v>947</v>
      </c>
      <c r="E336" s="2" t="n">
        <v>63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1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/>
      <c r="Z336" s="2" t="s">
        <v>921</v>
      </c>
      <c r="AA336" s="2"/>
    </row>
    <row r="337" customFormat="false" ht="15" hidden="false" customHeight="false" outlineLevel="0" collapsed="false">
      <c r="A337" s="2" t="s">
        <v>31</v>
      </c>
      <c r="B337" s="2" t="s">
        <v>87</v>
      </c>
      <c r="C337" s="2" t="s">
        <v>948</v>
      </c>
      <c r="D337" s="2" t="s">
        <v>949</v>
      </c>
      <c r="E337" s="2" t="n">
        <v>84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1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/>
      <c r="Z337" s="2" t="s">
        <v>929</v>
      </c>
      <c r="AA337" s="2"/>
    </row>
    <row r="338" customFormat="false" ht="15" hidden="false" customHeight="false" outlineLevel="0" collapsed="false">
      <c r="A338" s="2" t="s">
        <v>31</v>
      </c>
      <c r="B338" s="2" t="s">
        <v>87</v>
      </c>
      <c r="C338" s="2" t="s">
        <v>950</v>
      </c>
      <c r="D338" s="2" t="s">
        <v>951</v>
      </c>
      <c r="E338" s="2" t="n">
        <v>63</v>
      </c>
      <c r="F338" s="2" t="n">
        <v>0</v>
      </c>
      <c r="G338" s="2" t="n">
        <v>10</v>
      </c>
      <c r="H338" s="2" t="n">
        <v>5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/>
      <c r="Z338" s="2" t="s">
        <v>952</v>
      </c>
      <c r="AA338" s="2"/>
    </row>
    <row r="339" customFormat="false" ht="15" hidden="false" customHeight="false" outlineLevel="0" collapsed="false">
      <c r="A339" s="2" t="s">
        <v>31</v>
      </c>
      <c r="B339" s="2" t="s">
        <v>87</v>
      </c>
      <c r="C339" s="2" t="s">
        <v>953</v>
      </c>
      <c r="D339" s="2" t="s">
        <v>954</v>
      </c>
      <c r="E339" s="2" t="n">
        <v>105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1</v>
      </c>
      <c r="Y339" s="2" t="s">
        <v>955</v>
      </c>
      <c r="Z339" s="2"/>
      <c r="AA339" s="2"/>
    </row>
    <row r="340" customFormat="false" ht="15" hidden="false" customHeight="false" outlineLevel="0" collapsed="false">
      <c r="A340" s="2" t="s">
        <v>32</v>
      </c>
      <c r="B340" s="2" t="s">
        <v>88</v>
      </c>
      <c r="C340" s="2" t="s">
        <v>956</v>
      </c>
      <c r="D340" s="2" t="s">
        <v>957</v>
      </c>
      <c r="E340" s="2" t="n">
        <v>49</v>
      </c>
      <c r="F340" s="2" t="n">
        <v>100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/>
      <c r="Z340" s="2"/>
      <c r="AA340" s="2"/>
    </row>
    <row r="341" customFormat="false" ht="15" hidden="false" customHeight="false" outlineLevel="0" collapsed="false">
      <c r="A341" s="2" t="s">
        <v>32</v>
      </c>
      <c r="B341" s="2" t="s">
        <v>88</v>
      </c>
      <c r="C341" s="2" t="s">
        <v>958</v>
      </c>
      <c r="D341" s="2" t="s">
        <v>959</v>
      </c>
      <c r="E341" s="2" t="n">
        <v>49</v>
      </c>
      <c r="F341" s="2" t="n">
        <v>50</v>
      </c>
      <c r="G341" s="2" t="n">
        <v>3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/>
      <c r="Z341" s="2"/>
      <c r="AA341" s="2"/>
    </row>
    <row r="342" customFormat="false" ht="15" hidden="false" customHeight="false" outlineLevel="0" collapsed="false">
      <c r="A342" s="2" t="s">
        <v>32</v>
      </c>
      <c r="B342" s="2" t="s">
        <v>88</v>
      </c>
      <c r="C342" s="2" t="s">
        <v>960</v>
      </c>
      <c r="D342" s="2" t="s">
        <v>961</v>
      </c>
      <c r="E342" s="2" t="n">
        <v>49</v>
      </c>
      <c r="F342" s="2" t="n">
        <v>100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/>
      <c r="Z342" s="2"/>
      <c r="AA342" s="2" t="s">
        <v>962</v>
      </c>
    </row>
    <row r="343" customFormat="false" ht="15" hidden="false" customHeight="false" outlineLevel="0" collapsed="false">
      <c r="A343" s="2" t="s">
        <v>32</v>
      </c>
      <c r="B343" s="2" t="s">
        <v>88</v>
      </c>
      <c r="C343" s="2" t="s">
        <v>963</v>
      </c>
      <c r="D343" s="2" t="s">
        <v>964</v>
      </c>
      <c r="E343" s="2" t="n">
        <v>49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1</v>
      </c>
      <c r="Y343" s="2" t="s">
        <v>965</v>
      </c>
      <c r="Z343" s="2"/>
      <c r="AA343" s="2"/>
    </row>
    <row r="344" customFormat="false" ht="15" hidden="false" customHeight="false" outlineLevel="0" collapsed="false">
      <c r="A344" s="2" t="s">
        <v>32</v>
      </c>
      <c r="B344" s="2" t="s">
        <v>88</v>
      </c>
      <c r="C344" s="2" t="s">
        <v>966</v>
      </c>
      <c r="D344" s="2" t="s">
        <v>967</v>
      </c>
      <c r="E344" s="2" t="n">
        <v>49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1</v>
      </c>
      <c r="Y344" s="2" t="s">
        <v>968</v>
      </c>
      <c r="Z344" s="2" t="s">
        <v>969</v>
      </c>
      <c r="AA344" s="2"/>
    </row>
    <row r="345" customFormat="false" ht="15" hidden="false" customHeight="false" outlineLevel="0" collapsed="false">
      <c r="A345" s="2" t="s">
        <v>32</v>
      </c>
      <c r="B345" s="2" t="s">
        <v>88</v>
      </c>
      <c r="C345" s="2" t="s">
        <v>970</v>
      </c>
      <c r="D345" s="2" t="s">
        <v>971</v>
      </c>
      <c r="E345" s="2" t="n">
        <v>63</v>
      </c>
      <c r="F345" s="2" t="n">
        <v>50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1</v>
      </c>
      <c r="X345" s="2" t="n">
        <v>0</v>
      </c>
      <c r="Y345" s="2"/>
      <c r="Z345" s="2"/>
      <c r="AA345" s="2"/>
    </row>
    <row r="346" customFormat="false" ht="15" hidden="false" customHeight="false" outlineLevel="0" collapsed="false">
      <c r="A346" s="2" t="s">
        <v>32</v>
      </c>
      <c r="B346" s="2" t="s">
        <v>88</v>
      </c>
      <c r="C346" s="2" t="s">
        <v>972</v>
      </c>
      <c r="D346" s="2" t="s">
        <v>973</v>
      </c>
      <c r="E346" s="2" t="n">
        <v>63</v>
      </c>
      <c r="F346" s="2" t="n">
        <v>50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1</v>
      </c>
      <c r="X346" s="2" t="n">
        <v>0</v>
      </c>
      <c r="Y346" s="2"/>
      <c r="Z346" s="2"/>
      <c r="AA346" s="2"/>
    </row>
    <row r="347" customFormat="false" ht="15" hidden="false" customHeight="false" outlineLevel="0" collapsed="false">
      <c r="A347" s="2" t="s">
        <v>32</v>
      </c>
      <c r="B347" s="2" t="s">
        <v>88</v>
      </c>
      <c r="C347" s="2" t="s">
        <v>974</v>
      </c>
      <c r="D347" s="2" t="s">
        <v>975</v>
      </c>
      <c r="E347" s="2" t="n">
        <v>84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1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1</v>
      </c>
      <c r="Y347" s="2" t="s">
        <v>976</v>
      </c>
      <c r="Z347" s="2"/>
      <c r="AA347" s="2"/>
    </row>
    <row r="348" customFormat="false" ht="15" hidden="false" customHeight="false" outlineLevel="0" collapsed="false">
      <c r="A348" s="2" t="s">
        <v>32</v>
      </c>
      <c r="B348" s="2" t="s">
        <v>88</v>
      </c>
      <c r="C348" s="2" t="s">
        <v>977</v>
      </c>
      <c r="D348" s="2" t="s">
        <v>978</v>
      </c>
      <c r="E348" s="2" t="n">
        <v>105</v>
      </c>
      <c r="F348" s="2" t="n">
        <v>50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/>
      <c r="Z348" s="2"/>
      <c r="AA348" s="2"/>
    </row>
    <row r="349" customFormat="false" ht="15" hidden="false" customHeight="false" outlineLevel="0" collapsed="false">
      <c r="A349" s="2" t="s">
        <v>32</v>
      </c>
      <c r="B349" s="2" t="s">
        <v>89</v>
      </c>
      <c r="C349" s="2" t="s">
        <v>962</v>
      </c>
      <c r="D349" s="2" t="s">
        <v>979</v>
      </c>
      <c r="E349" s="2" t="n">
        <v>35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s">
        <v>980</v>
      </c>
      <c r="Z349" s="2" t="s">
        <v>981</v>
      </c>
      <c r="AA349" s="2" t="s">
        <v>960</v>
      </c>
    </row>
    <row r="350" customFormat="false" ht="15" hidden="false" customHeight="false" outlineLevel="0" collapsed="false">
      <c r="A350" s="2" t="s">
        <v>32</v>
      </c>
      <c r="B350" s="2" t="s">
        <v>89</v>
      </c>
      <c r="C350" s="2" t="s">
        <v>982</v>
      </c>
      <c r="D350" s="2" t="s">
        <v>983</v>
      </c>
      <c r="E350" s="2" t="n">
        <v>49</v>
      </c>
      <c r="F350" s="2" t="n">
        <v>0</v>
      </c>
      <c r="G350" s="2" t="n">
        <v>0</v>
      </c>
      <c r="H350" s="2" t="n">
        <v>0</v>
      </c>
      <c r="I350" s="2" t="n">
        <v>200000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/>
      <c r="Z350" s="2" t="s">
        <v>984</v>
      </c>
      <c r="AA350" s="2"/>
    </row>
    <row r="351" customFormat="false" ht="15" hidden="false" customHeight="false" outlineLevel="0" collapsed="false">
      <c r="A351" s="2" t="s">
        <v>32</v>
      </c>
      <c r="B351" s="2" t="s">
        <v>89</v>
      </c>
      <c r="C351" s="2" t="s">
        <v>985</v>
      </c>
      <c r="D351" s="2" t="s">
        <v>986</v>
      </c>
      <c r="E351" s="2" t="n">
        <v>63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1</v>
      </c>
      <c r="Y351" s="2" t="s">
        <v>987</v>
      </c>
      <c r="Z351" s="2"/>
      <c r="AA351" s="2"/>
    </row>
    <row r="352" customFormat="false" ht="15" hidden="false" customHeight="false" outlineLevel="0" collapsed="false">
      <c r="A352" s="2" t="s">
        <v>32</v>
      </c>
      <c r="B352" s="2" t="s">
        <v>89</v>
      </c>
      <c r="C352" s="2" t="s">
        <v>988</v>
      </c>
      <c r="D352" s="2" t="s">
        <v>989</v>
      </c>
      <c r="E352" s="2" t="n">
        <v>49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75</v>
      </c>
      <c r="K352" s="2" t="n">
        <v>0</v>
      </c>
      <c r="L352" s="2" t="n">
        <v>0</v>
      </c>
      <c r="M352" s="2" t="n">
        <v>0</v>
      </c>
      <c r="N352" s="2" t="n">
        <v>2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/>
      <c r="Z352" s="2"/>
      <c r="AA352" s="2"/>
    </row>
    <row r="353" customFormat="false" ht="15" hidden="false" customHeight="false" outlineLevel="0" collapsed="false">
      <c r="A353" s="2" t="s">
        <v>32</v>
      </c>
      <c r="B353" s="2" t="s">
        <v>89</v>
      </c>
      <c r="C353" s="2" t="s">
        <v>990</v>
      </c>
      <c r="D353" s="2" t="s">
        <v>991</v>
      </c>
      <c r="E353" s="2" t="n">
        <v>63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50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/>
      <c r="Z353" s="2" t="s">
        <v>984</v>
      </c>
      <c r="AA353" s="2"/>
    </row>
    <row r="354" customFormat="false" ht="15" hidden="false" customHeight="false" outlineLevel="0" collapsed="false">
      <c r="A354" s="2" t="s">
        <v>32</v>
      </c>
      <c r="B354" s="2" t="s">
        <v>89</v>
      </c>
      <c r="C354" s="2" t="s">
        <v>992</v>
      </c>
      <c r="D354" s="2" t="s">
        <v>993</v>
      </c>
      <c r="E354" s="2" t="n">
        <v>105</v>
      </c>
      <c r="F354" s="2" t="n">
        <v>0</v>
      </c>
      <c r="G354" s="2" t="n">
        <v>0</v>
      </c>
      <c r="H354" s="2" t="n">
        <v>10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1</v>
      </c>
      <c r="X354" s="2" t="n">
        <v>0</v>
      </c>
      <c r="Y354" s="2"/>
      <c r="Z354" s="2"/>
      <c r="AA354" s="2"/>
    </row>
    <row r="355" customFormat="false" ht="15" hidden="false" customHeight="false" outlineLevel="0" collapsed="false">
      <c r="A355" s="2" t="s">
        <v>32</v>
      </c>
      <c r="B355" s="2" t="s">
        <v>89</v>
      </c>
      <c r="C355" s="2" t="s">
        <v>994</v>
      </c>
      <c r="D355" s="2" t="s">
        <v>995</v>
      </c>
      <c r="E355" s="2" t="n">
        <v>84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1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1</v>
      </c>
      <c r="Y355" s="2" t="s">
        <v>996</v>
      </c>
      <c r="Z355" s="2"/>
      <c r="AA355" s="2"/>
    </row>
    <row r="356" customFormat="false" ht="15" hidden="false" customHeight="false" outlineLevel="0" collapsed="false">
      <c r="A356" s="2" t="s">
        <v>32</v>
      </c>
      <c r="B356" s="2" t="s">
        <v>45</v>
      </c>
      <c r="C356" s="2" t="s">
        <v>997</v>
      </c>
      <c r="D356" s="2" t="s">
        <v>998</v>
      </c>
      <c r="E356" s="2" t="n">
        <v>70</v>
      </c>
      <c r="F356" s="2" t="n">
        <v>120</v>
      </c>
      <c r="G356" s="2" t="n">
        <v>5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/>
      <c r="Z356" s="2"/>
      <c r="AA356" s="2"/>
    </row>
    <row r="357" customFormat="false" ht="15" hidden="false" customHeight="false" outlineLevel="0" collapsed="false">
      <c r="A357" s="2" t="s">
        <v>32</v>
      </c>
      <c r="B357" s="2" t="s">
        <v>45</v>
      </c>
      <c r="C357" s="2" t="s">
        <v>999</v>
      </c>
      <c r="D357" s="2" t="s">
        <v>1000</v>
      </c>
      <c r="E357" s="2" t="n">
        <v>70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1</v>
      </c>
      <c r="Y357" s="2" t="s">
        <v>1001</v>
      </c>
      <c r="Z357" s="2"/>
      <c r="AA357" s="2"/>
    </row>
    <row r="358" customFormat="false" ht="15" hidden="false" customHeight="false" outlineLevel="0" collapsed="false">
      <c r="A358" s="2" t="s">
        <v>32</v>
      </c>
      <c r="B358" s="2" t="s">
        <v>45</v>
      </c>
      <c r="C358" s="2" t="s">
        <v>1002</v>
      </c>
      <c r="D358" s="2" t="s">
        <v>1003</v>
      </c>
      <c r="E358" s="2" t="n">
        <v>70</v>
      </c>
      <c r="F358" s="2" t="n">
        <v>0</v>
      </c>
      <c r="G358" s="2" t="n">
        <v>0</v>
      </c>
      <c r="H358" s="2" t="n">
        <v>5</v>
      </c>
      <c r="I358" s="2" t="n">
        <v>0</v>
      </c>
      <c r="J358" s="2" t="n">
        <v>25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/>
      <c r="Z358" s="2"/>
      <c r="AA358" s="2"/>
    </row>
    <row r="359" customFormat="false" ht="15" hidden="false" customHeight="false" outlineLevel="0" collapsed="false">
      <c r="A359" s="2" t="s">
        <v>32</v>
      </c>
      <c r="B359" s="2" t="s">
        <v>45</v>
      </c>
      <c r="C359" s="2" t="s">
        <v>1004</v>
      </c>
      <c r="D359" s="2" t="s">
        <v>1005</v>
      </c>
      <c r="E359" s="2" t="n">
        <v>105</v>
      </c>
      <c r="F359" s="2" t="n">
        <v>50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7</v>
      </c>
      <c r="X359" s="2" t="n">
        <v>0</v>
      </c>
      <c r="Y359" s="2"/>
      <c r="Z359" s="2"/>
      <c r="AA359" s="2"/>
    </row>
    <row r="360" customFormat="false" ht="15" hidden="false" customHeight="false" outlineLevel="0" collapsed="false">
      <c r="A360" s="2" t="s">
        <v>32</v>
      </c>
      <c r="B360" s="2" t="s">
        <v>90</v>
      </c>
      <c r="C360" s="2" t="s">
        <v>1006</v>
      </c>
      <c r="D360" s="2" t="s">
        <v>360</v>
      </c>
      <c r="E360" s="2" t="n">
        <v>49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2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/>
      <c r="Z360" s="2" t="s">
        <v>1007</v>
      </c>
      <c r="AA360" s="2"/>
    </row>
    <row r="361" customFormat="false" ht="15" hidden="false" customHeight="false" outlineLevel="0" collapsed="false">
      <c r="A361" s="2" t="s">
        <v>32</v>
      </c>
      <c r="B361" s="2" t="s">
        <v>90</v>
      </c>
      <c r="C361" s="2" t="s">
        <v>1008</v>
      </c>
      <c r="D361" s="2" t="s">
        <v>1009</v>
      </c>
      <c r="E361" s="2" t="n">
        <v>63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1</v>
      </c>
      <c r="Y361" s="2" t="s">
        <v>1010</v>
      </c>
      <c r="Z361" s="2"/>
      <c r="AA361" s="2" t="s">
        <v>1011</v>
      </c>
    </row>
    <row r="362" customFormat="false" ht="15" hidden="false" customHeight="false" outlineLevel="0" collapsed="false">
      <c r="A362" s="2" t="s">
        <v>32</v>
      </c>
      <c r="B362" s="2" t="s">
        <v>90</v>
      </c>
      <c r="C362" s="2" t="s">
        <v>1012</v>
      </c>
      <c r="D362" s="2" t="s">
        <v>1013</v>
      </c>
      <c r="E362" s="2" t="n">
        <v>49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1</v>
      </c>
      <c r="P362" s="2" t="n">
        <v>0</v>
      </c>
      <c r="Q362" s="2" t="n">
        <v>0</v>
      </c>
      <c r="R362" s="2" t="n">
        <v>3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/>
      <c r="Z362" s="2"/>
      <c r="AA362" s="2"/>
    </row>
    <row r="363" customFormat="false" ht="15" hidden="false" customHeight="false" outlineLevel="0" collapsed="false">
      <c r="A363" s="2" t="s">
        <v>32</v>
      </c>
      <c r="B363" s="2" t="s">
        <v>90</v>
      </c>
      <c r="C363" s="2" t="s">
        <v>1014</v>
      </c>
      <c r="D363" s="2" t="s">
        <v>1015</v>
      </c>
      <c r="E363" s="2" t="n">
        <v>49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2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/>
      <c r="Z363" s="2" t="s">
        <v>1016</v>
      </c>
      <c r="AA363" s="2"/>
    </row>
    <row r="364" customFormat="false" ht="15" hidden="false" customHeight="false" outlineLevel="0" collapsed="false">
      <c r="A364" s="2" t="s">
        <v>32</v>
      </c>
      <c r="B364" s="2" t="s">
        <v>90</v>
      </c>
      <c r="C364" s="2" t="s">
        <v>1017</v>
      </c>
      <c r="D364" s="2" t="s">
        <v>1018</v>
      </c>
      <c r="E364" s="2" t="n">
        <v>84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1</v>
      </c>
      <c r="Y364" s="2" t="s">
        <v>1019</v>
      </c>
      <c r="Z364" s="2"/>
      <c r="AA364" s="2"/>
    </row>
    <row r="365" customFormat="false" ht="15" hidden="false" customHeight="false" outlineLevel="0" collapsed="false">
      <c r="A365" s="2" t="s">
        <v>32</v>
      </c>
      <c r="B365" s="2" t="s">
        <v>90</v>
      </c>
      <c r="C365" s="2" t="s">
        <v>1020</v>
      </c>
      <c r="D365" s="2" t="s">
        <v>1021</v>
      </c>
      <c r="E365" s="2" t="n">
        <v>77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2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/>
      <c r="Z365" s="2"/>
      <c r="AA365" s="2"/>
    </row>
    <row r="366" customFormat="false" ht="15" hidden="false" customHeight="false" outlineLevel="0" collapsed="false">
      <c r="A366" s="2" t="s">
        <v>32</v>
      </c>
      <c r="B366" s="2" t="s">
        <v>90</v>
      </c>
      <c r="C366" s="2" t="s">
        <v>1022</v>
      </c>
      <c r="D366" s="2" t="s">
        <v>1023</v>
      </c>
      <c r="E366" s="2" t="n">
        <v>98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1</v>
      </c>
      <c r="Y366" s="2" t="s">
        <v>1024</v>
      </c>
      <c r="Z366" s="2"/>
      <c r="AA366" s="2"/>
    </row>
    <row r="367" customFormat="false" ht="15" hidden="false" customHeight="false" outlineLevel="0" collapsed="false">
      <c r="A367" s="2" t="s">
        <v>32</v>
      </c>
      <c r="B367" s="2" t="s">
        <v>91</v>
      </c>
      <c r="C367" s="2" t="s">
        <v>1011</v>
      </c>
      <c r="D367" s="2" t="s">
        <v>1025</v>
      </c>
      <c r="E367" s="2" t="n">
        <v>63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1</v>
      </c>
      <c r="Y367" s="2" t="s">
        <v>1026</v>
      </c>
      <c r="Z367" s="2"/>
      <c r="AA367" s="2" t="s">
        <v>1008</v>
      </c>
    </row>
    <row r="368" customFormat="false" ht="15" hidden="false" customHeight="false" outlineLevel="0" collapsed="false">
      <c r="A368" s="2" t="s">
        <v>32</v>
      </c>
      <c r="B368" s="2" t="s">
        <v>91</v>
      </c>
      <c r="C368" s="2" t="s">
        <v>1027</v>
      </c>
      <c r="D368" s="2" t="s">
        <v>1028</v>
      </c>
      <c r="E368" s="2" t="n">
        <v>49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2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/>
      <c r="Z368" s="2"/>
      <c r="AA368" s="2"/>
    </row>
    <row r="369" customFormat="false" ht="15" hidden="false" customHeight="false" outlineLevel="0" collapsed="false">
      <c r="A369" s="2" t="s">
        <v>32</v>
      </c>
      <c r="B369" s="2" t="s">
        <v>91</v>
      </c>
      <c r="C369" s="2" t="s">
        <v>1029</v>
      </c>
      <c r="D369" s="2" t="s">
        <v>1030</v>
      </c>
      <c r="E369" s="2" t="n">
        <v>49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2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/>
      <c r="Z369" s="2"/>
      <c r="AA369" s="2"/>
    </row>
    <row r="370" customFormat="false" ht="15" hidden="false" customHeight="false" outlineLevel="0" collapsed="false">
      <c r="A370" s="2" t="s">
        <v>32</v>
      </c>
      <c r="B370" s="2" t="s">
        <v>91</v>
      </c>
      <c r="C370" s="2" t="s">
        <v>1031</v>
      </c>
      <c r="D370" s="2" t="s">
        <v>1032</v>
      </c>
      <c r="E370" s="2" t="n">
        <v>84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1</v>
      </c>
      <c r="Y370" s="2" t="s">
        <v>1033</v>
      </c>
      <c r="Z370" s="2"/>
      <c r="AA370" s="2"/>
    </row>
    <row r="371" customFormat="false" ht="15" hidden="false" customHeight="false" outlineLevel="0" collapsed="false">
      <c r="A371" s="2" t="s">
        <v>32</v>
      </c>
      <c r="B371" s="2" t="s">
        <v>91</v>
      </c>
      <c r="C371" s="2" t="s">
        <v>1034</v>
      </c>
      <c r="D371" s="2" t="s">
        <v>1035</v>
      </c>
      <c r="E371" s="2" t="n">
        <v>77</v>
      </c>
      <c r="F371" s="2" t="n">
        <v>50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1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/>
      <c r="Z371" s="2"/>
      <c r="AA371" s="2"/>
    </row>
    <row r="372" customFormat="false" ht="15" hidden="false" customHeight="false" outlineLevel="0" collapsed="false">
      <c r="A372" s="2" t="s">
        <v>32</v>
      </c>
      <c r="B372" s="2" t="s">
        <v>91</v>
      </c>
      <c r="C372" s="2" t="s">
        <v>1036</v>
      </c>
      <c r="D372" s="2" t="s">
        <v>1037</v>
      </c>
      <c r="E372" s="2" t="n">
        <v>98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1</v>
      </c>
      <c r="Y372" s="2" t="s">
        <v>1038</v>
      </c>
      <c r="Z372" s="2"/>
      <c r="AA372" s="2"/>
    </row>
    <row r="373" customFormat="false" ht="15" hidden="false" customHeight="false" outlineLevel="0" collapsed="false">
      <c r="A373" s="2" t="s">
        <v>32</v>
      </c>
      <c r="B373" s="2" t="s">
        <v>92</v>
      </c>
      <c r="C373" s="2" t="s">
        <v>1039</v>
      </c>
      <c r="D373" s="2" t="s">
        <v>1040</v>
      </c>
      <c r="E373" s="2" t="n">
        <v>49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2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/>
      <c r="Z373" s="2" t="s">
        <v>1007</v>
      </c>
      <c r="AA373" s="2"/>
    </row>
    <row r="374" customFormat="false" ht="15" hidden="false" customHeight="false" outlineLevel="0" collapsed="false">
      <c r="A374" s="2" t="s">
        <v>32</v>
      </c>
      <c r="B374" s="2" t="s">
        <v>92</v>
      </c>
      <c r="C374" s="2" t="s">
        <v>1041</v>
      </c>
      <c r="D374" s="2" t="s">
        <v>1042</v>
      </c>
      <c r="E374" s="2" t="n">
        <v>49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1</v>
      </c>
      <c r="Y374" s="2" t="s">
        <v>1043</v>
      </c>
      <c r="Z374" s="2"/>
      <c r="AA374" s="2"/>
    </row>
    <row r="375" customFormat="false" ht="15" hidden="false" customHeight="false" outlineLevel="0" collapsed="false">
      <c r="A375" s="2" t="s">
        <v>32</v>
      </c>
      <c r="B375" s="2" t="s">
        <v>92</v>
      </c>
      <c r="C375" s="2" t="s">
        <v>1044</v>
      </c>
      <c r="D375" s="2" t="s">
        <v>1045</v>
      </c>
      <c r="E375" s="2" t="n">
        <v>49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2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/>
      <c r="Z375" s="2"/>
      <c r="AA375" s="2"/>
    </row>
    <row r="376" customFormat="false" ht="15" hidden="false" customHeight="false" outlineLevel="0" collapsed="false">
      <c r="A376" s="2" t="s">
        <v>32</v>
      </c>
      <c r="B376" s="2" t="s">
        <v>92</v>
      </c>
      <c r="C376" s="2" t="s">
        <v>1046</v>
      </c>
      <c r="D376" s="2" t="s">
        <v>1047</v>
      </c>
      <c r="E376" s="2" t="n">
        <v>63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1</v>
      </c>
      <c r="O376" s="2" t="n">
        <v>0</v>
      </c>
      <c r="P376" s="2" t="n">
        <v>2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/>
      <c r="Z376" s="2"/>
      <c r="AA376" s="2"/>
    </row>
    <row r="377" customFormat="false" ht="15" hidden="false" customHeight="false" outlineLevel="0" collapsed="false">
      <c r="A377" s="2" t="s">
        <v>32</v>
      </c>
      <c r="B377" s="2" t="s">
        <v>92</v>
      </c>
      <c r="C377" s="2" t="s">
        <v>1048</v>
      </c>
      <c r="D377" s="2" t="s">
        <v>1049</v>
      </c>
      <c r="E377" s="2" t="n">
        <v>49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2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/>
      <c r="Z377" s="2"/>
      <c r="AA377" s="2"/>
    </row>
    <row r="378" customFormat="false" ht="15" hidden="false" customHeight="false" outlineLevel="0" collapsed="false">
      <c r="A378" s="2" t="s">
        <v>32</v>
      </c>
      <c r="B378" s="2" t="s">
        <v>92</v>
      </c>
      <c r="C378" s="2" t="s">
        <v>1050</v>
      </c>
      <c r="D378" s="2" t="s">
        <v>1051</v>
      </c>
      <c r="E378" s="2" t="n">
        <v>105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1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/>
      <c r="Z378" s="2"/>
      <c r="AA378" s="2"/>
    </row>
    <row r="379" customFormat="false" ht="15" hidden="false" customHeight="false" outlineLevel="0" collapsed="false">
      <c r="A379" s="2" t="s">
        <v>32</v>
      </c>
      <c r="B379" s="2" t="s">
        <v>93</v>
      </c>
      <c r="C379" s="2" t="s">
        <v>1052</v>
      </c>
      <c r="D379" s="2" t="s">
        <v>1053</v>
      </c>
      <c r="E379" s="2" t="n">
        <v>49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1</v>
      </c>
      <c r="Y379" s="2" t="s">
        <v>1054</v>
      </c>
      <c r="Z379" s="2"/>
      <c r="AA379" s="2"/>
    </row>
    <row r="380" customFormat="false" ht="15" hidden="false" customHeight="false" outlineLevel="0" collapsed="false">
      <c r="A380" s="2" t="s">
        <v>32</v>
      </c>
      <c r="B380" s="2" t="s">
        <v>93</v>
      </c>
      <c r="C380" s="2" t="s">
        <v>1055</v>
      </c>
      <c r="D380" s="2" t="s">
        <v>1056</v>
      </c>
      <c r="E380" s="2" t="n">
        <v>49</v>
      </c>
      <c r="F380" s="2" t="n">
        <v>50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2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/>
      <c r="Z380" s="2"/>
      <c r="AA380" s="2"/>
    </row>
    <row r="381" customFormat="false" ht="15" hidden="false" customHeight="false" outlineLevel="0" collapsed="false">
      <c r="A381" s="2" t="s">
        <v>32</v>
      </c>
      <c r="B381" s="2" t="s">
        <v>93</v>
      </c>
      <c r="C381" s="2" t="s">
        <v>1057</v>
      </c>
      <c r="D381" s="2" t="s">
        <v>1058</v>
      </c>
      <c r="E381" s="2" t="n">
        <v>49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2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/>
      <c r="Z381" s="2"/>
      <c r="AA381" s="2"/>
    </row>
    <row r="382" customFormat="false" ht="15" hidden="false" customHeight="false" outlineLevel="0" collapsed="false">
      <c r="A382" s="2" t="s">
        <v>32</v>
      </c>
      <c r="B382" s="2" t="s">
        <v>93</v>
      </c>
      <c r="C382" s="2" t="s">
        <v>1059</v>
      </c>
      <c r="D382" s="2" t="s">
        <v>1060</v>
      </c>
      <c r="E382" s="2" t="n">
        <v>63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75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/>
      <c r="Z382" s="2"/>
      <c r="AA382" s="2"/>
    </row>
    <row r="383" customFormat="false" ht="15" hidden="false" customHeight="false" outlineLevel="0" collapsed="false">
      <c r="A383" s="2" t="s">
        <v>32</v>
      </c>
      <c r="B383" s="2" t="s">
        <v>93</v>
      </c>
      <c r="C383" s="2" t="s">
        <v>1061</v>
      </c>
      <c r="D383" s="2" t="s">
        <v>1062</v>
      </c>
      <c r="E383" s="2" t="n">
        <v>49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2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/>
      <c r="Z383" s="2"/>
      <c r="AA383" s="2"/>
    </row>
    <row r="384" customFormat="false" ht="15" hidden="false" customHeight="false" outlineLevel="0" collapsed="false">
      <c r="A384" s="2" t="s">
        <v>32</v>
      </c>
      <c r="B384" s="2" t="s">
        <v>93</v>
      </c>
      <c r="C384" s="2" t="s">
        <v>1063</v>
      </c>
      <c r="D384" s="2" t="s">
        <v>1064</v>
      </c>
      <c r="E384" s="2" t="n">
        <v>84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150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/>
      <c r="Z384" s="2"/>
      <c r="AA384" s="2"/>
    </row>
    <row r="385" customFormat="false" ht="15" hidden="false" customHeight="false" outlineLevel="0" collapsed="false">
      <c r="A385" s="2" t="s">
        <v>32</v>
      </c>
      <c r="B385" s="2" t="s">
        <v>94</v>
      </c>
      <c r="C385" s="2" t="s">
        <v>1065</v>
      </c>
      <c r="D385" s="2" t="s">
        <v>1066</v>
      </c>
      <c r="E385" s="2" t="n">
        <v>49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2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/>
      <c r="Z385" s="2" t="s">
        <v>969</v>
      </c>
      <c r="AA385" s="2"/>
    </row>
    <row r="386" customFormat="false" ht="15" hidden="false" customHeight="false" outlineLevel="0" collapsed="false">
      <c r="A386" s="2" t="s">
        <v>32</v>
      </c>
      <c r="B386" s="2" t="s">
        <v>94</v>
      </c>
      <c r="C386" s="2" t="s">
        <v>1067</v>
      </c>
      <c r="D386" s="2" t="s">
        <v>1068</v>
      </c>
      <c r="E386" s="2" t="n">
        <v>49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2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/>
      <c r="Z386" s="2"/>
      <c r="AA386" s="2"/>
    </row>
    <row r="387" customFormat="false" ht="15" hidden="false" customHeight="false" outlineLevel="0" collapsed="false">
      <c r="A387" s="2" t="s">
        <v>32</v>
      </c>
      <c r="B387" s="2" t="s">
        <v>94</v>
      </c>
      <c r="C387" s="2" t="s">
        <v>1069</v>
      </c>
      <c r="D387" s="2" t="s">
        <v>1070</v>
      </c>
      <c r="E387" s="2" t="n">
        <v>49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50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2</v>
      </c>
      <c r="T387" s="2" t="n">
        <v>0</v>
      </c>
      <c r="U387" s="2" t="n">
        <v>0</v>
      </c>
      <c r="V387" s="2" t="n">
        <v>100</v>
      </c>
      <c r="W387" s="2" t="n">
        <v>0</v>
      </c>
      <c r="X387" s="2" t="n">
        <v>0</v>
      </c>
      <c r="Y387" s="2"/>
      <c r="Z387" s="2"/>
      <c r="AA387" s="2"/>
    </row>
    <row r="388" customFormat="false" ht="15" hidden="false" customHeight="false" outlineLevel="0" collapsed="false">
      <c r="A388" s="2" t="s">
        <v>32</v>
      </c>
      <c r="B388" s="2" t="s">
        <v>94</v>
      </c>
      <c r="C388" s="2" t="s">
        <v>1071</v>
      </c>
      <c r="D388" s="2" t="s">
        <v>1072</v>
      </c>
      <c r="E388" s="2" t="n">
        <v>63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1</v>
      </c>
      <c r="Y388" s="2" t="s">
        <v>1073</v>
      </c>
      <c r="Z388" s="2"/>
      <c r="AA388" s="2"/>
    </row>
    <row r="389" customFormat="false" ht="15" hidden="false" customHeight="false" outlineLevel="0" collapsed="false">
      <c r="A389" s="2" t="s">
        <v>32</v>
      </c>
      <c r="B389" s="2" t="s">
        <v>94</v>
      </c>
      <c r="C389" s="2" t="s">
        <v>1074</v>
      </c>
      <c r="D389" s="2" t="s">
        <v>1075</v>
      </c>
      <c r="E389" s="2" t="n">
        <v>49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2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/>
      <c r="Z389" s="2"/>
      <c r="AA389" s="2"/>
    </row>
    <row r="390" customFormat="false" ht="15" hidden="false" customHeight="false" outlineLevel="0" collapsed="false">
      <c r="A390" s="2" t="s">
        <v>32</v>
      </c>
      <c r="B390" s="2" t="s">
        <v>94</v>
      </c>
      <c r="C390" s="2" t="s">
        <v>1076</v>
      </c>
      <c r="D390" s="2" t="s">
        <v>1077</v>
      </c>
      <c r="E390" s="2" t="n">
        <v>84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25</v>
      </c>
      <c r="L390" s="2" t="n">
        <v>0</v>
      </c>
      <c r="M390" s="2" t="n">
        <v>0</v>
      </c>
      <c r="N390" s="2" t="n">
        <v>2</v>
      </c>
      <c r="O390" s="2" t="n">
        <v>0</v>
      </c>
      <c r="P390" s="2" t="n">
        <v>0</v>
      </c>
      <c r="Q390" s="2" t="n">
        <v>2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/>
      <c r="Z390" s="2"/>
      <c r="AA390" s="2"/>
    </row>
    <row r="391" customFormat="false" ht="15" hidden="false" customHeight="false" outlineLevel="0" collapsed="false">
      <c r="A391" s="2" t="s">
        <v>32</v>
      </c>
      <c r="B391" s="2" t="s">
        <v>95</v>
      </c>
      <c r="C391" s="2" t="s">
        <v>1078</v>
      </c>
      <c r="D391" s="2" t="s">
        <v>1079</v>
      </c>
      <c r="E391" s="2" t="n">
        <v>35</v>
      </c>
      <c r="F391" s="2" t="n">
        <v>50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/>
      <c r="Z391" s="2"/>
      <c r="AA391" s="2"/>
    </row>
    <row r="392" customFormat="false" ht="15" hidden="false" customHeight="false" outlineLevel="0" collapsed="false">
      <c r="A392" s="2" t="s">
        <v>32</v>
      </c>
      <c r="B392" s="2" t="s">
        <v>95</v>
      </c>
      <c r="C392" s="2" t="s">
        <v>1080</v>
      </c>
      <c r="D392" s="2" t="s">
        <v>1081</v>
      </c>
      <c r="E392" s="2" t="n">
        <v>49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2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/>
      <c r="Z392" s="2" t="s">
        <v>1082</v>
      </c>
      <c r="AA392" s="2"/>
    </row>
    <row r="393" customFormat="false" ht="15" hidden="false" customHeight="false" outlineLevel="0" collapsed="false">
      <c r="A393" s="2" t="s">
        <v>32</v>
      </c>
      <c r="B393" s="2" t="s">
        <v>95</v>
      </c>
      <c r="C393" s="2" t="s">
        <v>1083</v>
      </c>
      <c r="D393" s="2" t="s">
        <v>1084</v>
      </c>
      <c r="E393" s="2" t="n">
        <v>49</v>
      </c>
      <c r="F393" s="2" t="n">
        <v>100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/>
      <c r="Z393" s="2" t="s">
        <v>1085</v>
      </c>
      <c r="AA393" s="2"/>
    </row>
    <row r="394" customFormat="false" ht="15" hidden="false" customHeight="false" outlineLevel="0" collapsed="false">
      <c r="A394" s="2" t="s">
        <v>32</v>
      </c>
      <c r="B394" s="2" t="s">
        <v>95</v>
      </c>
      <c r="C394" s="2" t="s">
        <v>1086</v>
      </c>
      <c r="D394" s="2" t="s">
        <v>1087</v>
      </c>
      <c r="E394" s="2" t="n">
        <v>49</v>
      </c>
      <c r="F394" s="2" t="n">
        <v>0</v>
      </c>
      <c r="G394" s="2" t="n">
        <v>0</v>
      </c>
      <c r="H394" s="2" t="n">
        <v>0</v>
      </c>
      <c r="I394" s="2" t="n">
        <v>100000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/>
      <c r="Z394" s="2" t="s">
        <v>984</v>
      </c>
      <c r="AA394" s="2"/>
    </row>
    <row r="395" customFormat="false" ht="15" hidden="false" customHeight="false" outlineLevel="0" collapsed="false">
      <c r="A395" s="2" t="s">
        <v>32</v>
      </c>
      <c r="B395" s="2" t="s">
        <v>95</v>
      </c>
      <c r="C395" s="2" t="s">
        <v>1088</v>
      </c>
      <c r="D395" s="2" t="s">
        <v>1089</v>
      </c>
      <c r="E395" s="2" t="n">
        <v>63</v>
      </c>
      <c r="F395" s="2" t="n">
        <v>0</v>
      </c>
      <c r="G395" s="2" t="n">
        <v>5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/>
      <c r="Z395" s="2"/>
      <c r="AA395" s="2"/>
    </row>
    <row r="396" customFormat="false" ht="15" hidden="false" customHeight="false" outlineLevel="0" collapsed="false">
      <c r="A396" s="2" t="s">
        <v>32</v>
      </c>
      <c r="B396" s="2" t="s">
        <v>95</v>
      </c>
      <c r="C396" s="2" t="s">
        <v>1090</v>
      </c>
      <c r="D396" s="2" t="s">
        <v>1091</v>
      </c>
      <c r="E396" s="2" t="n">
        <v>49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2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/>
      <c r="Z396" s="2"/>
      <c r="AA396" s="2"/>
    </row>
    <row r="397" customFormat="false" ht="15" hidden="false" customHeight="false" outlineLevel="0" collapsed="false">
      <c r="A397" s="2" t="s">
        <v>32</v>
      </c>
      <c r="B397" s="2" t="s">
        <v>95</v>
      </c>
      <c r="C397" s="2" t="s">
        <v>1092</v>
      </c>
      <c r="D397" s="2" t="s">
        <v>1093</v>
      </c>
      <c r="E397" s="2" t="n">
        <v>49</v>
      </c>
      <c r="F397" s="2" t="n">
        <v>0</v>
      </c>
      <c r="G397" s="2" t="n">
        <v>5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2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/>
      <c r="Z397" s="2"/>
      <c r="AA397" s="2"/>
    </row>
    <row r="398" customFormat="false" ht="15" hidden="false" customHeight="false" outlineLevel="0" collapsed="false">
      <c r="A398" s="2" t="s">
        <v>32</v>
      </c>
      <c r="B398" s="2" t="s">
        <v>95</v>
      </c>
      <c r="C398" s="2" t="s">
        <v>1094</v>
      </c>
      <c r="D398" s="2" t="s">
        <v>1095</v>
      </c>
      <c r="E398" s="2" t="n">
        <v>105</v>
      </c>
      <c r="F398" s="2" t="n">
        <v>150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1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/>
      <c r="Z398" s="2"/>
      <c r="AA398" s="2"/>
    </row>
    <row r="399" customFormat="false" ht="15" hidden="false" customHeight="false" outlineLevel="0" collapsed="false">
      <c r="A399" s="2" t="s">
        <v>32</v>
      </c>
      <c r="B399" s="2" t="s">
        <v>96</v>
      </c>
      <c r="C399" s="2" t="s">
        <v>1096</v>
      </c>
      <c r="D399" s="2" t="s">
        <v>1097</v>
      </c>
      <c r="E399" s="2" t="n">
        <v>49</v>
      </c>
      <c r="F399" s="2" t="n">
        <v>50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s">
        <v>980</v>
      </c>
      <c r="Z399" s="2"/>
      <c r="AA399" s="2"/>
    </row>
    <row r="400" customFormat="false" ht="15" hidden="false" customHeight="false" outlineLevel="0" collapsed="false">
      <c r="A400" s="2" t="s">
        <v>32</v>
      </c>
      <c r="B400" s="2" t="s">
        <v>96</v>
      </c>
      <c r="C400" s="2" t="s">
        <v>1098</v>
      </c>
      <c r="D400" s="2" t="s">
        <v>1099</v>
      </c>
      <c r="E400" s="2" t="n">
        <v>49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1</v>
      </c>
      <c r="Y400" s="2" t="s">
        <v>1100</v>
      </c>
      <c r="Z400" s="2"/>
      <c r="AA400" s="2"/>
    </row>
    <row r="401" customFormat="false" ht="15" hidden="false" customHeight="false" outlineLevel="0" collapsed="false">
      <c r="A401" s="2" t="s">
        <v>32</v>
      </c>
      <c r="B401" s="2" t="s">
        <v>96</v>
      </c>
      <c r="C401" s="2" t="s">
        <v>1101</v>
      </c>
      <c r="D401" s="2" t="s">
        <v>1102</v>
      </c>
      <c r="E401" s="2" t="n">
        <v>63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2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/>
      <c r="Z401" s="2" t="s">
        <v>969</v>
      </c>
      <c r="AA401" s="2"/>
    </row>
    <row r="402" customFormat="false" ht="15" hidden="false" customHeight="false" outlineLevel="0" collapsed="false">
      <c r="A402" s="2" t="s">
        <v>32</v>
      </c>
      <c r="B402" s="2" t="s">
        <v>96</v>
      </c>
      <c r="C402" s="2" t="s">
        <v>1103</v>
      </c>
      <c r="D402" s="2" t="s">
        <v>1104</v>
      </c>
      <c r="E402" s="2" t="n">
        <v>84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1</v>
      </c>
      <c r="Y402" s="2" t="s">
        <v>1105</v>
      </c>
      <c r="Z402" s="2"/>
      <c r="AA402" s="2"/>
    </row>
    <row r="403" customFormat="false" ht="15" hidden="false" customHeight="false" outlineLevel="0" collapsed="false">
      <c r="A403" s="2" t="s">
        <v>32</v>
      </c>
      <c r="B403" s="2" t="s">
        <v>96</v>
      </c>
      <c r="C403" s="2" t="s">
        <v>1106</v>
      </c>
      <c r="D403" s="2" t="s">
        <v>1107</v>
      </c>
      <c r="E403" s="2" t="n">
        <v>63</v>
      </c>
      <c r="F403" s="2" t="n">
        <v>100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/>
      <c r="Z403" s="2"/>
      <c r="AA403" s="2"/>
    </row>
    <row r="404" customFormat="false" ht="15" hidden="false" customHeight="false" outlineLevel="0" collapsed="false">
      <c r="A404" s="2" t="s">
        <v>32</v>
      </c>
      <c r="B404" s="2" t="s">
        <v>96</v>
      </c>
      <c r="C404" s="2" t="s">
        <v>1108</v>
      </c>
      <c r="D404" s="2" t="s">
        <v>1109</v>
      </c>
      <c r="E404" s="2" t="n">
        <v>105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1</v>
      </c>
      <c r="Y404" s="2" t="s">
        <v>1110</v>
      </c>
      <c r="Z404" s="2"/>
      <c r="AA404" s="2"/>
    </row>
    <row r="405" customFormat="false" ht="15" hidden="false" customHeight="false" outlineLevel="0" collapsed="false">
      <c r="A405" s="2" t="s">
        <v>33</v>
      </c>
      <c r="B405" s="2" t="s">
        <v>97</v>
      </c>
      <c r="C405" s="2" t="s">
        <v>1111</v>
      </c>
      <c r="D405" s="2" t="s">
        <v>1112</v>
      </c>
      <c r="E405" s="2" t="n">
        <v>49</v>
      </c>
      <c r="F405" s="2" t="n">
        <v>100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/>
      <c r="Z405" s="2"/>
      <c r="AA405" s="2"/>
    </row>
    <row r="406" customFormat="false" ht="15" hidden="false" customHeight="false" outlineLevel="0" collapsed="false">
      <c r="A406" s="2" t="s">
        <v>33</v>
      </c>
      <c r="B406" s="2" t="s">
        <v>97</v>
      </c>
      <c r="C406" s="2" t="s">
        <v>1113</v>
      </c>
      <c r="D406" s="2" t="s">
        <v>1114</v>
      </c>
      <c r="E406" s="2" t="n">
        <v>49</v>
      </c>
      <c r="F406" s="2" t="n">
        <v>50</v>
      </c>
      <c r="G406" s="2" t="n">
        <v>3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s">
        <v>1115</v>
      </c>
      <c r="Z406" s="2"/>
      <c r="AA406" s="2"/>
    </row>
    <row r="407" customFormat="false" ht="15" hidden="false" customHeight="false" outlineLevel="0" collapsed="false">
      <c r="A407" s="2" t="s">
        <v>33</v>
      </c>
      <c r="B407" s="2" t="s">
        <v>97</v>
      </c>
      <c r="C407" s="2" t="s">
        <v>1116</v>
      </c>
      <c r="D407" s="2" t="s">
        <v>1117</v>
      </c>
      <c r="E407" s="2" t="n">
        <v>49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1</v>
      </c>
      <c r="Y407" s="2" t="s">
        <v>1118</v>
      </c>
      <c r="Z407" s="2"/>
      <c r="AA407" s="2" t="s">
        <v>1119</v>
      </c>
    </row>
    <row r="408" customFormat="false" ht="15" hidden="false" customHeight="false" outlineLevel="0" collapsed="false">
      <c r="A408" s="2" t="s">
        <v>33</v>
      </c>
      <c r="B408" s="2" t="s">
        <v>97</v>
      </c>
      <c r="C408" s="2" t="s">
        <v>1120</v>
      </c>
      <c r="D408" s="2" t="s">
        <v>1121</v>
      </c>
      <c r="E408" s="2" t="n">
        <v>63</v>
      </c>
      <c r="F408" s="2" t="n">
        <v>50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1</v>
      </c>
      <c r="X408" s="2" t="n">
        <v>0</v>
      </c>
      <c r="Y408" s="2"/>
      <c r="Z408" s="2"/>
      <c r="AA408" s="2"/>
    </row>
    <row r="409" customFormat="false" ht="15" hidden="false" customHeight="false" outlineLevel="0" collapsed="false">
      <c r="A409" s="2" t="s">
        <v>33</v>
      </c>
      <c r="B409" s="2" t="s">
        <v>97</v>
      </c>
      <c r="C409" s="2" t="s">
        <v>1122</v>
      </c>
      <c r="D409" s="2" t="s">
        <v>1123</v>
      </c>
      <c r="E409" s="2" t="n">
        <v>63</v>
      </c>
      <c r="F409" s="2" t="n">
        <v>50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1</v>
      </c>
      <c r="X409" s="2" t="n">
        <v>0</v>
      </c>
      <c r="Y409" s="2"/>
      <c r="Z409" s="2"/>
      <c r="AA409" s="2"/>
    </row>
    <row r="410" customFormat="false" ht="15" hidden="false" customHeight="false" outlineLevel="0" collapsed="false">
      <c r="A410" s="2" t="s">
        <v>33</v>
      </c>
      <c r="B410" s="2" t="s">
        <v>97</v>
      </c>
      <c r="C410" s="2" t="s">
        <v>1124</v>
      </c>
      <c r="D410" s="2" t="s">
        <v>1125</v>
      </c>
      <c r="E410" s="2" t="n">
        <v>84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1</v>
      </c>
      <c r="Y410" s="2" t="s">
        <v>1126</v>
      </c>
      <c r="Z410" s="2"/>
      <c r="AA410" s="2"/>
    </row>
    <row r="411" customFormat="false" ht="15" hidden="false" customHeight="false" outlineLevel="0" collapsed="false">
      <c r="A411" s="2" t="s">
        <v>33</v>
      </c>
      <c r="B411" s="2" t="s">
        <v>97</v>
      </c>
      <c r="C411" s="2" t="s">
        <v>1127</v>
      </c>
      <c r="D411" s="2" t="s">
        <v>1128</v>
      </c>
      <c r="E411" s="2" t="n">
        <v>105</v>
      </c>
      <c r="F411" s="2" t="n">
        <v>0</v>
      </c>
      <c r="G411" s="2" t="n">
        <v>0</v>
      </c>
      <c r="H411" s="2" t="n">
        <v>5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/>
      <c r="Z411" s="2"/>
      <c r="AA411" s="2"/>
    </row>
    <row r="412" customFormat="false" ht="15" hidden="false" customHeight="false" outlineLevel="0" collapsed="false">
      <c r="A412" s="2" t="s">
        <v>33</v>
      </c>
      <c r="B412" s="2" t="s">
        <v>97</v>
      </c>
      <c r="C412" s="2" t="s">
        <v>1129</v>
      </c>
      <c r="D412" s="2" t="s">
        <v>1130</v>
      </c>
      <c r="E412" s="2" t="n">
        <v>84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1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1</v>
      </c>
      <c r="Y412" s="2" t="s">
        <v>1131</v>
      </c>
      <c r="Z412" s="2"/>
      <c r="AA412" s="2"/>
    </row>
    <row r="413" customFormat="false" ht="15" hidden="false" customHeight="false" outlineLevel="0" collapsed="false">
      <c r="A413" s="2" t="s">
        <v>33</v>
      </c>
      <c r="B413" s="2" t="s">
        <v>98</v>
      </c>
      <c r="C413" s="2" t="s">
        <v>1119</v>
      </c>
      <c r="D413" s="2" t="s">
        <v>1132</v>
      </c>
      <c r="E413" s="2" t="n">
        <v>35</v>
      </c>
      <c r="F413" s="2" t="n">
        <v>0</v>
      </c>
      <c r="G413" s="2" t="n">
        <v>0</v>
      </c>
      <c r="H413" s="2" t="n">
        <v>5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/>
      <c r="Z413" s="2"/>
      <c r="AA413" s="2" t="s">
        <v>1116</v>
      </c>
    </row>
    <row r="414" customFormat="false" ht="15" hidden="false" customHeight="false" outlineLevel="0" collapsed="false">
      <c r="A414" s="2" t="s">
        <v>33</v>
      </c>
      <c r="B414" s="2" t="s">
        <v>98</v>
      </c>
      <c r="C414" s="2" t="s">
        <v>1133</v>
      </c>
      <c r="D414" s="2" t="s">
        <v>1134</v>
      </c>
      <c r="E414" s="2" t="n">
        <v>49</v>
      </c>
      <c r="F414" s="2" t="n">
        <v>0</v>
      </c>
      <c r="G414" s="2" t="n">
        <v>0</v>
      </c>
      <c r="H414" s="2" t="n">
        <v>0</v>
      </c>
      <c r="I414" s="2" t="n">
        <v>100000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1</v>
      </c>
      <c r="Y414" s="2" t="s">
        <v>1135</v>
      </c>
      <c r="Z414" s="2"/>
      <c r="AA414" s="2"/>
    </row>
    <row r="415" customFormat="false" ht="15" hidden="false" customHeight="false" outlineLevel="0" collapsed="false">
      <c r="A415" s="2" t="s">
        <v>33</v>
      </c>
      <c r="B415" s="2" t="s">
        <v>98</v>
      </c>
      <c r="C415" s="2" t="s">
        <v>1136</v>
      </c>
      <c r="D415" s="2" t="s">
        <v>1137</v>
      </c>
      <c r="E415" s="2" t="n">
        <v>63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100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/>
      <c r="Z415" s="2"/>
      <c r="AA415" s="2"/>
    </row>
    <row r="416" customFormat="false" ht="15" hidden="false" customHeight="false" outlineLevel="0" collapsed="false">
      <c r="A416" s="2" t="s">
        <v>33</v>
      </c>
      <c r="B416" s="2" t="s">
        <v>98</v>
      </c>
      <c r="C416" s="2" t="s">
        <v>1138</v>
      </c>
      <c r="D416" s="2" t="s">
        <v>1139</v>
      </c>
      <c r="E416" s="2" t="n">
        <v>63</v>
      </c>
      <c r="F416" s="2" t="n">
        <v>0</v>
      </c>
      <c r="G416" s="2" t="n">
        <v>0</v>
      </c>
      <c r="H416" s="2" t="n">
        <v>10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1</v>
      </c>
      <c r="X416" s="2" t="n">
        <v>0</v>
      </c>
      <c r="Y416" s="2"/>
      <c r="Z416" s="2"/>
      <c r="AA416" s="2"/>
    </row>
    <row r="417" customFormat="false" ht="15" hidden="false" customHeight="false" outlineLevel="0" collapsed="false">
      <c r="A417" s="2" t="s">
        <v>33</v>
      </c>
      <c r="B417" s="2" t="s">
        <v>98</v>
      </c>
      <c r="C417" s="2" t="s">
        <v>1140</v>
      </c>
      <c r="D417" s="2" t="s">
        <v>1141</v>
      </c>
      <c r="E417" s="2" t="n">
        <v>63</v>
      </c>
      <c r="F417" s="2" t="n">
        <v>150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2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/>
      <c r="Z417" s="2"/>
      <c r="AA417" s="2"/>
    </row>
    <row r="418" customFormat="false" ht="15" hidden="false" customHeight="false" outlineLevel="0" collapsed="false">
      <c r="A418" s="2" t="s">
        <v>33</v>
      </c>
      <c r="B418" s="2" t="s">
        <v>98</v>
      </c>
      <c r="C418" s="2" t="s">
        <v>1142</v>
      </c>
      <c r="D418" s="2" t="s">
        <v>1143</v>
      </c>
      <c r="E418" s="2" t="n">
        <v>105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1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1</v>
      </c>
      <c r="Y418" s="2" t="s">
        <v>1144</v>
      </c>
      <c r="Z418" s="2"/>
      <c r="AA418" s="2"/>
    </row>
    <row r="419" customFormat="false" ht="15" hidden="false" customHeight="false" outlineLevel="0" collapsed="false">
      <c r="A419" s="2" t="s">
        <v>33</v>
      </c>
      <c r="B419" s="2" t="s">
        <v>45</v>
      </c>
      <c r="C419" s="2" t="s">
        <v>1145</v>
      </c>
      <c r="D419" s="2" t="s">
        <v>1146</v>
      </c>
      <c r="E419" s="2" t="n">
        <v>70</v>
      </c>
      <c r="F419" s="2" t="n">
        <v>120</v>
      </c>
      <c r="G419" s="2" t="n">
        <v>5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/>
      <c r="Z419" s="2"/>
      <c r="AA419" s="2"/>
    </row>
    <row r="420" customFormat="false" ht="15" hidden="false" customHeight="false" outlineLevel="0" collapsed="false">
      <c r="A420" s="2" t="s">
        <v>33</v>
      </c>
      <c r="B420" s="2" t="s">
        <v>45</v>
      </c>
      <c r="C420" s="2" t="s">
        <v>1147</v>
      </c>
      <c r="D420" s="2" t="s">
        <v>1148</v>
      </c>
      <c r="E420" s="2" t="n">
        <v>70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1</v>
      </c>
      <c r="Y420" s="2" t="s">
        <v>1149</v>
      </c>
      <c r="Z420" s="2"/>
      <c r="AA420" s="2"/>
    </row>
    <row r="421" customFormat="false" ht="15" hidden="false" customHeight="false" outlineLevel="0" collapsed="false">
      <c r="A421" s="2" t="s">
        <v>33</v>
      </c>
      <c r="B421" s="2" t="s">
        <v>45</v>
      </c>
      <c r="C421" s="2" t="s">
        <v>1150</v>
      </c>
      <c r="D421" s="2" t="s">
        <v>1151</v>
      </c>
      <c r="E421" s="2" t="n">
        <v>70</v>
      </c>
      <c r="F421" s="2" t="n">
        <v>0</v>
      </c>
      <c r="G421" s="2" t="n">
        <v>0</v>
      </c>
      <c r="H421" s="2" t="n">
        <v>5</v>
      </c>
      <c r="I421" s="2" t="n">
        <v>0</v>
      </c>
      <c r="J421" s="2" t="n">
        <v>25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/>
      <c r="Z421" s="2"/>
      <c r="AA421" s="2"/>
    </row>
    <row r="422" customFormat="false" ht="15" hidden="false" customHeight="false" outlineLevel="0" collapsed="false">
      <c r="A422" s="2" t="s">
        <v>33</v>
      </c>
      <c r="B422" s="2" t="s">
        <v>45</v>
      </c>
      <c r="C422" s="2" t="s">
        <v>1152</v>
      </c>
      <c r="D422" s="2" t="s">
        <v>1153</v>
      </c>
      <c r="E422" s="2" t="n">
        <v>105</v>
      </c>
      <c r="F422" s="2" t="n">
        <v>50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12</v>
      </c>
      <c r="X422" s="2" t="n">
        <v>0</v>
      </c>
      <c r="Y422" s="2"/>
      <c r="Z422" s="2"/>
      <c r="AA422" s="2"/>
    </row>
    <row r="423" customFormat="false" ht="15" hidden="false" customHeight="false" outlineLevel="0" collapsed="false">
      <c r="A423" s="2" t="s">
        <v>33</v>
      </c>
      <c r="B423" s="2" t="s">
        <v>99</v>
      </c>
      <c r="C423" s="2" t="s">
        <v>1154</v>
      </c>
      <c r="D423" s="2" t="s">
        <v>360</v>
      </c>
      <c r="E423" s="2" t="n">
        <v>49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2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/>
      <c r="Z423" s="2"/>
      <c r="AA423" s="2"/>
    </row>
    <row r="424" customFormat="false" ht="15" hidden="false" customHeight="false" outlineLevel="0" collapsed="false">
      <c r="A424" s="2" t="s">
        <v>33</v>
      </c>
      <c r="B424" s="2" t="s">
        <v>99</v>
      </c>
      <c r="C424" s="2" t="s">
        <v>1155</v>
      </c>
      <c r="D424" s="2" t="s">
        <v>1156</v>
      </c>
      <c r="E424" s="2" t="n">
        <v>63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1</v>
      </c>
      <c r="Y424" s="2" t="s">
        <v>1157</v>
      </c>
      <c r="Z424" s="2"/>
      <c r="AA424" s="2" t="s">
        <v>1158</v>
      </c>
    </row>
    <row r="425" customFormat="false" ht="15" hidden="false" customHeight="false" outlineLevel="0" collapsed="false">
      <c r="A425" s="2" t="s">
        <v>33</v>
      </c>
      <c r="B425" s="2" t="s">
        <v>99</v>
      </c>
      <c r="C425" s="2" t="s">
        <v>1159</v>
      </c>
      <c r="D425" s="2" t="s">
        <v>1160</v>
      </c>
      <c r="E425" s="2" t="n">
        <v>49</v>
      </c>
      <c r="F425" s="2" t="n">
        <v>100</v>
      </c>
      <c r="G425" s="2" t="n">
        <v>5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2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/>
      <c r="Z425" s="2"/>
      <c r="AA425" s="2"/>
    </row>
    <row r="426" customFormat="false" ht="15" hidden="false" customHeight="false" outlineLevel="0" collapsed="false">
      <c r="A426" s="2" t="s">
        <v>33</v>
      </c>
      <c r="B426" s="2" t="s">
        <v>99</v>
      </c>
      <c r="C426" s="2" t="s">
        <v>1161</v>
      </c>
      <c r="D426" s="2" t="s">
        <v>1162</v>
      </c>
      <c r="E426" s="2" t="n">
        <v>49</v>
      </c>
      <c r="F426" s="2" t="n">
        <v>0</v>
      </c>
      <c r="G426" s="2" t="n">
        <v>0</v>
      </c>
      <c r="H426" s="2" t="n">
        <v>0</v>
      </c>
      <c r="I426" s="2" t="n">
        <v>50000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1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/>
      <c r="Z426" s="2"/>
      <c r="AA426" s="2"/>
    </row>
    <row r="427" customFormat="false" ht="15" hidden="false" customHeight="false" outlineLevel="0" collapsed="false">
      <c r="A427" s="2" t="s">
        <v>33</v>
      </c>
      <c r="B427" s="2" t="s">
        <v>99</v>
      </c>
      <c r="C427" s="2" t="s">
        <v>1163</v>
      </c>
      <c r="D427" s="2" t="s">
        <v>1164</v>
      </c>
      <c r="E427" s="2" t="n">
        <v>84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1</v>
      </c>
      <c r="Y427" s="2" t="s">
        <v>1165</v>
      </c>
      <c r="Z427" s="2"/>
      <c r="AA427" s="2"/>
    </row>
    <row r="428" customFormat="false" ht="15" hidden="false" customHeight="false" outlineLevel="0" collapsed="false">
      <c r="A428" s="2" t="s">
        <v>33</v>
      </c>
      <c r="B428" s="2" t="s">
        <v>99</v>
      </c>
      <c r="C428" s="2" t="s">
        <v>1166</v>
      </c>
      <c r="D428" s="2" t="s">
        <v>1167</v>
      </c>
      <c r="E428" s="2" t="n">
        <v>77</v>
      </c>
      <c r="F428" s="2" t="n">
        <v>0</v>
      </c>
      <c r="G428" s="2" t="n">
        <v>0</v>
      </c>
      <c r="H428" s="2" t="n">
        <v>0</v>
      </c>
      <c r="I428" s="2" t="n">
        <v>100000</v>
      </c>
      <c r="J428" s="2" t="n">
        <v>50</v>
      </c>
      <c r="K428" s="2" t="n">
        <v>0</v>
      </c>
      <c r="L428" s="2" t="n">
        <v>0</v>
      </c>
      <c r="M428" s="2" t="n">
        <v>0</v>
      </c>
      <c r="N428" s="2" t="n">
        <v>1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/>
      <c r="Z428" s="2"/>
      <c r="AA428" s="2"/>
    </row>
    <row r="429" customFormat="false" ht="15" hidden="false" customHeight="false" outlineLevel="0" collapsed="false">
      <c r="A429" s="2" t="s">
        <v>33</v>
      </c>
      <c r="B429" s="2" t="s">
        <v>99</v>
      </c>
      <c r="C429" s="2" t="s">
        <v>1168</v>
      </c>
      <c r="D429" s="2" t="s">
        <v>1169</v>
      </c>
      <c r="E429" s="2" t="n">
        <v>98</v>
      </c>
      <c r="F429" s="2" t="n">
        <v>150</v>
      </c>
      <c r="G429" s="2" t="n">
        <v>5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1</v>
      </c>
      <c r="Y429" s="2" t="s">
        <v>1170</v>
      </c>
      <c r="Z429" s="2"/>
      <c r="AA429" s="2"/>
    </row>
    <row r="430" customFormat="false" ht="15" hidden="false" customHeight="false" outlineLevel="0" collapsed="false">
      <c r="A430" s="2" t="s">
        <v>33</v>
      </c>
      <c r="B430" s="2" t="s">
        <v>100</v>
      </c>
      <c r="C430" s="2" t="s">
        <v>1158</v>
      </c>
      <c r="D430" s="2" t="s">
        <v>1171</v>
      </c>
      <c r="E430" s="2" t="n">
        <v>63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2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1</v>
      </c>
      <c r="Y430" s="2" t="s">
        <v>1172</v>
      </c>
      <c r="Z430" s="2"/>
      <c r="AA430" s="2" t="s">
        <v>1155</v>
      </c>
    </row>
    <row r="431" customFormat="false" ht="15" hidden="false" customHeight="false" outlineLevel="0" collapsed="false">
      <c r="A431" s="2" t="s">
        <v>33</v>
      </c>
      <c r="B431" s="2" t="s">
        <v>100</v>
      </c>
      <c r="C431" s="2" t="s">
        <v>1173</v>
      </c>
      <c r="D431" s="2" t="s">
        <v>1174</v>
      </c>
      <c r="E431" s="2" t="n">
        <v>49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1</v>
      </c>
      <c r="P431" s="2" t="n">
        <v>0</v>
      </c>
      <c r="Q431" s="2" t="n">
        <v>0</v>
      </c>
      <c r="R431" s="2" t="n">
        <v>3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/>
      <c r="Z431" s="2"/>
      <c r="AA431" s="2"/>
    </row>
    <row r="432" customFormat="false" ht="15" hidden="false" customHeight="false" outlineLevel="0" collapsed="false">
      <c r="A432" s="2" t="s">
        <v>33</v>
      </c>
      <c r="B432" s="2" t="s">
        <v>100</v>
      </c>
      <c r="C432" s="2" t="s">
        <v>1175</v>
      </c>
      <c r="D432" s="2" t="s">
        <v>1176</v>
      </c>
      <c r="E432" s="2" t="n">
        <v>49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2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/>
      <c r="Z432" s="2"/>
      <c r="AA432" s="2"/>
    </row>
    <row r="433" customFormat="false" ht="15" hidden="false" customHeight="false" outlineLevel="0" collapsed="false">
      <c r="A433" s="2" t="s">
        <v>33</v>
      </c>
      <c r="B433" s="2" t="s">
        <v>100</v>
      </c>
      <c r="C433" s="2" t="s">
        <v>1177</v>
      </c>
      <c r="D433" s="2" t="s">
        <v>1178</v>
      </c>
      <c r="E433" s="2" t="n">
        <v>84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1</v>
      </c>
      <c r="Y433" s="2" t="s">
        <v>1179</v>
      </c>
      <c r="Z433" s="2"/>
      <c r="AA433" s="2"/>
    </row>
    <row r="434" customFormat="false" ht="15" hidden="false" customHeight="false" outlineLevel="0" collapsed="false">
      <c r="A434" s="2" t="s">
        <v>33</v>
      </c>
      <c r="B434" s="2" t="s">
        <v>100</v>
      </c>
      <c r="C434" s="2" t="s">
        <v>1180</v>
      </c>
      <c r="D434" s="2" t="s">
        <v>1181</v>
      </c>
      <c r="E434" s="2" t="n">
        <v>77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1</v>
      </c>
      <c r="P434" s="2" t="n">
        <v>0</v>
      </c>
      <c r="Q434" s="2" t="n">
        <v>1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/>
      <c r="Z434" s="2"/>
      <c r="AA434" s="2"/>
    </row>
    <row r="435" customFormat="false" ht="15" hidden="false" customHeight="false" outlineLevel="0" collapsed="false">
      <c r="A435" s="2" t="s">
        <v>33</v>
      </c>
      <c r="B435" s="2" t="s">
        <v>100</v>
      </c>
      <c r="C435" s="2" t="s">
        <v>1182</v>
      </c>
      <c r="D435" s="2" t="s">
        <v>1183</v>
      </c>
      <c r="E435" s="2" t="n">
        <v>98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1</v>
      </c>
      <c r="Y435" s="2" t="s">
        <v>1184</v>
      </c>
      <c r="Z435" s="2"/>
      <c r="AA435" s="2"/>
    </row>
    <row r="436" customFormat="false" ht="15" hidden="false" customHeight="false" outlineLevel="0" collapsed="false">
      <c r="A436" s="2" t="s">
        <v>33</v>
      </c>
      <c r="B436" s="2" t="s">
        <v>101</v>
      </c>
      <c r="C436" s="2" t="s">
        <v>1185</v>
      </c>
      <c r="D436" s="2" t="s">
        <v>1186</v>
      </c>
      <c r="E436" s="2" t="n">
        <v>49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2</v>
      </c>
      <c r="P436" s="2" t="n">
        <v>0</v>
      </c>
      <c r="Q436" s="2" t="n">
        <v>0</v>
      </c>
      <c r="R436" s="2" t="n">
        <v>1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s">
        <v>1187</v>
      </c>
      <c r="Z436" s="2"/>
      <c r="AA436" s="2"/>
    </row>
    <row r="437" customFormat="false" ht="15" hidden="false" customHeight="false" outlineLevel="0" collapsed="false">
      <c r="A437" s="2" t="s">
        <v>33</v>
      </c>
      <c r="B437" s="2" t="s">
        <v>101</v>
      </c>
      <c r="C437" s="2" t="s">
        <v>1188</v>
      </c>
      <c r="D437" s="2" t="s">
        <v>1189</v>
      </c>
      <c r="E437" s="2" t="n">
        <v>49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1</v>
      </c>
      <c r="O437" s="2" t="n">
        <v>0</v>
      </c>
      <c r="P437" s="2" t="n">
        <v>2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/>
      <c r="Z437" s="2"/>
      <c r="AA437" s="2"/>
    </row>
    <row r="438" customFormat="false" ht="15" hidden="false" customHeight="false" outlineLevel="0" collapsed="false">
      <c r="A438" s="2" t="s">
        <v>33</v>
      </c>
      <c r="B438" s="2" t="s">
        <v>101</v>
      </c>
      <c r="C438" s="2" t="s">
        <v>1190</v>
      </c>
      <c r="D438" s="2" t="s">
        <v>1191</v>
      </c>
      <c r="E438" s="2" t="n">
        <v>49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2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/>
      <c r="Z438" s="2"/>
      <c r="AA438" s="2"/>
    </row>
    <row r="439" customFormat="false" ht="15" hidden="false" customHeight="false" outlineLevel="0" collapsed="false">
      <c r="A439" s="2" t="s">
        <v>33</v>
      </c>
      <c r="B439" s="2" t="s">
        <v>101</v>
      </c>
      <c r="C439" s="2" t="s">
        <v>1192</v>
      </c>
      <c r="D439" s="2" t="s">
        <v>1193</v>
      </c>
      <c r="E439" s="2" t="n">
        <v>84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3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1</v>
      </c>
      <c r="Y439" s="2" t="s">
        <v>1194</v>
      </c>
      <c r="Z439" s="2"/>
      <c r="AA439" s="2"/>
    </row>
    <row r="440" customFormat="false" ht="15" hidden="false" customHeight="false" outlineLevel="0" collapsed="false">
      <c r="A440" s="2" t="s">
        <v>33</v>
      </c>
      <c r="B440" s="2" t="s">
        <v>101</v>
      </c>
      <c r="C440" s="2" t="s">
        <v>1195</v>
      </c>
      <c r="D440" s="2" t="s">
        <v>1196</v>
      </c>
      <c r="E440" s="2" t="n">
        <v>49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2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/>
      <c r="Z440" s="2"/>
      <c r="AA440" s="2"/>
    </row>
    <row r="441" customFormat="false" ht="15" hidden="false" customHeight="false" outlineLevel="0" collapsed="false">
      <c r="A441" s="2" t="s">
        <v>33</v>
      </c>
      <c r="B441" s="2" t="s">
        <v>101</v>
      </c>
      <c r="C441" s="2" t="s">
        <v>1197</v>
      </c>
      <c r="D441" s="2" t="s">
        <v>1198</v>
      </c>
      <c r="E441" s="2" t="n">
        <v>105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1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/>
      <c r="Z441" s="2"/>
      <c r="AA441" s="2"/>
    </row>
    <row r="442" customFormat="false" ht="15" hidden="false" customHeight="false" outlineLevel="0" collapsed="false">
      <c r="A442" s="2" t="s">
        <v>33</v>
      </c>
      <c r="B442" s="2" t="s">
        <v>102</v>
      </c>
      <c r="C442" s="2" t="s">
        <v>1199</v>
      </c>
      <c r="D442" s="2" t="s">
        <v>1200</v>
      </c>
      <c r="E442" s="2" t="n">
        <v>49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2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s">
        <v>1201</v>
      </c>
      <c r="Z442" s="2"/>
      <c r="AA442" s="2"/>
    </row>
    <row r="443" customFormat="false" ht="15" hidden="false" customHeight="false" outlineLevel="0" collapsed="false">
      <c r="A443" s="2" t="s">
        <v>33</v>
      </c>
      <c r="B443" s="2" t="s">
        <v>102</v>
      </c>
      <c r="C443" s="2" t="s">
        <v>1202</v>
      </c>
      <c r="D443" s="2" t="s">
        <v>1203</v>
      </c>
      <c r="E443" s="2" t="n">
        <v>49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1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1</v>
      </c>
      <c r="Y443" s="2" t="s">
        <v>1204</v>
      </c>
      <c r="Z443" s="2"/>
      <c r="AA443" s="2"/>
    </row>
    <row r="444" customFormat="false" ht="15" hidden="false" customHeight="false" outlineLevel="0" collapsed="false">
      <c r="A444" s="2" t="s">
        <v>33</v>
      </c>
      <c r="B444" s="2" t="s">
        <v>102</v>
      </c>
      <c r="C444" s="2" t="s">
        <v>1205</v>
      </c>
      <c r="D444" s="2" t="s">
        <v>1206</v>
      </c>
      <c r="E444" s="2" t="n">
        <v>63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75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/>
      <c r="Z444" s="2"/>
      <c r="AA444" s="2"/>
    </row>
    <row r="445" customFormat="false" ht="15" hidden="false" customHeight="false" outlineLevel="0" collapsed="false">
      <c r="A445" s="2" t="s">
        <v>33</v>
      </c>
      <c r="B445" s="2" t="s">
        <v>102</v>
      </c>
      <c r="C445" s="2" t="s">
        <v>1207</v>
      </c>
      <c r="D445" s="2" t="s">
        <v>1208</v>
      </c>
      <c r="E445" s="2" t="n">
        <v>49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1</v>
      </c>
      <c r="Y445" s="2" t="s">
        <v>1209</v>
      </c>
      <c r="Z445" s="2"/>
      <c r="AA445" s="2"/>
    </row>
    <row r="446" customFormat="false" ht="15" hidden="false" customHeight="false" outlineLevel="0" collapsed="false">
      <c r="A446" s="2" t="s">
        <v>33</v>
      </c>
      <c r="B446" s="2" t="s">
        <v>102</v>
      </c>
      <c r="C446" s="2" t="s">
        <v>1210</v>
      </c>
      <c r="D446" s="2" t="s">
        <v>1211</v>
      </c>
      <c r="E446" s="2" t="n">
        <v>49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2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/>
      <c r="Z446" s="2"/>
      <c r="AA446" s="2"/>
    </row>
    <row r="447" customFormat="false" ht="15" hidden="false" customHeight="false" outlineLevel="0" collapsed="false">
      <c r="A447" s="2" t="s">
        <v>33</v>
      </c>
      <c r="B447" s="2" t="s">
        <v>102</v>
      </c>
      <c r="C447" s="2" t="s">
        <v>1212</v>
      </c>
      <c r="D447" s="2" t="s">
        <v>1213</v>
      </c>
      <c r="E447" s="2" t="n">
        <v>84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150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/>
      <c r="Z447" s="2"/>
      <c r="AA447" s="2"/>
    </row>
    <row r="448" customFormat="false" ht="15" hidden="false" customHeight="false" outlineLevel="0" collapsed="false">
      <c r="A448" s="2" t="s">
        <v>33</v>
      </c>
      <c r="B448" s="2" t="s">
        <v>103</v>
      </c>
      <c r="C448" s="2" t="s">
        <v>1214</v>
      </c>
      <c r="D448" s="2" t="s">
        <v>1215</v>
      </c>
      <c r="E448" s="2" t="n">
        <v>49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2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/>
      <c r="Z448" s="2"/>
      <c r="AA448" s="2"/>
    </row>
    <row r="449" customFormat="false" ht="15" hidden="false" customHeight="false" outlineLevel="0" collapsed="false">
      <c r="A449" s="2" t="s">
        <v>33</v>
      </c>
      <c r="B449" s="2" t="s">
        <v>103</v>
      </c>
      <c r="C449" s="2" t="s">
        <v>1216</v>
      </c>
      <c r="D449" s="2" t="s">
        <v>1217</v>
      </c>
      <c r="E449" s="2" t="n">
        <v>49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3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/>
      <c r="Z449" s="2"/>
      <c r="AA449" s="2"/>
    </row>
    <row r="450" customFormat="false" ht="15" hidden="false" customHeight="false" outlineLevel="0" collapsed="false">
      <c r="A450" s="2" t="s">
        <v>33</v>
      </c>
      <c r="B450" s="2" t="s">
        <v>103</v>
      </c>
      <c r="C450" s="2" t="s">
        <v>1218</v>
      </c>
      <c r="D450" s="2" t="s">
        <v>1219</v>
      </c>
      <c r="E450" s="2" t="n">
        <v>49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50</v>
      </c>
      <c r="M450" s="2" t="n">
        <v>0</v>
      </c>
      <c r="N450" s="2" t="n">
        <v>1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/>
      <c r="Z450" s="2"/>
      <c r="AA450" s="2"/>
    </row>
    <row r="451" customFormat="false" ht="15" hidden="false" customHeight="false" outlineLevel="0" collapsed="false">
      <c r="A451" s="2" t="s">
        <v>33</v>
      </c>
      <c r="B451" s="2" t="s">
        <v>103</v>
      </c>
      <c r="C451" s="2" t="s">
        <v>1220</v>
      </c>
      <c r="D451" s="2" t="s">
        <v>1221</v>
      </c>
      <c r="E451" s="2" t="n">
        <v>63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2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100</v>
      </c>
      <c r="W451" s="2" t="n">
        <v>0</v>
      </c>
      <c r="X451" s="2" t="n">
        <v>0</v>
      </c>
      <c r="Y451" s="2"/>
      <c r="Z451" s="2"/>
      <c r="AA451" s="2"/>
    </row>
    <row r="452" customFormat="false" ht="15" hidden="false" customHeight="false" outlineLevel="0" collapsed="false">
      <c r="A452" s="2" t="s">
        <v>33</v>
      </c>
      <c r="B452" s="2" t="s">
        <v>103</v>
      </c>
      <c r="C452" s="2" t="s">
        <v>1222</v>
      </c>
      <c r="D452" s="2" t="s">
        <v>1223</v>
      </c>
      <c r="E452" s="2" t="n">
        <v>49</v>
      </c>
      <c r="F452" s="2" t="n">
        <v>0</v>
      </c>
      <c r="G452" s="2" t="n">
        <v>0</v>
      </c>
      <c r="H452" s="2" t="n">
        <v>0</v>
      </c>
      <c r="I452" s="2" t="n">
        <v>20000</v>
      </c>
      <c r="J452" s="2" t="n">
        <v>25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/>
      <c r="Z452" s="2"/>
      <c r="AA452" s="2"/>
    </row>
    <row r="453" customFormat="false" ht="15" hidden="false" customHeight="false" outlineLevel="0" collapsed="false">
      <c r="A453" s="2" t="s">
        <v>33</v>
      </c>
      <c r="B453" s="2" t="s">
        <v>103</v>
      </c>
      <c r="C453" s="2" t="s">
        <v>1224</v>
      </c>
      <c r="D453" s="2" t="s">
        <v>1225</v>
      </c>
      <c r="E453" s="2" t="n">
        <v>84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25</v>
      </c>
      <c r="L453" s="2" t="n">
        <v>0</v>
      </c>
      <c r="M453" s="2" t="n">
        <v>0</v>
      </c>
      <c r="N453" s="2" t="n">
        <v>2</v>
      </c>
      <c r="O453" s="2" t="n">
        <v>0</v>
      </c>
      <c r="P453" s="2" t="n">
        <v>0</v>
      </c>
      <c r="Q453" s="2" t="n">
        <v>2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/>
      <c r="Z453" s="2"/>
      <c r="AA453" s="2"/>
    </row>
    <row r="454" customFormat="false" ht="15" hidden="false" customHeight="false" outlineLevel="0" collapsed="false">
      <c r="A454" s="2" t="s">
        <v>33</v>
      </c>
      <c r="B454" s="2" t="s">
        <v>104</v>
      </c>
      <c r="C454" s="2" t="s">
        <v>1226</v>
      </c>
      <c r="D454" s="2" t="s">
        <v>1227</v>
      </c>
      <c r="E454" s="2" t="n">
        <v>35</v>
      </c>
      <c r="F454" s="2" t="n">
        <v>50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/>
      <c r="Z454" s="2"/>
      <c r="AA454" s="2"/>
    </row>
    <row r="455" customFormat="false" ht="15" hidden="false" customHeight="false" outlineLevel="0" collapsed="false">
      <c r="A455" s="2" t="s">
        <v>33</v>
      </c>
      <c r="B455" s="2" t="s">
        <v>104</v>
      </c>
      <c r="C455" s="2" t="s">
        <v>1228</v>
      </c>
      <c r="D455" s="2" t="s">
        <v>1229</v>
      </c>
      <c r="E455" s="2" t="n">
        <v>49</v>
      </c>
      <c r="F455" s="2" t="n">
        <v>100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/>
      <c r="Z455" s="2"/>
      <c r="AA455" s="2"/>
    </row>
    <row r="456" customFormat="false" ht="15" hidden="false" customHeight="false" outlineLevel="0" collapsed="false">
      <c r="A456" s="2" t="s">
        <v>33</v>
      </c>
      <c r="B456" s="2" t="s">
        <v>104</v>
      </c>
      <c r="C456" s="2" t="s">
        <v>1230</v>
      </c>
      <c r="D456" s="2" t="s">
        <v>1231</v>
      </c>
      <c r="E456" s="2" t="n">
        <v>49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1</v>
      </c>
      <c r="Y456" s="2" t="s">
        <v>1232</v>
      </c>
      <c r="Z456" s="2"/>
      <c r="AA456" s="2"/>
    </row>
    <row r="457" customFormat="false" ht="15" hidden="false" customHeight="false" outlineLevel="0" collapsed="false">
      <c r="A457" s="2" t="s">
        <v>33</v>
      </c>
      <c r="B457" s="2" t="s">
        <v>104</v>
      </c>
      <c r="C457" s="2" t="s">
        <v>1233</v>
      </c>
      <c r="D457" s="2" t="s">
        <v>1234</v>
      </c>
      <c r="E457" s="2" t="n">
        <v>63</v>
      </c>
      <c r="F457" s="2" t="n">
        <v>0</v>
      </c>
      <c r="G457" s="2" t="n">
        <v>0</v>
      </c>
      <c r="H457" s="2" t="n">
        <v>0</v>
      </c>
      <c r="I457" s="2" t="n">
        <v>50000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1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/>
      <c r="Z457" s="2"/>
      <c r="AA457" s="2"/>
    </row>
    <row r="458" customFormat="false" ht="15" hidden="false" customHeight="false" outlineLevel="0" collapsed="false">
      <c r="A458" s="2" t="s">
        <v>33</v>
      </c>
      <c r="B458" s="2" t="s">
        <v>104</v>
      </c>
      <c r="C458" s="2" t="s">
        <v>1235</v>
      </c>
      <c r="D458" s="2" t="s">
        <v>1236</v>
      </c>
      <c r="E458" s="2" t="n">
        <v>63</v>
      </c>
      <c r="F458" s="2" t="n">
        <v>50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/>
      <c r="Z458" s="2" t="s">
        <v>1237</v>
      </c>
      <c r="AA458" s="2"/>
    </row>
    <row r="459" customFormat="false" ht="15" hidden="false" customHeight="false" outlineLevel="0" collapsed="false">
      <c r="A459" s="2" t="s">
        <v>33</v>
      </c>
      <c r="B459" s="2" t="s">
        <v>104</v>
      </c>
      <c r="C459" s="2" t="s">
        <v>1238</v>
      </c>
      <c r="D459" s="2" t="s">
        <v>1239</v>
      </c>
      <c r="E459" s="2" t="n">
        <v>49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2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/>
      <c r="Z459" s="2"/>
      <c r="AA459" s="2"/>
    </row>
    <row r="460" customFormat="false" ht="15" hidden="false" customHeight="false" outlineLevel="0" collapsed="false">
      <c r="A460" s="2" t="s">
        <v>33</v>
      </c>
      <c r="B460" s="2" t="s">
        <v>104</v>
      </c>
      <c r="C460" s="2" t="s">
        <v>1240</v>
      </c>
      <c r="D460" s="2" t="s">
        <v>1241</v>
      </c>
      <c r="E460" s="2" t="n">
        <v>105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1</v>
      </c>
      <c r="Y460" s="2" t="s">
        <v>1242</v>
      </c>
      <c r="Z460" s="2"/>
      <c r="AA460" s="2"/>
    </row>
    <row r="461" customFormat="false" ht="15" hidden="false" customHeight="false" outlineLevel="0" collapsed="false">
      <c r="A461" s="2" t="s">
        <v>33</v>
      </c>
      <c r="B461" s="2" t="s">
        <v>105</v>
      </c>
      <c r="C461" s="2" t="s">
        <v>1243</v>
      </c>
      <c r="D461" s="2" t="s">
        <v>1244</v>
      </c>
      <c r="E461" s="2" t="n">
        <v>49</v>
      </c>
      <c r="F461" s="2" t="n">
        <v>50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/>
      <c r="Z461" s="2" t="s">
        <v>1245</v>
      </c>
      <c r="AA461" s="2"/>
    </row>
    <row r="462" customFormat="false" ht="15" hidden="false" customHeight="false" outlineLevel="0" collapsed="false">
      <c r="A462" s="2" t="s">
        <v>33</v>
      </c>
      <c r="B462" s="2" t="s">
        <v>105</v>
      </c>
      <c r="C462" s="2" t="s">
        <v>1246</v>
      </c>
      <c r="D462" s="2" t="s">
        <v>1247</v>
      </c>
      <c r="E462" s="2" t="n">
        <v>49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1</v>
      </c>
      <c r="Y462" s="2" t="s">
        <v>1248</v>
      </c>
      <c r="Z462" s="2"/>
      <c r="AA462" s="2"/>
    </row>
    <row r="463" customFormat="false" ht="15" hidden="false" customHeight="false" outlineLevel="0" collapsed="false">
      <c r="A463" s="2" t="s">
        <v>33</v>
      </c>
      <c r="B463" s="2" t="s">
        <v>105</v>
      </c>
      <c r="C463" s="2" t="s">
        <v>1249</v>
      </c>
      <c r="D463" s="2" t="s">
        <v>1250</v>
      </c>
      <c r="E463" s="2" t="n">
        <v>63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1</v>
      </c>
      <c r="O463" s="2" t="n">
        <v>2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/>
      <c r="Z463" s="2"/>
      <c r="AA463" s="2"/>
    </row>
    <row r="464" customFormat="false" ht="15" hidden="false" customHeight="false" outlineLevel="0" collapsed="false">
      <c r="A464" s="2" t="s">
        <v>33</v>
      </c>
      <c r="B464" s="2" t="s">
        <v>105</v>
      </c>
      <c r="C464" s="2" t="s">
        <v>1251</v>
      </c>
      <c r="D464" s="2" t="s">
        <v>1252</v>
      </c>
      <c r="E464" s="2" t="n">
        <v>84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1</v>
      </c>
      <c r="Y464" s="2" t="s">
        <v>1253</v>
      </c>
      <c r="Z464" s="2"/>
      <c r="AA464" s="2"/>
    </row>
    <row r="465" customFormat="false" ht="15" hidden="false" customHeight="false" outlineLevel="0" collapsed="false">
      <c r="A465" s="2" t="s">
        <v>33</v>
      </c>
      <c r="B465" s="2" t="s">
        <v>105</v>
      </c>
      <c r="C465" s="2" t="s">
        <v>1254</v>
      </c>
      <c r="D465" s="2" t="s">
        <v>1255</v>
      </c>
      <c r="E465" s="2" t="n">
        <v>63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/>
      <c r="Z465" s="2" t="s">
        <v>1256</v>
      </c>
      <c r="AA465" s="2"/>
    </row>
    <row r="466" customFormat="false" ht="15" hidden="false" customHeight="false" outlineLevel="0" collapsed="false">
      <c r="A466" s="2" t="s">
        <v>33</v>
      </c>
      <c r="B466" s="2" t="s">
        <v>105</v>
      </c>
      <c r="C466" s="2" t="s">
        <v>1257</v>
      </c>
      <c r="D466" s="2" t="s">
        <v>1258</v>
      </c>
      <c r="E466" s="2" t="n">
        <v>105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1</v>
      </c>
      <c r="Y466" s="2" t="s">
        <v>1259</v>
      </c>
      <c r="Z466" s="2"/>
      <c r="AA466" s="2"/>
    </row>
    <row r="467" customFormat="false" ht="15" hidden="false" customHeight="false" outlineLevel="0" collapsed="false">
      <c r="A467" s="2" t="s">
        <v>34</v>
      </c>
      <c r="B467" s="2" t="s">
        <v>106</v>
      </c>
      <c r="C467" s="2" t="s">
        <v>1260</v>
      </c>
      <c r="D467" s="2" t="s">
        <v>1261</v>
      </c>
      <c r="E467" s="2" t="n">
        <v>49</v>
      </c>
      <c r="F467" s="2" t="n">
        <v>100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/>
      <c r="Z467" s="2" t="s">
        <v>1262</v>
      </c>
      <c r="AA467" s="2"/>
    </row>
    <row r="468" customFormat="false" ht="15" hidden="false" customHeight="false" outlineLevel="0" collapsed="false">
      <c r="A468" s="2" t="s">
        <v>34</v>
      </c>
      <c r="B468" s="2" t="s">
        <v>106</v>
      </c>
      <c r="C468" s="2" t="s">
        <v>1263</v>
      </c>
      <c r="D468" s="2" t="s">
        <v>1264</v>
      </c>
      <c r="E468" s="2" t="n">
        <v>49</v>
      </c>
      <c r="F468" s="2" t="n">
        <v>50</v>
      </c>
      <c r="G468" s="2" t="n">
        <v>3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/>
      <c r="Z468" s="2"/>
      <c r="AA468" s="2"/>
    </row>
    <row r="469" customFormat="false" ht="15" hidden="false" customHeight="false" outlineLevel="0" collapsed="false">
      <c r="A469" s="2" t="s">
        <v>34</v>
      </c>
      <c r="B469" s="2" t="s">
        <v>106</v>
      </c>
      <c r="C469" s="2" t="s">
        <v>1265</v>
      </c>
      <c r="D469" s="2" t="s">
        <v>1266</v>
      </c>
      <c r="E469" s="2" t="n">
        <v>49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1</v>
      </c>
      <c r="Y469" s="2" t="s">
        <v>1267</v>
      </c>
      <c r="Z469" s="2"/>
      <c r="AA469" s="2" t="s">
        <v>1268</v>
      </c>
    </row>
    <row r="470" customFormat="false" ht="15" hidden="false" customHeight="false" outlineLevel="0" collapsed="false">
      <c r="A470" s="2" t="s">
        <v>34</v>
      </c>
      <c r="B470" s="2" t="s">
        <v>106</v>
      </c>
      <c r="C470" s="2" t="s">
        <v>1269</v>
      </c>
      <c r="D470" s="2" t="s">
        <v>1270</v>
      </c>
      <c r="E470" s="2" t="n">
        <v>63</v>
      </c>
      <c r="F470" s="2" t="n">
        <v>50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4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/>
      <c r="Z470" s="2"/>
      <c r="AA470" s="2"/>
    </row>
    <row r="471" customFormat="false" ht="15" hidden="false" customHeight="false" outlineLevel="0" collapsed="false">
      <c r="A471" s="2" t="s">
        <v>34</v>
      </c>
      <c r="B471" s="2" t="s">
        <v>106</v>
      </c>
      <c r="C471" s="2" t="s">
        <v>1271</v>
      </c>
      <c r="D471" s="2" t="s">
        <v>1272</v>
      </c>
      <c r="E471" s="2" t="n">
        <v>49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1</v>
      </c>
      <c r="Y471" s="2" t="s">
        <v>1273</v>
      </c>
      <c r="Z471" s="2"/>
      <c r="AA471" s="2"/>
    </row>
    <row r="472" customFormat="false" ht="15" hidden="false" customHeight="false" outlineLevel="0" collapsed="false">
      <c r="A472" s="2" t="s">
        <v>34</v>
      </c>
      <c r="B472" s="2" t="s">
        <v>106</v>
      </c>
      <c r="C472" s="2" t="s">
        <v>1274</v>
      </c>
      <c r="D472" s="2" t="s">
        <v>1275</v>
      </c>
      <c r="E472" s="2" t="n">
        <v>63</v>
      </c>
      <c r="F472" s="2" t="n">
        <v>100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1</v>
      </c>
      <c r="X472" s="2" t="n">
        <v>0</v>
      </c>
      <c r="Y472" s="2"/>
      <c r="Z472" s="2"/>
      <c r="AA472" s="2"/>
    </row>
    <row r="473" customFormat="false" ht="15" hidden="false" customHeight="false" outlineLevel="0" collapsed="false">
      <c r="A473" s="2" t="s">
        <v>34</v>
      </c>
      <c r="B473" s="2" t="s">
        <v>106</v>
      </c>
      <c r="C473" s="2" t="s">
        <v>1276</v>
      </c>
      <c r="D473" s="2" t="s">
        <v>1277</v>
      </c>
      <c r="E473" s="2" t="n">
        <v>63</v>
      </c>
      <c r="F473" s="2" t="n">
        <v>100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1</v>
      </c>
      <c r="X473" s="2" t="n">
        <v>0</v>
      </c>
      <c r="Y473" s="2"/>
      <c r="Z473" s="2"/>
      <c r="AA473" s="2"/>
    </row>
    <row r="474" customFormat="false" ht="15" hidden="false" customHeight="false" outlineLevel="0" collapsed="false">
      <c r="A474" s="2" t="s">
        <v>34</v>
      </c>
      <c r="B474" s="2" t="s">
        <v>106</v>
      </c>
      <c r="C474" s="2" t="s">
        <v>1278</v>
      </c>
      <c r="D474" s="2" t="s">
        <v>1279</v>
      </c>
      <c r="E474" s="2" t="n">
        <v>84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1</v>
      </c>
      <c r="Y474" s="2" t="s">
        <v>1280</v>
      </c>
      <c r="Z474" s="2"/>
      <c r="AA474" s="2"/>
    </row>
    <row r="475" customFormat="false" ht="15" hidden="false" customHeight="false" outlineLevel="0" collapsed="false">
      <c r="A475" s="2" t="s">
        <v>34</v>
      </c>
      <c r="B475" s="2" t="s">
        <v>106</v>
      </c>
      <c r="C475" s="2" t="s">
        <v>1281</v>
      </c>
      <c r="D475" s="2" t="s">
        <v>1282</v>
      </c>
      <c r="E475" s="2" t="n">
        <v>105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1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1</v>
      </c>
      <c r="Y475" s="2" t="s">
        <v>1283</v>
      </c>
      <c r="Z475" s="2"/>
      <c r="AA475" s="2"/>
    </row>
    <row r="476" customFormat="false" ht="15" hidden="false" customHeight="false" outlineLevel="0" collapsed="false">
      <c r="A476" s="2" t="s">
        <v>34</v>
      </c>
      <c r="B476" s="2" t="s">
        <v>106</v>
      </c>
      <c r="C476" s="2" t="s">
        <v>1284</v>
      </c>
      <c r="D476" s="2" t="s">
        <v>1285</v>
      </c>
      <c r="E476" s="2" t="n">
        <v>105</v>
      </c>
      <c r="F476" s="2" t="n">
        <v>0</v>
      </c>
      <c r="G476" s="2" t="n">
        <v>0</v>
      </c>
      <c r="H476" s="2" t="n">
        <v>5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/>
      <c r="Z476" s="2"/>
      <c r="AA476" s="2"/>
    </row>
    <row r="477" customFormat="false" ht="15" hidden="false" customHeight="false" outlineLevel="0" collapsed="false">
      <c r="A477" s="2" t="s">
        <v>34</v>
      </c>
      <c r="B477" s="2" t="s">
        <v>107</v>
      </c>
      <c r="C477" s="2" t="s">
        <v>1268</v>
      </c>
      <c r="D477" s="2" t="s">
        <v>1286</v>
      </c>
      <c r="E477" s="2" t="n">
        <v>35</v>
      </c>
      <c r="F477" s="2" t="n">
        <v>0</v>
      </c>
      <c r="G477" s="2" t="n">
        <v>-10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s">
        <v>1287</v>
      </c>
      <c r="Z477" s="2" t="s">
        <v>1288</v>
      </c>
      <c r="AA477" s="2" t="s">
        <v>1265</v>
      </c>
    </row>
    <row r="478" customFormat="false" ht="15" hidden="false" customHeight="false" outlineLevel="0" collapsed="false">
      <c r="A478" s="2" t="s">
        <v>34</v>
      </c>
      <c r="B478" s="2" t="s">
        <v>107</v>
      </c>
      <c r="C478" s="2" t="s">
        <v>1289</v>
      </c>
      <c r="D478" s="2" t="s">
        <v>1290</v>
      </c>
      <c r="E478" s="2" t="n">
        <v>63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1</v>
      </c>
      <c r="Y478" s="2" t="s">
        <v>1291</v>
      </c>
      <c r="Z478" s="2" t="s">
        <v>1292</v>
      </c>
      <c r="AA478" s="2"/>
    </row>
    <row r="479" customFormat="false" ht="15" hidden="false" customHeight="false" outlineLevel="0" collapsed="false">
      <c r="A479" s="2" t="s">
        <v>34</v>
      </c>
      <c r="B479" s="2" t="s">
        <v>107</v>
      </c>
      <c r="C479" s="2" t="s">
        <v>1293</v>
      </c>
      <c r="D479" s="2" t="s">
        <v>1294</v>
      </c>
      <c r="E479" s="2" t="n">
        <v>63</v>
      </c>
      <c r="F479" s="2" t="n">
        <v>150</v>
      </c>
      <c r="G479" s="2" t="n">
        <v>3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/>
      <c r="Z479" s="2"/>
      <c r="AA479" s="2"/>
    </row>
    <row r="480" customFormat="false" ht="15" hidden="false" customHeight="false" outlineLevel="0" collapsed="false">
      <c r="A480" s="2" t="s">
        <v>34</v>
      </c>
      <c r="B480" s="2" t="s">
        <v>107</v>
      </c>
      <c r="C480" s="2" t="s">
        <v>1295</v>
      </c>
      <c r="D480" s="2" t="s">
        <v>1296</v>
      </c>
      <c r="E480" s="2" t="n">
        <v>49</v>
      </c>
      <c r="F480" s="2" t="n">
        <v>0</v>
      </c>
      <c r="G480" s="2" t="n">
        <v>0</v>
      </c>
      <c r="H480" s="2" t="n">
        <v>5</v>
      </c>
      <c r="I480" s="2" t="n">
        <v>200000</v>
      </c>
      <c r="J480" s="2" t="n">
        <v>50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/>
      <c r="Z480" s="2" t="s">
        <v>1297</v>
      </c>
      <c r="AA480" s="2"/>
    </row>
    <row r="481" customFormat="false" ht="15" hidden="false" customHeight="false" outlineLevel="0" collapsed="false">
      <c r="A481" s="2" t="s">
        <v>34</v>
      </c>
      <c r="B481" s="2" t="s">
        <v>107</v>
      </c>
      <c r="C481" s="2" t="s">
        <v>1298</v>
      </c>
      <c r="D481" s="2" t="s">
        <v>1299</v>
      </c>
      <c r="E481" s="2" t="n">
        <v>84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1</v>
      </c>
      <c r="Y481" s="2" t="s">
        <v>1300</v>
      </c>
      <c r="Z481" s="2"/>
      <c r="AA481" s="2"/>
    </row>
    <row r="482" customFormat="false" ht="15" hidden="false" customHeight="false" outlineLevel="0" collapsed="false">
      <c r="A482" s="2" t="s">
        <v>34</v>
      </c>
      <c r="B482" s="2" t="s">
        <v>107</v>
      </c>
      <c r="C482" s="2" t="s">
        <v>1301</v>
      </c>
      <c r="D482" s="2" t="s">
        <v>1302</v>
      </c>
      <c r="E482" s="2" t="n">
        <v>84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50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1</v>
      </c>
      <c r="X482" s="2" t="n">
        <v>0</v>
      </c>
      <c r="Y482" s="2"/>
      <c r="Z482" s="2" t="s">
        <v>1292</v>
      </c>
      <c r="AA482" s="2"/>
    </row>
    <row r="483" customFormat="false" ht="15" hidden="false" customHeight="false" outlineLevel="0" collapsed="false">
      <c r="A483" s="2" t="s">
        <v>34</v>
      </c>
      <c r="B483" s="2" t="s">
        <v>107</v>
      </c>
      <c r="C483" s="2" t="s">
        <v>1303</v>
      </c>
      <c r="D483" s="2" t="s">
        <v>1304</v>
      </c>
      <c r="E483" s="2" t="n">
        <v>105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1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1</v>
      </c>
      <c r="Y483" s="2" t="s">
        <v>1305</v>
      </c>
      <c r="Z483" s="2" t="s">
        <v>1306</v>
      </c>
      <c r="AA483" s="2"/>
    </row>
    <row r="484" customFormat="false" ht="15" hidden="false" customHeight="false" outlineLevel="0" collapsed="false">
      <c r="A484" s="2" t="s">
        <v>34</v>
      </c>
      <c r="B484" s="2" t="s">
        <v>45</v>
      </c>
      <c r="C484" s="2" t="s">
        <v>1307</v>
      </c>
      <c r="D484" s="2" t="s">
        <v>1308</v>
      </c>
      <c r="E484" s="2" t="n">
        <v>70</v>
      </c>
      <c r="F484" s="2" t="n">
        <v>120</v>
      </c>
      <c r="G484" s="2" t="n">
        <v>5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/>
      <c r="Z484" s="2"/>
      <c r="AA484" s="2"/>
    </row>
    <row r="485" customFormat="false" ht="15" hidden="false" customHeight="false" outlineLevel="0" collapsed="false">
      <c r="A485" s="2" t="s">
        <v>34</v>
      </c>
      <c r="B485" s="2" t="s">
        <v>45</v>
      </c>
      <c r="C485" s="2" t="s">
        <v>1309</v>
      </c>
      <c r="D485" s="2" t="s">
        <v>1310</v>
      </c>
      <c r="E485" s="2" t="n">
        <v>70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1</v>
      </c>
      <c r="Y485" s="2" t="s">
        <v>1311</v>
      </c>
      <c r="Z485" s="2"/>
      <c r="AA485" s="2"/>
    </row>
    <row r="486" customFormat="false" ht="15" hidden="false" customHeight="false" outlineLevel="0" collapsed="false">
      <c r="A486" s="2" t="s">
        <v>34</v>
      </c>
      <c r="B486" s="2" t="s">
        <v>45</v>
      </c>
      <c r="C486" s="2" t="s">
        <v>1312</v>
      </c>
      <c r="D486" s="2" t="s">
        <v>1313</v>
      </c>
      <c r="E486" s="2" t="n">
        <v>70</v>
      </c>
      <c r="F486" s="2" t="n">
        <v>0</v>
      </c>
      <c r="G486" s="2" t="n">
        <v>0</v>
      </c>
      <c r="H486" s="2" t="n">
        <v>5</v>
      </c>
      <c r="I486" s="2" t="n">
        <v>0</v>
      </c>
      <c r="J486" s="2" t="n">
        <v>25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/>
      <c r="Z486" s="2"/>
      <c r="AA486" s="2"/>
    </row>
    <row r="487" customFormat="false" ht="15" hidden="false" customHeight="false" outlineLevel="0" collapsed="false">
      <c r="A487" s="2" t="s">
        <v>34</v>
      </c>
      <c r="B487" s="2" t="s">
        <v>45</v>
      </c>
      <c r="C487" s="2" t="s">
        <v>1314</v>
      </c>
      <c r="D487" s="2" t="s">
        <v>1315</v>
      </c>
      <c r="E487" s="2" t="n">
        <v>105</v>
      </c>
      <c r="F487" s="2" t="n">
        <v>50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9</v>
      </c>
      <c r="X487" s="2" t="n">
        <v>0</v>
      </c>
      <c r="Y487" s="2"/>
      <c r="Z487" s="2"/>
      <c r="AA487" s="2"/>
    </row>
    <row r="488" customFormat="false" ht="15" hidden="false" customHeight="false" outlineLevel="0" collapsed="false">
      <c r="A488" s="2" t="s">
        <v>34</v>
      </c>
      <c r="B488" s="2" t="s">
        <v>108</v>
      </c>
      <c r="C488" s="2" t="s">
        <v>1316</v>
      </c>
      <c r="D488" s="2" t="s">
        <v>1317</v>
      </c>
      <c r="E488" s="2" t="n">
        <v>49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2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/>
      <c r="Z488" s="2"/>
      <c r="AA488" s="2"/>
    </row>
    <row r="489" customFormat="false" ht="15" hidden="false" customHeight="false" outlineLevel="0" collapsed="false">
      <c r="A489" s="2" t="s">
        <v>34</v>
      </c>
      <c r="B489" s="2" t="s">
        <v>108</v>
      </c>
      <c r="C489" s="2" t="s">
        <v>1318</v>
      </c>
      <c r="D489" s="2" t="s">
        <v>1319</v>
      </c>
      <c r="E489" s="2" t="n">
        <v>63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1</v>
      </c>
      <c r="Y489" s="2" t="s">
        <v>1320</v>
      </c>
      <c r="Z489" s="2"/>
      <c r="AA489" s="2" t="s">
        <v>1321</v>
      </c>
    </row>
    <row r="490" customFormat="false" ht="15" hidden="false" customHeight="false" outlineLevel="0" collapsed="false">
      <c r="A490" s="2" t="s">
        <v>34</v>
      </c>
      <c r="B490" s="2" t="s">
        <v>108</v>
      </c>
      <c r="C490" s="2" t="s">
        <v>1322</v>
      </c>
      <c r="D490" s="2" t="s">
        <v>1323</v>
      </c>
      <c r="E490" s="2" t="n">
        <v>49</v>
      </c>
      <c r="F490" s="2" t="n">
        <v>100</v>
      </c>
      <c r="G490" s="2" t="n">
        <v>3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/>
      <c r="Z490" s="2"/>
      <c r="AA490" s="2"/>
    </row>
    <row r="491" customFormat="false" ht="15" hidden="false" customHeight="false" outlineLevel="0" collapsed="false">
      <c r="A491" s="2" t="s">
        <v>34</v>
      </c>
      <c r="B491" s="2" t="s">
        <v>108</v>
      </c>
      <c r="C491" s="2" t="s">
        <v>1324</v>
      </c>
      <c r="D491" s="2" t="s">
        <v>1325</v>
      </c>
      <c r="E491" s="2" t="n">
        <v>84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1</v>
      </c>
      <c r="Y491" s="2" t="s">
        <v>1326</v>
      </c>
      <c r="Z491" s="2"/>
      <c r="AA491" s="2"/>
    </row>
    <row r="492" customFormat="false" ht="15" hidden="false" customHeight="false" outlineLevel="0" collapsed="false">
      <c r="A492" s="2" t="s">
        <v>34</v>
      </c>
      <c r="B492" s="2" t="s">
        <v>108</v>
      </c>
      <c r="C492" s="2" t="s">
        <v>1321</v>
      </c>
      <c r="D492" s="2" t="s">
        <v>1327</v>
      </c>
      <c r="E492" s="2" t="n">
        <v>63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1</v>
      </c>
      <c r="Y492" s="2" t="s">
        <v>1328</v>
      </c>
      <c r="Z492" s="2"/>
      <c r="AA492" s="2" t="s">
        <v>1318</v>
      </c>
    </row>
    <row r="493" customFormat="false" ht="15" hidden="false" customHeight="false" outlineLevel="0" collapsed="false">
      <c r="A493" s="2" t="s">
        <v>34</v>
      </c>
      <c r="B493" s="2" t="s">
        <v>108</v>
      </c>
      <c r="C493" s="2" t="s">
        <v>1329</v>
      </c>
      <c r="D493" s="2" t="s">
        <v>1330</v>
      </c>
      <c r="E493" s="2" t="n">
        <v>49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2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/>
      <c r="Z493" s="2"/>
      <c r="AA493" s="2"/>
    </row>
    <row r="494" customFormat="false" ht="15" hidden="false" customHeight="false" outlineLevel="0" collapsed="false">
      <c r="A494" s="2" t="s">
        <v>34</v>
      </c>
      <c r="B494" s="2" t="s">
        <v>108</v>
      </c>
      <c r="C494" s="2" t="s">
        <v>1331</v>
      </c>
      <c r="D494" s="2" t="s">
        <v>1332</v>
      </c>
      <c r="E494" s="2" t="n">
        <v>84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1</v>
      </c>
      <c r="Y494" s="2" t="s">
        <v>1333</v>
      </c>
      <c r="Z494" s="2"/>
      <c r="AA494" s="2"/>
    </row>
    <row r="495" customFormat="false" ht="15" hidden="false" customHeight="false" outlineLevel="0" collapsed="false">
      <c r="A495" s="2" t="s">
        <v>34</v>
      </c>
      <c r="B495" s="2" t="s">
        <v>108</v>
      </c>
      <c r="C495" s="2" t="s">
        <v>1334</v>
      </c>
      <c r="D495" s="2" t="s">
        <v>1335</v>
      </c>
      <c r="E495" s="2" t="n">
        <v>105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1</v>
      </c>
      <c r="Y495" s="2" t="s">
        <v>1336</v>
      </c>
      <c r="Z495" s="2"/>
      <c r="AA495" s="2"/>
    </row>
    <row r="496" customFormat="false" ht="15" hidden="false" customHeight="false" outlineLevel="0" collapsed="false">
      <c r="A496" s="2" t="s">
        <v>34</v>
      </c>
      <c r="B496" s="2" t="s">
        <v>108</v>
      </c>
      <c r="C496" s="2" t="s">
        <v>1337</v>
      </c>
      <c r="D496" s="2" t="s">
        <v>1338</v>
      </c>
      <c r="E496" s="2" t="n">
        <v>77</v>
      </c>
      <c r="F496" s="2" t="n">
        <v>0</v>
      </c>
      <c r="G496" s="2" t="n">
        <v>5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1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/>
      <c r="Z496" s="2"/>
      <c r="AA496" s="2"/>
    </row>
    <row r="497" customFormat="false" ht="15" hidden="false" customHeight="false" outlineLevel="0" collapsed="false">
      <c r="A497" s="2" t="s">
        <v>34</v>
      </c>
      <c r="B497" s="2" t="s">
        <v>108</v>
      </c>
      <c r="C497" s="2" t="s">
        <v>1339</v>
      </c>
      <c r="D497" s="2" t="s">
        <v>1340</v>
      </c>
      <c r="E497" s="2" t="n">
        <v>98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1</v>
      </c>
      <c r="Y497" s="2" t="s">
        <v>1341</v>
      </c>
      <c r="Z497" s="2"/>
      <c r="AA497" s="2"/>
    </row>
    <row r="498" customFormat="false" ht="15" hidden="false" customHeight="false" outlineLevel="0" collapsed="false">
      <c r="A498" s="2" t="s">
        <v>34</v>
      </c>
      <c r="B498" s="2" t="s">
        <v>108</v>
      </c>
      <c r="C498" s="2" t="s">
        <v>1342</v>
      </c>
      <c r="D498" s="2" t="s">
        <v>1343</v>
      </c>
      <c r="E498" s="2" t="n">
        <v>77</v>
      </c>
      <c r="F498" s="2" t="n">
        <v>100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1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/>
      <c r="Z498" s="2"/>
      <c r="AA498" s="2"/>
    </row>
    <row r="499" customFormat="false" ht="15" hidden="false" customHeight="false" outlineLevel="0" collapsed="false">
      <c r="A499" s="2" t="s">
        <v>34</v>
      </c>
      <c r="B499" s="2" t="s">
        <v>108</v>
      </c>
      <c r="C499" s="2" t="s">
        <v>1344</v>
      </c>
      <c r="D499" s="2" t="s">
        <v>1345</v>
      </c>
      <c r="E499" s="2" t="n">
        <v>98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1</v>
      </c>
      <c r="Y499" s="2" t="s">
        <v>1346</v>
      </c>
      <c r="Z499" s="2"/>
      <c r="AA499" s="2"/>
    </row>
    <row r="500" customFormat="false" ht="15" hidden="false" customHeight="false" outlineLevel="0" collapsed="false">
      <c r="A500" s="2" t="s">
        <v>34</v>
      </c>
      <c r="B500" s="2" t="s">
        <v>109</v>
      </c>
      <c r="C500" s="2" t="s">
        <v>1347</v>
      </c>
      <c r="D500" s="2" t="s">
        <v>1348</v>
      </c>
      <c r="E500" s="2" t="n">
        <v>49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2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/>
      <c r="Z500" s="2"/>
      <c r="AA500" s="2"/>
    </row>
    <row r="501" customFormat="false" ht="15" hidden="false" customHeight="false" outlineLevel="0" collapsed="false">
      <c r="A501" s="2" t="s">
        <v>34</v>
      </c>
      <c r="B501" s="2" t="s">
        <v>109</v>
      </c>
      <c r="C501" s="2" t="s">
        <v>1349</v>
      </c>
      <c r="D501" s="2" t="s">
        <v>1350</v>
      </c>
      <c r="E501" s="2" t="n">
        <v>49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2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/>
      <c r="Z501" s="2"/>
      <c r="AA501" s="2"/>
    </row>
    <row r="502" customFormat="false" ht="15" hidden="false" customHeight="false" outlineLevel="0" collapsed="false">
      <c r="A502" s="2" t="s">
        <v>34</v>
      </c>
      <c r="B502" s="2" t="s">
        <v>109</v>
      </c>
      <c r="C502" s="2" t="s">
        <v>1351</v>
      </c>
      <c r="D502" s="2" t="s">
        <v>1352</v>
      </c>
      <c r="E502" s="2" t="n">
        <v>49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1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/>
      <c r="Z502" s="2"/>
      <c r="AA502" s="2"/>
    </row>
    <row r="503" customFormat="false" ht="15" hidden="false" customHeight="false" outlineLevel="0" collapsed="false">
      <c r="A503" s="2" t="s">
        <v>34</v>
      </c>
      <c r="B503" s="2" t="s">
        <v>109</v>
      </c>
      <c r="C503" s="2" t="s">
        <v>1353</v>
      </c>
      <c r="D503" s="2" t="s">
        <v>1354</v>
      </c>
      <c r="E503" s="2" t="n">
        <v>49</v>
      </c>
      <c r="F503" s="2" t="n">
        <v>50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2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/>
      <c r="Z503" s="2"/>
      <c r="AA503" s="2"/>
    </row>
    <row r="504" customFormat="false" ht="15" hidden="false" customHeight="false" outlineLevel="0" collapsed="false">
      <c r="A504" s="2" t="s">
        <v>34</v>
      </c>
      <c r="B504" s="2" t="s">
        <v>109</v>
      </c>
      <c r="C504" s="2" t="s">
        <v>1355</v>
      </c>
      <c r="D504" s="2" t="s">
        <v>1356</v>
      </c>
      <c r="E504" s="2" t="n">
        <v>63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1</v>
      </c>
      <c r="O504" s="2" t="n">
        <v>0</v>
      </c>
      <c r="P504" s="2" t="n">
        <v>0</v>
      </c>
      <c r="Q504" s="2" t="n">
        <v>2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/>
      <c r="Z504" s="2"/>
      <c r="AA504" s="2"/>
    </row>
    <row r="505" customFormat="false" ht="15" hidden="false" customHeight="false" outlineLevel="0" collapsed="false">
      <c r="A505" s="2" t="s">
        <v>34</v>
      </c>
      <c r="B505" s="2" t="s">
        <v>109</v>
      </c>
      <c r="C505" s="2" t="s">
        <v>1357</v>
      </c>
      <c r="D505" s="2" t="s">
        <v>1358</v>
      </c>
      <c r="E505" s="2" t="n">
        <v>84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3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/>
      <c r="Z505" s="2"/>
      <c r="AA505" s="2"/>
    </row>
    <row r="506" customFormat="false" ht="15" hidden="false" customHeight="false" outlineLevel="0" collapsed="false">
      <c r="A506" s="2" t="s">
        <v>34</v>
      </c>
      <c r="B506" s="2" t="s">
        <v>109</v>
      </c>
      <c r="C506" s="2" t="s">
        <v>1359</v>
      </c>
      <c r="D506" s="2" t="s">
        <v>1360</v>
      </c>
      <c r="E506" s="2" t="n">
        <v>84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3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/>
      <c r="Z506" s="2"/>
      <c r="AA506" s="2"/>
    </row>
    <row r="507" customFormat="false" ht="15" hidden="false" customHeight="false" outlineLevel="0" collapsed="false">
      <c r="A507" s="2" t="s">
        <v>34</v>
      </c>
      <c r="B507" s="2" t="s">
        <v>109</v>
      </c>
      <c r="C507" s="2" t="s">
        <v>1361</v>
      </c>
      <c r="D507" s="2" t="s">
        <v>1362</v>
      </c>
      <c r="E507" s="2" t="n">
        <v>105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1</v>
      </c>
      <c r="Y507" s="2" t="s">
        <v>1363</v>
      </c>
      <c r="Z507" s="2"/>
      <c r="AA507" s="2"/>
    </row>
    <row r="508" customFormat="false" ht="15" hidden="false" customHeight="false" outlineLevel="0" collapsed="false">
      <c r="A508" s="2" t="s">
        <v>34</v>
      </c>
      <c r="B508" s="2" t="s">
        <v>110</v>
      </c>
      <c r="C508" s="2" t="s">
        <v>1364</v>
      </c>
      <c r="D508" s="2" t="s">
        <v>1365</v>
      </c>
      <c r="E508" s="2" t="n">
        <v>49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1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/>
      <c r="Z508" s="2" t="s">
        <v>1262</v>
      </c>
      <c r="AA508" s="2"/>
    </row>
    <row r="509" customFormat="false" ht="15" hidden="false" customHeight="false" outlineLevel="0" collapsed="false">
      <c r="A509" s="2" t="s">
        <v>34</v>
      </c>
      <c r="B509" s="2" t="s">
        <v>110</v>
      </c>
      <c r="C509" s="2" t="s">
        <v>1366</v>
      </c>
      <c r="D509" s="2" t="s">
        <v>1367</v>
      </c>
      <c r="E509" s="2" t="n">
        <v>63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1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/>
      <c r="Z509" s="2" t="s">
        <v>1368</v>
      </c>
      <c r="AA509" s="2"/>
    </row>
    <row r="510" customFormat="false" ht="15" hidden="false" customHeight="false" outlineLevel="0" collapsed="false">
      <c r="A510" s="2" t="s">
        <v>34</v>
      </c>
      <c r="B510" s="2" t="s">
        <v>110</v>
      </c>
      <c r="C510" s="2" t="s">
        <v>1369</v>
      </c>
      <c r="D510" s="2" t="s">
        <v>1370</v>
      </c>
      <c r="E510" s="2" t="n">
        <v>49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1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/>
      <c r="Z510" s="2" t="s">
        <v>1371</v>
      </c>
      <c r="AA510" s="2"/>
    </row>
    <row r="511" customFormat="false" ht="15" hidden="false" customHeight="false" outlineLevel="0" collapsed="false">
      <c r="A511" s="2" t="s">
        <v>34</v>
      </c>
      <c r="B511" s="2" t="s">
        <v>110</v>
      </c>
      <c r="C511" s="2" t="s">
        <v>1372</v>
      </c>
      <c r="D511" s="2" t="s">
        <v>1373</v>
      </c>
      <c r="E511" s="2" t="n">
        <v>49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1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/>
      <c r="Z511" s="2" t="s">
        <v>1374</v>
      </c>
      <c r="AA511" s="2"/>
    </row>
    <row r="512" customFormat="false" ht="15" hidden="false" customHeight="false" outlineLevel="0" collapsed="false">
      <c r="A512" s="2" t="s">
        <v>34</v>
      </c>
      <c r="B512" s="2" t="s">
        <v>110</v>
      </c>
      <c r="C512" s="2" t="s">
        <v>1375</v>
      </c>
      <c r="D512" s="2" t="s">
        <v>1376</v>
      </c>
      <c r="E512" s="2" t="n">
        <v>49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1</v>
      </c>
      <c r="Y512" s="2" t="s">
        <v>1377</v>
      </c>
      <c r="Z512" s="2"/>
      <c r="AA512" s="2"/>
    </row>
    <row r="513" customFormat="false" ht="15" hidden="false" customHeight="false" outlineLevel="0" collapsed="false">
      <c r="A513" s="2" t="s">
        <v>34</v>
      </c>
      <c r="B513" s="2" t="s">
        <v>110</v>
      </c>
      <c r="C513" s="2" t="s">
        <v>1378</v>
      </c>
      <c r="D513" s="2" t="s">
        <v>1379</v>
      </c>
      <c r="E513" s="2" t="n">
        <v>84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1</v>
      </c>
      <c r="Y513" s="2" t="s">
        <v>1380</v>
      </c>
      <c r="Z513" s="2"/>
      <c r="AA513" s="2"/>
    </row>
    <row r="514" customFormat="false" ht="15" hidden="false" customHeight="false" outlineLevel="0" collapsed="false">
      <c r="A514" s="2" t="s">
        <v>34</v>
      </c>
      <c r="B514" s="2" t="s">
        <v>110</v>
      </c>
      <c r="C514" s="2" t="s">
        <v>1381</v>
      </c>
      <c r="D514" s="2" t="s">
        <v>1382</v>
      </c>
      <c r="E514" s="2" t="n">
        <v>63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2</v>
      </c>
      <c r="O514" s="2" t="n">
        <v>0</v>
      </c>
      <c r="P514" s="2" t="n">
        <v>1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/>
      <c r="Z514" s="2"/>
      <c r="AA514" s="2"/>
    </row>
    <row r="515" customFormat="false" ht="15" hidden="false" customHeight="false" outlineLevel="0" collapsed="false">
      <c r="A515" s="2" t="s">
        <v>34</v>
      </c>
      <c r="B515" s="2" t="s">
        <v>110</v>
      </c>
      <c r="C515" s="2" t="s">
        <v>1383</v>
      </c>
      <c r="D515" s="2" t="s">
        <v>1384</v>
      </c>
      <c r="E515" s="2" t="n">
        <v>105</v>
      </c>
      <c r="F515" s="2" t="n">
        <v>0</v>
      </c>
      <c r="G515" s="2" t="n">
        <v>0</v>
      </c>
      <c r="H515" s="2" t="n">
        <v>0</v>
      </c>
      <c r="I515" s="2" t="n">
        <v>300000</v>
      </c>
      <c r="J515" s="2" t="n">
        <v>50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/>
      <c r="Z515" s="2" t="s">
        <v>1385</v>
      </c>
      <c r="AA515" s="2"/>
    </row>
    <row r="516" customFormat="false" ht="15" hidden="false" customHeight="false" outlineLevel="0" collapsed="false">
      <c r="A516" s="2" t="s">
        <v>34</v>
      </c>
      <c r="B516" s="2" t="s">
        <v>111</v>
      </c>
      <c r="C516" s="2" t="s">
        <v>1386</v>
      </c>
      <c r="D516" s="2" t="s">
        <v>1387</v>
      </c>
      <c r="E516" s="2" t="n">
        <v>63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25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1</v>
      </c>
      <c r="Y516" s="2" t="s">
        <v>1388</v>
      </c>
      <c r="Z516" s="2"/>
      <c r="AA516" s="2"/>
    </row>
    <row r="517" customFormat="false" ht="15" hidden="false" customHeight="false" outlineLevel="0" collapsed="false">
      <c r="A517" s="2" t="s">
        <v>34</v>
      </c>
      <c r="B517" s="2" t="s">
        <v>111</v>
      </c>
      <c r="C517" s="2" t="s">
        <v>1389</v>
      </c>
      <c r="D517" s="2" t="s">
        <v>1390</v>
      </c>
      <c r="E517" s="2" t="n">
        <v>49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2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/>
      <c r="Z517" s="2"/>
      <c r="AA517" s="2"/>
    </row>
    <row r="518" customFormat="false" ht="15" hidden="false" customHeight="false" outlineLevel="0" collapsed="false">
      <c r="A518" s="2" t="s">
        <v>34</v>
      </c>
      <c r="B518" s="2" t="s">
        <v>111</v>
      </c>
      <c r="C518" s="2" t="s">
        <v>1391</v>
      </c>
      <c r="D518" s="2" t="s">
        <v>1392</v>
      </c>
      <c r="E518" s="2" t="n">
        <v>49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25</v>
      </c>
      <c r="M518" s="2" t="n">
        <v>0</v>
      </c>
      <c r="N518" s="2" t="n">
        <v>1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100</v>
      </c>
      <c r="W518" s="2" t="n">
        <v>0</v>
      </c>
      <c r="X518" s="2" t="n">
        <v>0</v>
      </c>
      <c r="Y518" s="2"/>
      <c r="Z518" s="2"/>
      <c r="AA518" s="2"/>
    </row>
    <row r="519" customFormat="false" ht="15" hidden="false" customHeight="false" outlineLevel="0" collapsed="false">
      <c r="A519" s="2" t="s">
        <v>34</v>
      </c>
      <c r="B519" s="2" t="s">
        <v>111</v>
      </c>
      <c r="C519" s="2" t="s">
        <v>1393</v>
      </c>
      <c r="D519" s="2" t="s">
        <v>1394</v>
      </c>
      <c r="E519" s="2" t="n">
        <v>63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1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2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/>
      <c r="Z519" s="2"/>
      <c r="AA519" s="2"/>
    </row>
    <row r="520" customFormat="false" ht="15" hidden="false" customHeight="false" outlineLevel="0" collapsed="false">
      <c r="A520" s="2" t="s">
        <v>34</v>
      </c>
      <c r="B520" s="2" t="s">
        <v>111</v>
      </c>
      <c r="C520" s="2" t="s">
        <v>1395</v>
      </c>
      <c r="D520" s="2" t="s">
        <v>1396</v>
      </c>
      <c r="E520" s="2" t="n">
        <v>84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50</v>
      </c>
      <c r="M520" s="2" t="n">
        <v>0</v>
      </c>
      <c r="N520" s="2" t="n">
        <v>3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/>
      <c r="Z520" s="2"/>
      <c r="AA520" s="2"/>
    </row>
    <row r="521" customFormat="false" ht="15" hidden="false" customHeight="false" outlineLevel="0" collapsed="false">
      <c r="A521" s="2" t="s">
        <v>34</v>
      </c>
      <c r="B521" s="2" t="s">
        <v>111</v>
      </c>
      <c r="C521" s="2" t="s">
        <v>1397</v>
      </c>
      <c r="D521" s="2" t="s">
        <v>1398</v>
      </c>
      <c r="E521" s="2" t="n">
        <v>105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2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1</v>
      </c>
      <c r="Y521" s="2" t="s">
        <v>1399</v>
      </c>
      <c r="Z521" s="2"/>
      <c r="AA521" s="2"/>
    </row>
    <row r="522" customFormat="false" ht="15" hidden="false" customHeight="false" outlineLevel="0" collapsed="false">
      <c r="A522" s="2" t="s">
        <v>34</v>
      </c>
      <c r="B522" s="2" t="s">
        <v>112</v>
      </c>
      <c r="C522" s="2" t="s">
        <v>1400</v>
      </c>
      <c r="D522" s="2" t="s">
        <v>1401</v>
      </c>
      <c r="E522" s="2" t="n">
        <v>35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/>
      <c r="Z522" s="2" t="s">
        <v>1292</v>
      </c>
      <c r="AA522" s="2"/>
    </row>
    <row r="523" customFormat="false" ht="15" hidden="false" customHeight="false" outlineLevel="0" collapsed="false">
      <c r="A523" s="2" t="s">
        <v>34</v>
      </c>
      <c r="B523" s="2" t="s">
        <v>112</v>
      </c>
      <c r="C523" s="2" t="s">
        <v>1402</v>
      </c>
      <c r="D523" s="2" t="s">
        <v>1403</v>
      </c>
      <c r="E523" s="2" t="n">
        <v>49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1</v>
      </c>
      <c r="Y523" s="2" t="s">
        <v>1404</v>
      </c>
      <c r="Z523" s="2"/>
      <c r="AA523" s="2"/>
    </row>
    <row r="524" customFormat="false" ht="15" hidden="false" customHeight="false" outlineLevel="0" collapsed="false">
      <c r="A524" s="2" t="s">
        <v>34</v>
      </c>
      <c r="B524" s="2" t="s">
        <v>112</v>
      </c>
      <c r="C524" s="2" t="s">
        <v>1405</v>
      </c>
      <c r="D524" s="2" t="s">
        <v>1406</v>
      </c>
      <c r="E524" s="2" t="n">
        <v>49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50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/>
      <c r="Z524" s="2" t="s">
        <v>1292</v>
      </c>
      <c r="AA524" s="2"/>
    </row>
    <row r="525" customFormat="false" ht="15" hidden="false" customHeight="false" outlineLevel="0" collapsed="false">
      <c r="A525" s="2" t="s">
        <v>34</v>
      </c>
      <c r="B525" s="2" t="s">
        <v>112</v>
      </c>
      <c r="C525" s="2" t="s">
        <v>1407</v>
      </c>
      <c r="D525" s="2" t="s">
        <v>1408</v>
      </c>
      <c r="E525" s="2" t="n">
        <v>63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/>
      <c r="Z525" s="2" t="s">
        <v>1409</v>
      </c>
      <c r="AA525" s="2"/>
    </row>
    <row r="526" customFormat="false" ht="15" hidden="false" customHeight="false" outlineLevel="0" collapsed="false">
      <c r="A526" s="2" t="s">
        <v>34</v>
      </c>
      <c r="B526" s="2" t="s">
        <v>112</v>
      </c>
      <c r="C526" s="2" t="s">
        <v>1410</v>
      </c>
      <c r="D526" s="2" t="s">
        <v>1411</v>
      </c>
      <c r="E526" s="2" t="n">
        <v>63</v>
      </c>
      <c r="F526" s="2" t="n">
        <v>50</v>
      </c>
      <c r="G526" s="2" t="n">
        <v>0</v>
      </c>
      <c r="H526" s="2" t="n">
        <v>5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/>
      <c r="Z526" s="2" t="s">
        <v>1306</v>
      </c>
      <c r="AA526" s="2"/>
    </row>
    <row r="527" customFormat="false" ht="15" hidden="false" customHeight="false" outlineLevel="0" collapsed="false">
      <c r="A527" s="2" t="s">
        <v>34</v>
      </c>
      <c r="B527" s="2" t="s">
        <v>112</v>
      </c>
      <c r="C527" s="2" t="s">
        <v>1412</v>
      </c>
      <c r="D527" s="2" t="s">
        <v>1413</v>
      </c>
      <c r="E527" s="2" t="n">
        <v>105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1</v>
      </c>
      <c r="Y527" s="2" t="s">
        <v>1414</v>
      </c>
      <c r="Z527" s="2" t="s">
        <v>1415</v>
      </c>
      <c r="AA527" s="2"/>
    </row>
    <row r="528" customFormat="false" ht="15" hidden="false" customHeight="false" outlineLevel="0" collapsed="false">
      <c r="A528" s="2" t="s">
        <v>34</v>
      </c>
      <c r="B528" s="2" t="s">
        <v>113</v>
      </c>
      <c r="C528" s="2" t="s">
        <v>1416</v>
      </c>
      <c r="D528" s="2" t="s">
        <v>1417</v>
      </c>
      <c r="E528" s="2" t="n">
        <v>49</v>
      </c>
      <c r="F528" s="2" t="n">
        <v>50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/>
      <c r="Z528" s="2" t="s">
        <v>1292</v>
      </c>
      <c r="AA528" s="2"/>
    </row>
    <row r="529" customFormat="false" ht="15" hidden="false" customHeight="false" outlineLevel="0" collapsed="false">
      <c r="A529" s="2" t="s">
        <v>34</v>
      </c>
      <c r="B529" s="2" t="s">
        <v>113</v>
      </c>
      <c r="C529" s="2" t="s">
        <v>1418</v>
      </c>
      <c r="D529" s="2" t="s">
        <v>1419</v>
      </c>
      <c r="E529" s="2" t="n">
        <v>49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1</v>
      </c>
      <c r="Y529" s="2" t="s">
        <v>1420</v>
      </c>
      <c r="Z529" s="2"/>
      <c r="AA529" s="2"/>
    </row>
    <row r="530" customFormat="false" ht="15" hidden="false" customHeight="false" outlineLevel="0" collapsed="false">
      <c r="A530" s="2" t="s">
        <v>34</v>
      </c>
      <c r="B530" s="2" t="s">
        <v>113</v>
      </c>
      <c r="C530" s="2" t="s">
        <v>1421</v>
      </c>
      <c r="D530" s="2" t="s">
        <v>1422</v>
      </c>
      <c r="E530" s="2" t="n">
        <v>63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2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/>
      <c r="Z530" s="2"/>
      <c r="AA530" s="2"/>
    </row>
    <row r="531" customFormat="false" ht="15" hidden="false" customHeight="false" outlineLevel="0" collapsed="false">
      <c r="A531" s="2" t="s">
        <v>34</v>
      </c>
      <c r="B531" s="2" t="s">
        <v>113</v>
      </c>
      <c r="C531" s="2" t="s">
        <v>1423</v>
      </c>
      <c r="D531" s="2" t="s">
        <v>1424</v>
      </c>
      <c r="E531" s="2" t="n">
        <v>84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1</v>
      </c>
      <c r="Y531" s="2" t="s">
        <v>1425</v>
      </c>
      <c r="Z531" s="2"/>
      <c r="AA531" s="2"/>
    </row>
    <row r="532" customFormat="false" ht="15" hidden="false" customHeight="false" outlineLevel="0" collapsed="false">
      <c r="A532" s="2" t="s">
        <v>34</v>
      </c>
      <c r="B532" s="2" t="s">
        <v>113</v>
      </c>
      <c r="C532" s="2" t="s">
        <v>1426</v>
      </c>
      <c r="D532" s="2" t="s">
        <v>1427</v>
      </c>
      <c r="E532" s="2" t="n">
        <v>63</v>
      </c>
      <c r="F532" s="2" t="n">
        <v>0</v>
      </c>
      <c r="G532" s="2" t="n">
        <v>10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/>
      <c r="Z532" s="2" t="s">
        <v>1428</v>
      </c>
      <c r="AA532" s="2"/>
    </row>
    <row r="533" customFormat="false" ht="15" hidden="false" customHeight="false" outlineLevel="0" collapsed="false">
      <c r="A533" s="2" t="s">
        <v>34</v>
      </c>
      <c r="B533" s="2" t="s">
        <v>113</v>
      </c>
      <c r="C533" s="2" t="s">
        <v>1429</v>
      </c>
      <c r="D533" s="2" t="s">
        <v>1430</v>
      </c>
      <c r="E533" s="2" t="n">
        <v>105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1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/>
      <c r="Z533" s="2"/>
      <c r="AA533" s="2"/>
    </row>
    <row r="534" customFormat="false" ht="15" hidden="false" customHeight="false" outlineLevel="0" collapsed="false">
      <c r="A534" s="2" t="s">
        <v>35</v>
      </c>
      <c r="B534" s="2" t="s">
        <v>114</v>
      </c>
      <c r="C534" s="2" t="s">
        <v>1431</v>
      </c>
      <c r="D534" s="2" t="s">
        <v>1432</v>
      </c>
      <c r="E534" s="2" t="n">
        <v>35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1</v>
      </c>
      <c r="Y534" s="2" t="s">
        <v>1433</v>
      </c>
      <c r="Z534" s="2"/>
      <c r="AA534" s="2"/>
    </row>
    <row r="535" customFormat="false" ht="15" hidden="false" customHeight="false" outlineLevel="0" collapsed="false">
      <c r="A535" s="2" t="s">
        <v>35</v>
      </c>
      <c r="B535" s="2" t="s">
        <v>114</v>
      </c>
      <c r="C535" s="2" t="s">
        <v>1434</v>
      </c>
      <c r="D535" s="2" t="s">
        <v>1435</v>
      </c>
      <c r="E535" s="2" t="n">
        <v>35</v>
      </c>
      <c r="F535" s="2" t="n">
        <v>0</v>
      </c>
      <c r="G535" s="2" t="n">
        <v>0</v>
      </c>
      <c r="H535" s="2" t="n">
        <v>0</v>
      </c>
      <c r="I535" s="2" t="n">
        <v>20000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1</v>
      </c>
      <c r="Y535" s="2" t="s">
        <v>1436</v>
      </c>
      <c r="Z535" s="2"/>
      <c r="AA535" s="2"/>
    </row>
    <row r="536" customFormat="false" ht="15" hidden="false" customHeight="false" outlineLevel="0" collapsed="false">
      <c r="A536" s="2" t="s">
        <v>35</v>
      </c>
      <c r="B536" s="2" t="s">
        <v>114</v>
      </c>
      <c r="C536" s="2" t="s">
        <v>1437</v>
      </c>
      <c r="D536" s="2" t="s">
        <v>1438</v>
      </c>
      <c r="E536" s="2" t="n">
        <v>35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1500</v>
      </c>
      <c r="U536" s="2" t="n">
        <v>0</v>
      </c>
      <c r="V536" s="2" t="n">
        <v>0</v>
      </c>
      <c r="W536" s="2" t="n">
        <v>0</v>
      </c>
      <c r="X536" s="2" t="n">
        <v>1</v>
      </c>
      <c r="Y536" s="2" t="s">
        <v>1439</v>
      </c>
      <c r="Z536" s="2"/>
      <c r="AA536" s="2"/>
    </row>
    <row r="537" customFormat="false" ht="15" hidden="false" customHeight="false" outlineLevel="0" collapsed="false">
      <c r="A537" s="2" t="s">
        <v>35</v>
      </c>
      <c r="B537" s="2" t="s">
        <v>114</v>
      </c>
      <c r="C537" s="2" t="s">
        <v>1440</v>
      </c>
      <c r="D537" s="2" t="s">
        <v>1441</v>
      </c>
      <c r="E537" s="2" t="n">
        <v>35</v>
      </c>
      <c r="F537" s="2" t="n">
        <v>0</v>
      </c>
      <c r="G537" s="2" t="n">
        <v>0</v>
      </c>
      <c r="H537" s="2" t="n">
        <v>0</v>
      </c>
      <c r="I537" s="2" t="n">
        <v>40000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1</v>
      </c>
      <c r="Y537" s="2" t="s">
        <v>1442</v>
      </c>
      <c r="Z537" s="2"/>
      <c r="AA537" s="2"/>
    </row>
    <row r="538" customFormat="false" ht="15" hidden="false" customHeight="false" outlineLevel="0" collapsed="false">
      <c r="A538" s="2" t="s">
        <v>35</v>
      </c>
      <c r="B538" s="2" t="s">
        <v>114</v>
      </c>
      <c r="C538" s="2" t="s">
        <v>1443</v>
      </c>
      <c r="D538" s="2" t="s">
        <v>1444</v>
      </c>
      <c r="E538" s="2" t="n">
        <v>35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2000</v>
      </c>
      <c r="U538" s="2" t="n">
        <v>0</v>
      </c>
      <c r="V538" s="2" t="n">
        <v>0</v>
      </c>
      <c r="W538" s="2" t="n">
        <v>0</v>
      </c>
      <c r="X538" s="2" t="n">
        <v>1</v>
      </c>
      <c r="Y538" s="2" t="s">
        <v>1445</v>
      </c>
      <c r="Z538" s="2"/>
      <c r="AA538" s="2"/>
    </row>
    <row r="539" customFormat="false" ht="15" hidden="false" customHeight="false" outlineLevel="0" collapsed="false">
      <c r="A539" s="2" t="s">
        <v>35</v>
      </c>
      <c r="B539" s="2" t="s">
        <v>114</v>
      </c>
      <c r="C539" s="2" t="s">
        <v>1446</v>
      </c>
      <c r="D539" s="2" t="s">
        <v>1447</v>
      </c>
      <c r="E539" s="2" t="n">
        <v>35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1</v>
      </c>
      <c r="Y539" s="2" t="s">
        <v>1448</v>
      </c>
      <c r="Z539" s="2"/>
      <c r="AA539" s="2"/>
    </row>
    <row r="540" customFormat="false" ht="15" hidden="false" customHeight="false" outlineLevel="0" collapsed="false">
      <c r="A540" s="2" t="s">
        <v>35</v>
      </c>
      <c r="B540" s="2" t="s">
        <v>114</v>
      </c>
      <c r="C540" s="2" t="s">
        <v>1449</v>
      </c>
      <c r="D540" s="2" t="s">
        <v>1450</v>
      </c>
      <c r="E540" s="2" t="n">
        <v>35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1</v>
      </c>
      <c r="Y540" s="2" t="s">
        <v>1451</v>
      </c>
      <c r="Z540" s="2"/>
      <c r="AA540" s="2"/>
    </row>
    <row r="541" customFormat="false" ht="15" hidden="false" customHeight="false" outlineLevel="0" collapsed="false">
      <c r="A541" s="2" t="s">
        <v>36</v>
      </c>
      <c r="B541" s="2" t="s">
        <v>115</v>
      </c>
      <c r="C541" s="2" t="s">
        <v>1452</v>
      </c>
      <c r="D541" s="2" t="s">
        <v>1432</v>
      </c>
      <c r="E541" s="2" t="n">
        <v>35</v>
      </c>
      <c r="F541" s="2" t="n">
        <v>0</v>
      </c>
      <c r="G541" s="2" t="n">
        <v>0</v>
      </c>
      <c r="H541" s="2" t="n">
        <v>0</v>
      </c>
      <c r="I541" s="2" t="n">
        <v>40000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1150</v>
      </c>
      <c r="U541" s="2" t="n">
        <v>0</v>
      </c>
      <c r="V541" s="2" t="n">
        <v>0</v>
      </c>
      <c r="W541" s="2" t="n">
        <v>0</v>
      </c>
      <c r="X541" s="2" t="n">
        <v>1</v>
      </c>
      <c r="Y541" s="2" t="s">
        <v>1453</v>
      </c>
      <c r="Z541" s="2"/>
      <c r="AA541" s="2"/>
    </row>
    <row r="542" customFormat="false" ht="15" hidden="false" customHeight="false" outlineLevel="0" collapsed="false">
      <c r="A542" s="2" t="s">
        <v>36</v>
      </c>
      <c r="B542" s="2" t="s">
        <v>115</v>
      </c>
      <c r="C542" s="2" t="s">
        <v>1454</v>
      </c>
      <c r="D542" s="2" t="s">
        <v>1455</v>
      </c>
      <c r="E542" s="2" t="n">
        <v>35</v>
      </c>
      <c r="F542" s="2" t="n">
        <v>0</v>
      </c>
      <c r="G542" s="2" t="n">
        <v>0</v>
      </c>
      <c r="H542" s="2" t="n">
        <v>0</v>
      </c>
      <c r="I542" s="2" t="n">
        <v>80000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2300</v>
      </c>
      <c r="U542" s="2" t="n">
        <v>0</v>
      </c>
      <c r="V542" s="2" t="n">
        <v>0</v>
      </c>
      <c r="W542" s="2" t="n">
        <v>0</v>
      </c>
      <c r="X542" s="2" t="n">
        <v>1</v>
      </c>
      <c r="Y542" s="2" t="s">
        <v>1456</v>
      </c>
      <c r="Z542" s="2"/>
      <c r="AA542" s="2"/>
    </row>
    <row r="543" customFormat="false" ht="15" hidden="false" customHeight="false" outlineLevel="0" collapsed="false">
      <c r="A543" s="2" t="s">
        <v>36</v>
      </c>
      <c r="B543" s="2" t="s">
        <v>115</v>
      </c>
      <c r="C543" s="2" t="s">
        <v>1457</v>
      </c>
      <c r="D543" s="2" t="s">
        <v>1458</v>
      </c>
      <c r="E543" s="2" t="n">
        <v>35</v>
      </c>
      <c r="F543" s="2" t="n">
        <v>0</v>
      </c>
      <c r="G543" s="2" t="n">
        <v>0</v>
      </c>
      <c r="H543" s="2" t="n">
        <v>0</v>
      </c>
      <c r="I543" s="2" t="n">
        <v>120000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3450</v>
      </c>
      <c r="U543" s="2" t="n">
        <v>0</v>
      </c>
      <c r="V543" s="2" t="n">
        <v>0</v>
      </c>
      <c r="W543" s="2" t="n">
        <v>0</v>
      </c>
      <c r="X543" s="2" t="n">
        <v>1</v>
      </c>
      <c r="Y543" s="2" t="s">
        <v>1459</v>
      </c>
      <c r="Z543" s="2"/>
      <c r="AA543" s="2"/>
    </row>
    <row r="544" customFormat="false" ht="15" hidden="false" customHeight="false" outlineLevel="0" collapsed="false">
      <c r="A544" s="2" t="s">
        <v>36</v>
      </c>
      <c r="B544" s="2" t="s">
        <v>115</v>
      </c>
      <c r="C544" s="2" t="s">
        <v>1460</v>
      </c>
      <c r="D544" s="2" t="s">
        <v>1461</v>
      </c>
      <c r="E544" s="2" t="n">
        <v>35</v>
      </c>
      <c r="F544" s="2" t="n">
        <v>0</v>
      </c>
      <c r="G544" s="2" t="n">
        <v>0</v>
      </c>
      <c r="H544" s="2" t="n">
        <v>0</v>
      </c>
      <c r="I544" s="2" t="n">
        <v>160000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4600</v>
      </c>
      <c r="U544" s="2" t="n">
        <v>0</v>
      </c>
      <c r="V544" s="2" t="n">
        <v>0</v>
      </c>
      <c r="W544" s="2" t="n">
        <v>0</v>
      </c>
      <c r="X544" s="2" t="n">
        <v>1</v>
      </c>
      <c r="Y544" s="2" t="s">
        <v>1462</v>
      </c>
      <c r="Z544" s="2"/>
      <c r="AA544" s="2"/>
    </row>
    <row r="545" customFormat="false" ht="15" hidden="false" customHeight="false" outlineLevel="0" collapsed="false">
      <c r="A545" s="2" t="s">
        <v>36</v>
      </c>
      <c r="B545" s="2" t="s">
        <v>115</v>
      </c>
      <c r="C545" s="2" t="s">
        <v>1463</v>
      </c>
      <c r="D545" s="2" t="s">
        <v>1464</v>
      </c>
      <c r="E545" s="2" t="n">
        <v>35</v>
      </c>
      <c r="F545" s="2" t="n">
        <v>0</v>
      </c>
      <c r="G545" s="2" t="n">
        <v>0</v>
      </c>
      <c r="H545" s="2" t="n">
        <v>0</v>
      </c>
      <c r="I545" s="2" t="n">
        <v>200000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5750</v>
      </c>
      <c r="U545" s="2" t="n">
        <v>0</v>
      </c>
      <c r="V545" s="2" t="n">
        <v>0</v>
      </c>
      <c r="W545" s="2" t="n">
        <v>0</v>
      </c>
      <c r="X545" s="2" t="n">
        <v>1</v>
      </c>
      <c r="Y545" s="2" t="s">
        <v>1465</v>
      </c>
      <c r="Z545" s="2"/>
      <c r="AA545" s="2"/>
    </row>
    <row r="546" customFormat="false" ht="15" hidden="false" customHeight="false" outlineLevel="0" collapsed="false">
      <c r="A546" s="2" t="s">
        <v>36</v>
      </c>
      <c r="B546" s="2" t="s">
        <v>115</v>
      </c>
      <c r="C546" s="2" t="s">
        <v>1466</v>
      </c>
      <c r="D546" s="2" t="s">
        <v>1467</v>
      </c>
      <c r="E546" s="2" t="n">
        <v>35</v>
      </c>
      <c r="F546" s="2" t="n">
        <v>0</v>
      </c>
      <c r="G546" s="2" t="n">
        <v>0</v>
      </c>
      <c r="H546" s="2" t="n">
        <v>0</v>
      </c>
      <c r="I546" s="2" t="n">
        <v>240000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6900</v>
      </c>
      <c r="U546" s="2" t="n">
        <v>0</v>
      </c>
      <c r="V546" s="2" t="n">
        <v>0</v>
      </c>
      <c r="W546" s="2" t="n">
        <v>0</v>
      </c>
      <c r="X546" s="2" t="n">
        <v>1</v>
      </c>
      <c r="Y546" s="2" t="s">
        <v>1468</v>
      </c>
      <c r="Z546" s="2"/>
      <c r="AA546" s="2"/>
    </row>
    <row r="547" customFormat="false" ht="15" hidden="false" customHeight="false" outlineLevel="0" collapsed="false">
      <c r="A547" s="2" t="s">
        <v>36</v>
      </c>
      <c r="B547" s="2" t="s">
        <v>115</v>
      </c>
      <c r="C547" s="2" t="s">
        <v>1469</v>
      </c>
      <c r="D547" s="2" t="s">
        <v>1470</v>
      </c>
      <c r="E547" s="2" t="n">
        <v>35</v>
      </c>
      <c r="F547" s="2" t="n">
        <v>0</v>
      </c>
      <c r="G547" s="2" t="n">
        <v>0</v>
      </c>
      <c r="H547" s="2" t="n">
        <v>0</v>
      </c>
      <c r="I547" s="2" t="n">
        <v>500000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6000</v>
      </c>
      <c r="U547" s="2" t="n">
        <v>6</v>
      </c>
      <c r="V547" s="2" t="n">
        <v>0</v>
      </c>
      <c r="W547" s="2" t="n">
        <v>2</v>
      </c>
      <c r="X547" s="2" t="n">
        <v>1</v>
      </c>
      <c r="Y547" s="2" t="s">
        <v>1471</v>
      </c>
      <c r="Z547" s="2"/>
      <c r="AA547" s="2"/>
    </row>
    <row r="548" customFormat="false" ht="15" hidden="false" customHeight="false" outlineLevel="0" collapsed="false">
      <c r="A548" s="2" t="s">
        <v>37</v>
      </c>
      <c r="B548" s="2" t="s">
        <v>115</v>
      </c>
      <c r="C548" s="2" t="s">
        <v>1472</v>
      </c>
      <c r="D548" s="2" t="s">
        <v>1432</v>
      </c>
      <c r="E548" s="2" t="n">
        <v>35</v>
      </c>
      <c r="F548" s="2" t="n">
        <v>0</v>
      </c>
      <c r="G548" s="2" t="n">
        <v>0</v>
      </c>
      <c r="H548" s="2" t="n">
        <v>0</v>
      </c>
      <c r="I548" s="2" t="n">
        <v>40000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1150</v>
      </c>
      <c r="U548" s="2" t="n">
        <v>0</v>
      </c>
      <c r="V548" s="2" t="n">
        <v>0</v>
      </c>
      <c r="W548" s="2" t="n">
        <v>0</v>
      </c>
      <c r="X548" s="2" t="n">
        <v>1</v>
      </c>
      <c r="Y548" s="2" t="s">
        <v>1473</v>
      </c>
      <c r="Z548" s="2"/>
      <c r="AA548" s="2"/>
    </row>
    <row r="549" customFormat="false" ht="15" hidden="false" customHeight="false" outlineLevel="0" collapsed="false">
      <c r="A549" s="2" t="s">
        <v>37</v>
      </c>
      <c r="B549" s="2" t="s">
        <v>115</v>
      </c>
      <c r="C549" s="2" t="s">
        <v>1474</v>
      </c>
      <c r="D549" s="2" t="s">
        <v>1475</v>
      </c>
      <c r="E549" s="2" t="n">
        <v>35</v>
      </c>
      <c r="F549" s="2" t="n">
        <v>0</v>
      </c>
      <c r="G549" s="2" t="n">
        <v>0</v>
      </c>
      <c r="H549" s="2" t="n">
        <v>0</v>
      </c>
      <c r="I549" s="2" t="n">
        <v>80000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2300</v>
      </c>
      <c r="U549" s="2" t="n">
        <v>0</v>
      </c>
      <c r="V549" s="2" t="n">
        <v>0</v>
      </c>
      <c r="W549" s="2" t="n">
        <v>0</v>
      </c>
      <c r="X549" s="2" t="n">
        <v>1</v>
      </c>
      <c r="Y549" s="2" t="s">
        <v>1476</v>
      </c>
      <c r="Z549" s="2"/>
      <c r="AA549" s="2"/>
    </row>
    <row r="550" customFormat="false" ht="15" hidden="false" customHeight="false" outlineLevel="0" collapsed="false">
      <c r="A550" s="2" t="s">
        <v>37</v>
      </c>
      <c r="B550" s="2" t="s">
        <v>115</v>
      </c>
      <c r="C550" s="2" t="s">
        <v>1477</v>
      </c>
      <c r="D550" s="2" t="s">
        <v>1478</v>
      </c>
      <c r="E550" s="2" t="n">
        <v>35</v>
      </c>
      <c r="F550" s="2" t="n">
        <v>0</v>
      </c>
      <c r="G550" s="2" t="n">
        <v>0</v>
      </c>
      <c r="H550" s="2" t="n">
        <v>0</v>
      </c>
      <c r="I550" s="2" t="n">
        <v>120000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3450</v>
      </c>
      <c r="U550" s="2" t="n">
        <v>0</v>
      </c>
      <c r="V550" s="2" t="n">
        <v>0</v>
      </c>
      <c r="W550" s="2" t="n">
        <v>0</v>
      </c>
      <c r="X550" s="2" t="n">
        <v>1</v>
      </c>
      <c r="Y550" s="2" t="s">
        <v>1479</v>
      </c>
      <c r="Z550" s="2"/>
      <c r="AA550" s="2"/>
    </row>
    <row r="551" customFormat="false" ht="15" hidden="false" customHeight="false" outlineLevel="0" collapsed="false">
      <c r="A551" s="2" t="s">
        <v>37</v>
      </c>
      <c r="B551" s="2" t="s">
        <v>115</v>
      </c>
      <c r="C551" s="2" t="s">
        <v>1480</v>
      </c>
      <c r="D551" s="2" t="s">
        <v>1481</v>
      </c>
      <c r="E551" s="2" t="n">
        <v>35</v>
      </c>
      <c r="F551" s="2" t="n">
        <v>0</v>
      </c>
      <c r="G551" s="2" t="n">
        <v>0</v>
      </c>
      <c r="H551" s="2" t="n">
        <v>0</v>
      </c>
      <c r="I551" s="2" t="n">
        <v>160000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4600</v>
      </c>
      <c r="U551" s="2" t="n">
        <v>0</v>
      </c>
      <c r="V551" s="2" t="n">
        <v>0</v>
      </c>
      <c r="W551" s="2" t="n">
        <v>0</v>
      </c>
      <c r="X551" s="2" t="n">
        <v>1</v>
      </c>
      <c r="Y551" s="2" t="s">
        <v>1482</v>
      </c>
      <c r="Z551" s="2"/>
      <c r="AA551" s="2"/>
    </row>
    <row r="552" customFormat="false" ht="15" hidden="false" customHeight="false" outlineLevel="0" collapsed="false">
      <c r="A552" s="2" t="s">
        <v>37</v>
      </c>
      <c r="B552" s="2" t="s">
        <v>115</v>
      </c>
      <c r="C552" s="2" t="s">
        <v>1483</v>
      </c>
      <c r="D552" s="2" t="s">
        <v>1484</v>
      </c>
      <c r="E552" s="2" t="n">
        <v>35</v>
      </c>
      <c r="F552" s="2" t="n">
        <v>0</v>
      </c>
      <c r="G552" s="2" t="n">
        <v>0</v>
      </c>
      <c r="H552" s="2" t="n">
        <v>0</v>
      </c>
      <c r="I552" s="2" t="n">
        <v>200000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5750</v>
      </c>
      <c r="U552" s="2" t="n">
        <v>0</v>
      </c>
      <c r="V552" s="2" t="n">
        <v>0</v>
      </c>
      <c r="W552" s="2" t="n">
        <v>0</v>
      </c>
      <c r="X552" s="2" t="n">
        <v>1</v>
      </c>
      <c r="Y552" s="2" t="s">
        <v>1485</v>
      </c>
      <c r="Z552" s="2"/>
      <c r="AA552" s="2"/>
    </row>
    <row r="553" customFormat="false" ht="15" hidden="false" customHeight="false" outlineLevel="0" collapsed="false">
      <c r="A553" s="2" t="s">
        <v>37</v>
      </c>
      <c r="B553" s="2" t="s">
        <v>115</v>
      </c>
      <c r="C553" s="2" t="s">
        <v>1486</v>
      </c>
      <c r="D553" s="2" t="s">
        <v>1487</v>
      </c>
      <c r="E553" s="2" t="n">
        <v>35</v>
      </c>
      <c r="F553" s="2" t="n">
        <v>0</v>
      </c>
      <c r="G553" s="2" t="n">
        <v>0</v>
      </c>
      <c r="H553" s="2" t="n">
        <v>0</v>
      </c>
      <c r="I553" s="2" t="n">
        <v>240000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6900</v>
      </c>
      <c r="U553" s="2" t="n">
        <v>0</v>
      </c>
      <c r="V553" s="2" t="n">
        <v>0</v>
      </c>
      <c r="W553" s="2" t="n">
        <v>0</v>
      </c>
      <c r="X553" s="2" t="n">
        <v>1</v>
      </c>
      <c r="Y553" s="2" t="s">
        <v>1488</v>
      </c>
      <c r="Z553" s="2"/>
      <c r="AA553" s="2"/>
    </row>
    <row r="554" customFormat="false" ht="15" hidden="false" customHeight="false" outlineLevel="0" collapsed="false">
      <c r="A554" s="2" t="s">
        <v>37</v>
      </c>
      <c r="B554" s="2" t="s">
        <v>115</v>
      </c>
      <c r="C554" s="2" t="s">
        <v>1489</v>
      </c>
      <c r="D554" s="2" t="s">
        <v>1490</v>
      </c>
      <c r="E554" s="2" t="n">
        <v>35</v>
      </c>
      <c r="F554" s="2" t="n">
        <v>0</v>
      </c>
      <c r="G554" s="2" t="n">
        <v>0</v>
      </c>
      <c r="H554" s="2" t="n">
        <v>0</v>
      </c>
      <c r="I554" s="2" t="n">
        <v>1000000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8000</v>
      </c>
      <c r="U554" s="2" t="n">
        <v>8</v>
      </c>
      <c r="V554" s="2" t="n">
        <v>0</v>
      </c>
      <c r="W554" s="2" t="n">
        <v>0</v>
      </c>
      <c r="X554" s="2" t="n">
        <v>1</v>
      </c>
      <c r="Y554" s="2" t="s">
        <v>1491</v>
      </c>
      <c r="Z554" s="2"/>
      <c r="AA554" s="2"/>
    </row>
    <row r="555" customFormat="false" ht="15" hidden="false" customHeight="false" outlineLevel="0" collapsed="false">
      <c r="A555" s="2" t="s">
        <v>38</v>
      </c>
      <c r="B555" s="2" t="s">
        <v>115</v>
      </c>
      <c r="C555" s="2" t="s">
        <v>1492</v>
      </c>
      <c r="D555" s="2" t="s">
        <v>1432</v>
      </c>
      <c r="E555" s="2" t="n">
        <v>35</v>
      </c>
      <c r="F555" s="2" t="n">
        <v>0</v>
      </c>
      <c r="G555" s="2" t="n">
        <v>0</v>
      </c>
      <c r="H555" s="2" t="n">
        <v>0</v>
      </c>
      <c r="I555" s="2" t="n">
        <v>40000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1150</v>
      </c>
      <c r="U555" s="2" t="n">
        <v>0</v>
      </c>
      <c r="V555" s="2" t="n">
        <v>0</v>
      </c>
      <c r="W555" s="2" t="n">
        <v>0</v>
      </c>
      <c r="X555" s="2" t="n">
        <v>1</v>
      </c>
      <c r="Y555" s="2" t="s">
        <v>1493</v>
      </c>
      <c r="Z555" s="2"/>
      <c r="AA555" s="2"/>
    </row>
    <row r="556" customFormat="false" ht="15" hidden="false" customHeight="false" outlineLevel="0" collapsed="false">
      <c r="A556" s="2" t="s">
        <v>38</v>
      </c>
      <c r="B556" s="2" t="s">
        <v>115</v>
      </c>
      <c r="C556" s="2" t="s">
        <v>1494</v>
      </c>
      <c r="D556" s="2" t="s">
        <v>1495</v>
      </c>
      <c r="E556" s="2" t="n">
        <v>35</v>
      </c>
      <c r="F556" s="2" t="n">
        <v>0</v>
      </c>
      <c r="G556" s="2" t="n">
        <v>0</v>
      </c>
      <c r="H556" s="2" t="n">
        <v>0</v>
      </c>
      <c r="I556" s="2" t="n">
        <v>80000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2300</v>
      </c>
      <c r="U556" s="2" t="n">
        <v>0</v>
      </c>
      <c r="V556" s="2" t="n">
        <v>0</v>
      </c>
      <c r="W556" s="2" t="n">
        <v>0</v>
      </c>
      <c r="X556" s="2" t="n">
        <v>1</v>
      </c>
      <c r="Y556" s="2" t="s">
        <v>1496</v>
      </c>
      <c r="Z556" s="2"/>
      <c r="AA556" s="2"/>
    </row>
    <row r="557" customFormat="false" ht="15" hidden="false" customHeight="false" outlineLevel="0" collapsed="false">
      <c r="A557" s="2" t="s">
        <v>38</v>
      </c>
      <c r="B557" s="2" t="s">
        <v>115</v>
      </c>
      <c r="C557" s="2" t="s">
        <v>1497</v>
      </c>
      <c r="D557" s="2" t="s">
        <v>1498</v>
      </c>
      <c r="E557" s="2" t="n">
        <v>35</v>
      </c>
      <c r="F557" s="2" t="n">
        <v>0</v>
      </c>
      <c r="G557" s="2" t="n">
        <v>0</v>
      </c>
      <c r="H557" s="2" t="n">
        <v>0</v>
      </c>
      <c r="I557" s="2" t="n">
        <v>120000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3450</v>
      </c>
      <c r="U557" s="2" t="n">
        <v>0</v>
      </c>
      <c r="V557" s="2" t="n">
        <v>0</v>
      </c>
      <c r="W557" s="2" t="n">
        <v>0</v>
      </c>
      <c r="X557" s="2" t="n">
        <v>1</v>
      </c>
      <c r="Y557" s="2" t="s">
        <v>1499</v>
      </c>
      <c r="Z557" s="2"/>
      <c r="AA557" s="2"/>
    </row>
    <row r="558" customFormat="false" ht="15" hidden="false" customHeight="false" outlineLevel="0" collapsed="false">
      <c r="A558" s="2" t="s">
        <v>38</v>
      </c>
      <c r="B558" s="2" t="s">
        <v>115</v>
      </c>
      <c r="C558" s="2" t="s">
        <v>1500</v>
      </c>
      <c r="D558" s="2" t="s">
        <v>1501</v>
      </c>
      <c r="E558" s="2" t="n">
        <v>35</v>
      </c>
      <c r="F558" s="2" t="n">
        <v>0</v>
      </c>
      <c r="G558" s="2" t="n">
        <v>0</v>
      </c>
      <c r="H558" s="2" t="n">
        <v>0</v>
      </c>
      <c r="I558" s="2" t="n">
        <v>160000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4600</v>
      </c>
      <c r="U558" s="2" t="n">
        <v>0</v>
      </c>
      <c r="V558" s="2" t="n">
        <v>0</v>
      </c>
      <c r="W558" s="2" t="n">
        <v>0</v>
      </c>
      <c r="X558" s="2" t="n">
        <v>1</v>
      </c>
      <c r="Y558" s="2" t="s">
        <v>1502</v>
      </c>
      <c r="Z558" s="2"/>
      <c r="AA558" s="2"/>
    </row>
    <row r="559" customFormat="false" ht="15" hidden="false" customHeight="false" outlineLevel="0" collapsed="false">
      <c r="A559" s="2" t="s">
        <v>38</v>
      </c>
      <c r="B559" s="2" t="s">
        <v>115</v>
      </c>
      <c r="C559" s="2" t="s">
        <v>1503</v>
      </c>
      <c r="D559" s="2" t="s">
        <v>1504</v>
      </c>
      <c r="E559" s="2" t="n">
        <v>35</v>
      </c>
      <c r="F559" s="2" t="n">
        <v>0</v>
      </c>
      <c r="G559" s="2" t="n">
        <v>0</v>
      </c>
      <c r="H559" s="2" t="n">
        <v>0</v>
      </c>
      <c r="I559" s="2" t="n">
        <v>200000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5750</v>
      </c>
      <c r="U559" s="2" t="n">
        <v>0</v>
      </c>
      <c r="V559" s="2" t="n">
        <v>0</v>
      </c>
      <c r="W559" s="2" t="n">
        <v>0</v>
      </c>
      <c r="X559" s="2" t="n">
        <v>1</v>
      </c>
      <c r="Y559" s="2" t="s">
        <v>1505</v>
      </c>
      <c r="Z559" s="2"/>
      <c r="AA559" s="2"/>
    </row>
    <row r="560" customFormat="false" ht="15" hidden="false" customHeight="false" outlineLevel="0" collapsed="false">
      <c r="A560" s="2" t="s">
        <v>38</v>
      </c>
      <c r="B560" s="2" t="s">
        <v>115</v>
      </c>
      <c r="C560" s="2" t="s">
        <v>1506</v>
      </c>
      <c r="D560" s="2" t="s">
        <v>1507</v>
      </c>
      <c r="E560" s="2" t="n">
        <v>35</v>
      </c>
      <c r="F560" s="2" t="n">
        <v>0</v>
      </c>
      <c r="G560" s="2" t="n">
        <v>0</v>
      </c>
      <c r="H560" s="2" t="n">
        <v>0</v>
      </c>
      <c r="I560" s="2" t="n">
        <v>240000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6900</v>
      </c>
      <c r="U560" s="2" t="n">
        <v>0</v>
      </c>
      <c r="V560" s="2" t="n">
        <v>0</v>
      </c>
      <c r="W560" s="2" t="n">
        <v>0</v>
      </c>
      <c r="X560" s="2" t="n">
        <v>1</v>
      </c>
      <c r="Y560" s="2" t="s">
        <v>1508</v>
      </c>
      <c r="Z560" s="2"/>
      <c r="AA560" s="2"/>
    </row>
    <row r="561" customFormat="false" ht="15" hidden="false" customHeight="false" outlineLevel="0" collapsed="false">
      <c r="A561" s="2" t="s">
        <v>38</v>
      </c>
      <c r="B561" s="2" t="s">
        <v>115</v>
      </c>
      <c r="C561" s="2" t="s">
        <v>1509</v>
      </c>
      <c r="D561" s="2" t="s">
        <v>1510</v>
      </c>
      <c r="E561" s="2" t="n">
        <v>35</v>
      </c>
      <c r="F561" s="2" t="n">
        <v>0</v>
      </c>
      <c r="G561" s="2" t="n">
        <v>0</v>
      </c>
      <c r="H561" s="2" t="n">
        <v>0</v>
      </c>
      <c r="I561" s="2" t="n">
        <v>400000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8000</v>
      </c>
      <c r="U561" s="2" t="n">
        <v>8</v>
      </c>
      <c r="V561" s="2" t="n">
        <v>0</v>
      </c>
      <c r="W561" s="2" t="n">
        <v>0</v>
      </c>
      <c r="X561" s="2" t="n">
        <v>1</v>
      </c>
      <c r="Y561" s="2" t="s">
        <v>1511</v>
      </c>
      <c r="Z561" s="2"/>
      <c r="AA561" s="2"/>
    </row>
    <row r="562" customFormat="false" ht="15" hidden="false" customHeight="false" outlineLevel="0" collapsed="false">
      <c r="A562" s="2" t="s">
        <v>39</v>
      </c>
      <c r="B562" s="2" t="s">
        <v>116</v>
      </c>
      <c r="C562" s="2" t="s">
        <v>1512</v>
      </c>
      <c r="D562" s="2" t="s">
        <v>1513</v>
      </c>
      <c r="E562" s="2" t="n">
        <v>364</v>
      </c>
      <c r="F562" s="2" t="n">
        <v>100</v>
      </c>
      <c r="G562" s="2" t="n">
        <v>0</v>
      </c>
      <c r="H562" s="2" t="n">
        <v>0</v>
      </c>
      <c r="I562" s="2" t="n">
        <v>350000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5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3570</v>
      </c>
      <c r="U562" s="2" t="n">
        <v>0</v>
      </c>
      <c r="V562" s="2" t="n">
        <v>0</v>
      </c>
      <c r="W562" s="2" t="n">
        <v>0</v>
      </c>
      <c r="X562" s="2" t="n">
        <v>0</v>
      </c>
      <c r="Y562" s="2"/>
      <c r="Z562" s="2"/>
      <c r="AA562" s="2"/>
    </row>
    <row r="563" customFormat="false" ht="15" hidden="false" customHeight="false" outlineLevel="0" collapsed="false">
      <c r="A563" s="2" t="s">
        <v>39</v>
      </c>
      <c r="B563" s="2" t="s">
        <v>116</v>
      </c>
      <c r="C563" s="2" t="s">
        <v>1514</v>
      </c>
      <c r="D563" s="2" t="s">
        <v>1515</v>
      </c>
      <c r="E563" s="2" t="n">
        <v>364</v>
      </c>
      <c r="F563" s="2" t="n">
        <v>100</v>
      </c>
      <c r="G563" s="2" t="n">
        <v>0</v>
      </c>
      <c r="H563" s="2" t="n">
        <v>0</v>
      </c>
      <c r="I563" s="2" t="n">
        <v>350000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5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3570</v>
      </c>
      <c r="U563" s="2" t="n">
        <v>0</v>
      </c>
      <c r="V563" s="2" t="n">
        <v>0</v>
      </c>
      <c r="W563" s="2" t="n">
        <v>0</v>
      </c>
      <c r="X563" s="2" t="n">
        <v>0</v>
      </c>
      <c r="Y563" s="2"/>
      <c r="Z563" s="2"/>
      <c r="AA563" s="2"/>
    </row>
    <row r="564" customFormat="false" ht="15" hidden="false" customHeight="false" outlineLevel="0" collapsed="false">
      <c r="A564" s="2" t="s">
        <v>39</v>
      </c>
      <c r="B564" s="2" t="s">
        <v>116</v>
      </c>
      <c r="C564" s="2" t="s">
        <v>1516</v>
      </c>
      <c r="D564" s="2" t="s">
        <v>1517</v>
      </c>
      <c r="E564" s="2" t="n">
        <v>364</v>
      </c>
      <c r="F564" s="2" t="n">
        <v>200</v>
      </c>
      <c r="G564" s="2" t="n">
        <v>10</v>
      </c>
      <c r="H564" s="2" t="n">
        <v>10</v>
      </c>
      <c r="I564" s="2" t="n">
        <v>500000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5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/>
      <c r="Z564" s="2"/>
      <c r="AA564" s="2"/>
    </row>
    <row r="565" customFormat="false" ht="15" hidden="false" customHeight="false" outlineLevel="0" collapsed="false">
      <c r="A565" s="2" t="s">
        <v>39</v>
      </c>
      <c r="B565" s="2" t="s">
        <v>116</v>
      </c>
      <c r="C565" s="2" t="s">
        <v>1518</v>
      </c>
      <c r="D565" s="2" t="s">
        <v>1519</v>
      </c>
      <c r="E565" s="2" t="n">
        <v>364</v>
      </c>
      <c r="F565" s="2" t="n">
        <v>0</v>
      </c>
      <c r="G565" s="2" t="n">
        <v>0</v>
      </c>
      <c r="H565" s="2" t="n">
        <v>0</v>
      </c>
      <c r="I565" s="2" t="n">
        <v>250000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1</v>
      </c>
      <c r="S565" s="2" t="n">
        <v>0</v>
      </c>
      <c r="T565" s="2" t="n">
        <v>0</v>
      </c>
      <c r="U565" s="2" t="n">
        <v>10</v>
      </c>
      <c r="V565" s="2" t="n">
        <v>0</v>
      </c>
      <c r="W565" s="2" t="n">
        <v>0</v>
      </c>
      <c r="X565" s="2" t="n">
        <v>0</v>
      </c>
      <c r="Y565" s="2"/>
      <c r="Z565" s="2"/>
      <c r="AA565" s="2"/>
    </row>
    <row r="566" customFormat="false" ht="15" hidden="false" customHeight="false" outlineLevel="0" collapsed="false">
      <c r="A566" s="2" t="s">
        <v>39</v>
      </c>
      <c r="B566" s="2" t="s">
        <v>116</v>
      </c>
      <c r="C566" s="2" t="s">
        <v>1520</v>
      </c>
      <c r="D566" s="2" t="s">
        <v>1521</v>
      </c>
      <c r="E566" s="2" t="n">
        <v>364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6520</v>
      </c>
      <c r="U566" s="2" t="n">
        <v>0</v>
      </c>
      <c r="V566" s="2" t="n">
        <v>0</v>
      </c>
      <c r="W566" s="2" t="n">
        <v>1</v>
      </c>
      <c r="X566" s="2" t="n">
        <v>1</v>
      </c>
      <c r="Y566" s="2" t="s">
        <v>1522</v>
      </c>
      <c r="Z566" s="2"/>
      <c r="AA566" s="2"/>
    </row>
    <row r="567" customFormat="false" ht="15" hidden="false" customHeight="false" outlineLevel="0" collapsed="false">
      <c r="A567" s="2" t="s">
        <v>39</v>
      </c>
      <c r="B567" s="2" t="s">
        <v>116</v>
      </c>
      <c r="C567" s="2" t="s">
        <v>1523</v>
      </c>
      <c r="D567" s="2" t="s">
        <v>1524</v>
      </c>
      <c r="E567" s="2" t="n">
        <v>364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8</v>
      </c>
      <c r="X567" s="2" t="n">
        <v>1</v>
      </c>
      <c r="Y567" s="2" t="s">
        <v>1525</v>
      </c>
      <c r="Z567" s="2"/>
      <c r="AA567" s="2"/>
    </row>
    <row r="568" customFormat="false" ht="15" hidden="false" customHeight="false" outlineLevel="0" collapsed="false">
      <c r="A568" s="2" t="s">
        <v>39</v>
      </c>
      <c r="B568" s="2" t="s">
        <v>116</v>
      </c>
      <c r="C568" s="2" t="s">
        <v>1526</v>
      </c>
      <c r="D568" s="2" t="s">
        <v>1527</v>
      </c>
      <c r="E568" s="2" t="n">
        <v>364</v>
      </c>
      <c r="F568" s="2" t="n">
        <v>0</v>
      </c>
      <c r="G568" s="2" t="n">
        <v>0</v>
      </c>
      <c r="H568" s="2" t="n">
        <v>0</v>
      </c>
      <c r="I568" s="2" t="n">
        <v>500000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25250</v>
      </c>
      <c r="U568" s="2" t="n">
        <v>0</v>
      </c>
      <c r="V568" s="2" t="n">
        <v>0</v>
      </c>
      <c r="W568" s="2" t="n">
        <v>0</v>
      </c>
      <c r="X568" s="2" t="n">
        <v>1</v>
      </c>
      <c r="Y568" s="2" t="s">
        <v>1528</v>
      </c>
      <c r="Z568" s="2"/>
      <c r="AA568" s="2"/>
    </row>
    <row r="569" customFormat="false" ht="15" hidden="false" customHeight="false" outlineLevel="0" collapsed="false">
      <c r="A569" s="2" t="s">
        <v>40</v>
      </c>
      <c r="B569" s="2" t="s">
        <v>117</v>
      </c>
      <c r="C569" s="2" t="s">
        <v>1529</v>
      </c>
      <c r="D569" s="2" t="s">
        <v>1530</v>
      </c>
      <c r="E569" s="2" t="n">
        <v>35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3</v>
      </c>
      <c r="V569" s="2" t="n">
        <v>0</v>
      </c>
      <c r="W569" s="2" t="n">
        <v>0</v>
      </c>
      <c r="X569" s="2" t="n">
        <v>1</v>
      </c>
      <c r="Y569" s="2" t="s">
        <v>1531</v>
      </c>
      <c r="Z569" s="2"/>
      <c r="AA569" s="2"/>
    </row>
    <row r="570" customFormat="false" ht="15" hidden="false" customHeight="false" outlineLevel="0" collapsed="false">
      <c r="A570" s="2" t="s">
        <v>40</v>
      </c>
      <c r="B570" s="2" t="s">
        <v>117</v>
      </c>
      <c r="C570" s="2" t="s">
        <v>1532</v>
      </c>
      <c r="D570" s="2" t="s">
        <v>1533</v>
      </c>
      <c r="E570" s="2" t="n">
        <v>35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5</v>
      </c>
      <c r="V570" s="2" t="n">
        <v>0</v>
      </c>
      <c r="W570" s="2" t="n">
        <v>0</v>
      </c>
      <c r="X570" s="2" t="n">
        <v>1</v>
      </c>
      <c r="Y570" s="2" t="s">
        <v>1534</v>
      </c>
      <c r="Z570" s="2"/>
      <c r="AA570" s="2"/>
    </row>
    <row r="571" customFormat="false" ht="15" hidden="false" customHeight="false" outlineLevel="0" collapsed="false">
      <c r="A571" s="2" t="s">
        <v>40</v>
      </c>
      <c r="B571" s="2" t="s">
        <v>117</v>
      </c>
      <c r="C571" s="2" t="s">
        <v>1535</v>
      </c>
      <c r="D571" s="2" t="s">
        <v>1536</v>
      </c>
      <c r="E571" s="2" t="n">
        <v>35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7</v>
      </c>
      <c r="V571" s="2" t="n">
        <v>0</v>
      </c>
      <c r="W571" s="2" t="n">
        <v>0</v>
      </c>
      <c r="X571" s="2" t="n">
        <v>1</v>
      </c>
      <c r="Y571" s="2" t="s">
        <v>1537</v>
      </c>
      <c r="Z571" s="2"/>
      <c r="AA571" s="2"/>
    </row>
    <row r="572" customFormat="false" ht="15" hidden="false" customHeight="false" outlineLevel="0" collapsed="false">
      <c r="A572" s="2" t="s">
        <v>40</v>
      </c>
      <c r="B572" s="2" t="s">
        <v>117</v>
      </c>
      <c r="C572" s="2" t="s">
        <v>1538</v>
      </c>
      <c r="D572" s="2" t="s">
        <v>1539</v>
      </c>
      <c r="E572" s="2" t="n">
        <v>35</v>
      </c>
      <c r="F572" s="2" t="n">
        <v>0</v>
      </c>
      <c r="G572" s="2" t="n">
        <v>0</v>
      </c>
      <c r="H572" s="2" t="n">
        <v>0</v>
      </c>
      <c r="I572" s="2" t="n">
        <v>50000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9</v>
      </c>
      <c r="V572" s="2" t="n">
        <v>0</v>
      </c>
      <c r="W572" s="2" t="n">
        <v>0</v>
      </c>
      <c r="X572" s="2" t="n">
        <v>1</v>
      </c>
      <c r="Y572" s="2" t="s">
        <v>1540</v>
      </c>
      <c r="Z572" s="2"/>
      <c r="AA572" s="2"/>
    </row>
    <row r="573" customFormat="false" ht="15" hidden="false" customHeight="false" outlineLevel="0" collapsed="false">
      <c r="A573" s="2" t="s">
        <v>40</v>
      </c>
      <c r="B573" s="2" t="s">
        <v>117</v>
      </c>
      <c r="C573" s="2" t="s">
        <v>1541</v>
      </c>
      <c r="D573" s="2" t="s">
        <v>1542</v>
      </c>
      <c r="E573" s="2" t="n">
        <v>35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12</v>
      </c>
      <c r="V573" s="2" t="n">
        <v>0</v>
      </c>
      <c r="W573" s="2" t="n">
        <v>0</v>
      </c>
      <c r="X573" s="2" t="n">
        <v>1</v>
      </c>
      <c r="Y573" s="2" t="s">
        <v>1543</v>
      </c>
      <c r="Z573" s="2"/>
      <c r="AA573" s="2"/>
    </row>
    <row r="574" customFormat="false" ht="15" hidden="false" customHeight="false" outlineLevel="0" collapsed="false">
      <c r="A574" s="2" t="s">
        <v>40</v>
      </c>
      <c r="B574" s="2" t="s">
        <v>118</v>
      </c>
      <c r="C574" s="2" t="s">
        <v>1544</v>
      </c>
      <c r="D574" s="2" t="s">
        <v>1545</v>
      </c>
      <c r="E574" s="2" t="n">
        <v>35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2000</v>
      </c>
      <c r="U574" s="2" t="n">
        <v>3</v>
      </c>
      <c r="V574" s="2" t="n">
        <v>0</v>
      </c>
      <c r="W574" s="2" t="n">
        <v>0</v>
      </c>
      <c r="X574" s="2" t="n">
        <v>1</v>
      </c>
      <c r="Y574" s="2" t="s">
        <v>1546</v>
      </c>
      <c r="Z574" s="2"/>
      <c r="AA574" s="2"/>
    </row>
    <row r="575" customFormat="false" ht="15" hidden="false" customHeight="false" outlineLevel="0" collapsed="false">
      <c r="A575" s="2" t="s">
        <v>40</v>
      </c>
      <c r="B575" s="2" t="s">
        <v>118</v>
      </c>
      <c r="C575" s="2" t="s">
        <v>1547</v>
      </c>
      <c r="D575" s="2" t="s">
        <v>1548</v>
      </c>
      <c r="E575" s="2" t="n">
        <v>35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30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14000</v>
      </c>
      <c r="U575" s="2" t="n">
        <v>0</v>
      </c>
      <c r="V575" s="2" t="n">
        <v>0</v>
      </c>
      <c r="W575" s="2" t="n">
        <v>0</v>
      </c>
      <c r="X575" s="2" t="n">
        <v>0</v>
      </c>
      <c r="Y575" s="2"/>
      <c r="Z575" s="2"/>
      <c r="AA575" s="2"/>
    </row>
    <row r="576" customFormat="false" ht="15" hidden="false" customHeight="false" outlineLevel="0" collapsed="false">
      <c r="A576" s="2" t="s">
        <v>40</v>
      </c>
      <c r="B576" s="2" t="s">
        <v>118</v>
      </c>
      <c r="C576" s="2" t="s">
        <v>1549</v>
      </c>
      <c r="D576" s="2" t="s">
        <v>1550</v>
      </c>
      <c r="E576" s="2" t="n">
        <v>35</v>
      </c>
      <c r="F576" s="2" t="n">
        <v>0</v>
      </c>
      <c r="G576" s="2" t="n">
        <v>0</v>
      </c>
      <c r="H576" s="2" t="n">
        <v>0</v>
      </c>
      <c r="I576" s="2" t="n">
        <v>150000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1</v>
      </c>
      <c r="Y576" s="2" t="s">
        <v>1551</v>
      </c>
      <c r="Z576" s="2"/>
      <c r="AA576" s="2"/>
    </row>
    <row r="577" customFormat="false" ht="15" hidden="false" customHeight="false" outlineLevel="0" collapsed="false">
      <c r="A577" s="2" t="s">
        <v>40</v>
      </c>
      <c r="B577" s="2" t="s">
        <v>118</v>
      </c>
      <c r="C577" s="2" t="s">
        <v>1552</v>
      </c>
      <c r="D577" s="2" t="s">
        <v>1553</v>
      </c>
      <c r="E577" s="2" t="n">
        <v>35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4000</v>
      </c>
      <c r="U577" s="2" t="n">
        <v>4</v>
      </c>
      <c r="V577" s="2" t="n">
        <v>0</v>
      </c>
      <c r="W577" s="2" t="n">
        <v>0</v>
      </c>
      <c r="X577" s="2" t="n">
        <v>1</v>
      </c>
      <c r="Y577" s="2" t="s">
        <v>1554</v>
      </c>
      <c r="Z577" s="2"/>
      <c r="AA577" s="2"/>
    </row>
    <row r="578" customFormat="false" ht="15" hidden="false" customHeight="false" outlineLevel="0" collapsed="false">
      <c r="A578" s="2" t="s">
        <v>40</v>
      </c>
      <c r="B578" s="2" t="s">
        <v>118</v>
      </c>
      <c r="C578" s="2" t="s">
        <v>1555</v>
      </c>
      <c r="D578" s="2" t="s">
        <v>1556</v>
      </c>
      <c r="E578" s="2" t="n">
        <v>35</v>
      </c>
      <c r="F578" s="2" t="n">
        <v>0</v>
      </c>
      <c r="G578" s="2" t="n">
        <v>0</v>
      </c>
      <c r="H578" s="2" t="n">
        <v>0</v>
      </c>
      <c r="I578" s="2" t="n">
        <v>100000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6</v>
      </c>
      <c r="V578" s="2" t="n">
        <v>0</v>
      </c>
      <c r="W578" s="2" t="n">
        <v>0</v>
      </c>
      <c r="X578" s="2" t="n">
        <v>1</v>
      </c>
      <c r="Y578" s="2" t="s">
        <v>1557</v>
      </c>
      <c r="Z578" s="2"/>
      <c r="AA578" s="2"/>
    </row>
    <row r="579" customFormat="false" ht="15" hidden="false" customHeight="false" outlineLevel="0" collapsed="false">
      <c r="A579" s="2" t="s">
        <v>40</v>
      </c>
      <c r="B579" s="2" t="s">
        <v>119</v>
      </c>
      <c r="C579" s="2" t="s">
        <v>1558</v>
      </c>
      <c r="D579" s="2" t="s">
        <v>1559</v>
      </c>
      <c r="E579" s="2" t="n">
        <v>70</v>
      </c>
      <c r="F579" s="2" t="n">
        <v>0</v>
      </c>
      <c r="G579" s="2" t="n">
        <v>0</v>
      </c>
      <c r="H579" s="2" t="n">
        <v>0</v>
      </c>
      <c r="I579" s="2" t="n">
        <v>500000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80000</v>
      </c>
      <c r="U579" s="2" t="n">
        <v>0</v>
      </c>
      <c r="V579" s="2" t="n">
        <v>0</v>
      </c>
      <c r="W579" s="2" t="n">
        <v>0</v>
      </c>
      <c r="X579" s="2" t="n">
        <v>1</v>
      </c>
      <c r="Y579" s="2" t="s">
        <v>1560</v>
      </c>
      <c r="Z579" s="2"/>
      <c r="AA57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6" min="2" style="0" width="14"/>
  </cols>
  <sheetData>
    <row r="1" customFormat="false" ht="15" hidden="false" customHeight="false" outlineLevel="0" collapsed="false">
      <c r="A1" s="1" t="s">
        <v>1561</v>
      </c>
      <c r="B1" s="1" t="s">
        <v>1562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customFormat="false" ht="15" hidden="false" customHeight="false" outlineLevel="0" collapsed="false">
      <c r="A2" s="2" t="s">
        <v>1563</v>
      </c>
      <c r="B2" s="6" t="n">
        <v>100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0.25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 customFormat="false" ht="15" hidden="false" customHeight="false" outlineLevel="0" collapsed="false">
      <c r="A3" s="2" t="s">
        <v>1564</v>
      </c>
      <c r="B3" s="6" t="n">
        <v>100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0.5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 customFormat="false" ht="15" hidden="false" customHeight="false" outlineLevel="0" collapsed="false">
      <c r="A4" s="2" t="s">
        <v>1565</v>
      </c>
      <c r="B4" s="6" t="n">
        <v>400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0.05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 customFormat="false" ht="15" hidden="false" customHeight="false" outlineLevel="0" collapsed="false">
      <c r="A5" s="2" t="s">
        <v>1566</v>
      </c>
      <c r="B5" s="6" t="n">
        <v>400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0.05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 customFormat="false" ht="15" hidden="false" customHeight="false" outlineLevel="0" collapsed="false">
      <c r="A6" s="2" t="s">
        <v>1567</v>
      </c>
      <c r="B6" s="6" t="n">
        <v>400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0.15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 customFormat="false" ht="15" hidden="false" customHeight="false" outlineLevel="0" collapsed="false">
      <c r="A7" s="2" t="s">
        <v>1568</v>
      </c>
      <c r="B7" s="6" t="n">
        <v>200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0.15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 customFormat="false" ht="15" hidden="false" customHeight="false" outlineLevel="0" collapsed="false">
      <c r="A8" s="2" t="s">
        <v>1569</v>
      </c>
      <c r="B8" s="6" t="n">
        <v>400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0.1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 customFormat="false" ht="15" hidden="false" customHeight="false" outlineLevel="0" collapsed="false">
      <c r="A9" s="2" t="s">
        <v>1570</v>
      </c>
      <c r="B9" s="6" t="n">
        <v>500</v>
      </c>
      <c r="C9" s="2" t="n">
        <v>0.3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0.15</v>
      </c>
    </row>
    <row r="10" customFormat="false" ht="15" hidden="false" customHeight="false" outlineLevel="0" collapsed="false">
      <c r="A10" s="2" t="s">
        <v>1571</v>
      </c>
      <c r="B10" s="6" t="n">
        <v>500</v>
      </c>
      <c r="C10" s="2" t="n">
        <v>0.35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 customFormat="false" ht="15" hidden="false" customHeight="false" outlineLevel="0" collapsed="false">
      <c r="A11" s="2" t="s">
        <v>1572</v>
      </c>
      <c r="B11" s="6" t="n">
        <v>1500</v>
      </c>
      <c r="C11" s="2" t="n">
        <v>0.35</v>
      </c>
      <c r="D11" s="2" t="n">
        <v>0.2</v>
      </c>
      <c r="E11" s="2" t="n">
        <v>0.2</v>
      </c>
      <c r="F11" s="2" t="n">
        <v>0.15</v>
      </c>
      <c r="G11" s="2" t="n">
        <v>0.3</v>
      </c>
      <c r="H11" s="2" t="n">
        <v>0.2</v>
      </c>
      <c r="I11" s="2" t="n">
        <v>0.25</v>
      </c>
      <c r="J11" s="2" t="n">
        <v>0.3</v>
      </c>
      <c r="K11" s="2" t="n">
        <v>0</v>
      </c>
      <c r="L11" s="2" t="n">
        <v>0.33</v>
      </c>
      <c r="M11" s="2" t="n">
        <v>0</v>
      </c>
      <c r="N11" s="2" t="n">
        <v>0.26</v>
      </c>
      <c r="O11" s="2" t="n">
        <v>0</v>
      </c>
      <c r="P11" s="2" t="n">
        <v>0.1</v>
      </c>
    </row>
    <row r="12" customFormat="false" ht="15" hidden="false" customHeight="false" outlineLevel="0" collapsed="false">
      <c r="A12" s="2" t="s">
        <v>1573</v>
      </c>
      <c r="B12" s="6" t="n">
        <v>1200</v>
      </c>
      <c r="C12" s="2" t="n">
        <v>0.6</v>
      </c>
      <c r="D12" s="2" t="n">
        <v>0.05</v>
      </c>
      <c r="E12" s="2" t="n">
        <v>0.05</v>
      </c>
      <c r="F12" s="2" t="n">
        <v>0.05</v>
      </c>
      <c r="G12" s="2" t="n">
        <v>0.3</v>
      </c>
      <c r="H12" s="2" t="n">
        <v>0.15</v>
      </c>
      <c r="I12" s="2" t="n">
        <v>0.15</v>
      </c>
      <c r="J12" s="2" t="n">
        <v>0.3</v>
      </c>
      <c r="K12" s="2" t="n">
        <v>0.36</v>
      </c>
      <c r="L12" s="2" t="n">
        <v>0.35</v>
      </c>
      <c r="M12" s="2" t="n">
        <v>0.35</v>
      </c>
      <c r="N12" s="2" t="n">
        <v>0.43</v>
      </c>
      <c r="O12" s="2" t="n">
        <v>0</v>
      </c>
      <c r="P12" s="2" t="n">
        <v>0.55</v>
      </c>
    </row>
    <row r="13" customFormat="false" ht="15" hidden="false" customHeight="false" outlineLevel="0" collapsed="false">
      <c r="A13" s="2" t="s">
        <v>1574</v>
      </c>
      <c r="B13" s="6" t="n">
        <v>1000</v>
      </c>
      <c r="C13" s="2" t="n">
        <v>0.28</v>
      </c>
      <c r="D13" s="2" t="n">
        <v>0.1</v>
      </c>
      <c r="E13" s="2" t="n">
        <v>0.23</v>
      </c>
      <c r="F13" s="2" t="n">
        <v>0.05</v>
      </c>
      <c r="G13" s="2" t="n">
        <v>0.25</v>
      </c>
      <c r="H13" s="2" t="n">
        <v>0.33</v>
      </c>
      <c r="I13" s="2" t="n">
        <v>0.25</v>
      </c>
      <c r="J13" s="2" t="n">
        <v>0.45</v>
      </c>
      <c r="K13" s="2" t="n">
        <v>0.2</v>
      </c>
      <c r="L13" s="2" t="n">
        <v>0.25</v>
      </c>
      <c r="M13" s="2" t="n">
        <v>0.25</v>
      </c>
      <c r="N13" s="2" t="n">
        <v>0.25</v>
      </c>
      <c r="O13" s="2" t="n">
        <v>0</v>
      </c>
      <c r="P13" s="2" t="n">
        <v>0.1</v>
      </c>
    </row>
    <row r="14" customFormat="false" ht="15" hidden="false" customHeight="false" outlineLevel="0" collapsed="false">
      <c r="A14" s="2" t="s">
        <v>1575</v>
      </c>
      <c r="B14" s="6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-0.16</v>
      </c>
      <c r="L14" s="2" t="n">
        <v>0</v>
      </c>
      <c r="M14" s="2" t="n">
        <v>0</v>
      </c>
      <c r="N14" s="2" t="n">
        <v>-0.26</v>
      </c>
      <c r="O14" s="2" t="n">
        <v>0</v>
      </c>
      <c r="P14" s="2" t="n">
        <v>0</v>
      </c>
    </row>
    <row r="15" customFormat="false" ht="15" hidden="false" customHeight="false" outlineLevel="0" collapsed="false">
      <c r="A15" s="2" t="s">
        <v>1576</v>
      </c>
      <c r="B15" s="6" t="n">
        <v>-3000</v>
      </c>
      <c r="C15" s="2" t="n">
        <v>-0.15</v>
      </c>
      <c r="D15" s="2" t="n">
        <v>-0.15</v>
      </c>
      <c r="E15" s="2" t="n">
        <v>-0.15</v>
      </c>
      <c r="F15" s="2" t="n">
        <v>-0.1</v>
      </c>
      <c r="G15" s="2" t="n">
        <v>-0.1</v>
      </c>
      <c r="H15" s="2" t="n">
        <v>0</v>
      </c>
      <c r="I15" s="2" t="n">
        <v>0.05</v>
      </c>
      <c r="J15" s="2" t="n">
        <v>-0.15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 customFormat="false" ht="15" hidden="false" customHeight="false" outlineLevel="0" collapsed="false">
      <c r="A16" s="2" t="s">
        <v>1577</v>
      </c>
      <c r="B16" s="6" t="n">
        <v>0</v>
      </c>
      <c r="C16" s="2" t="n">
        <v>0.02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 customFormat="false" ht="15" hidden="false" customHeight="false" outlineLevel="0" collapsed="false">
      <c r="A17" s="2" t="s">
        <v>1578</v>
      </c>
      <c r="B17" s="6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4.05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 customFormat="false" ht="15" hidden="false" customHeight="false" outlineLevel="0" collapsed="false">
      <c r="A18" s="2" t="s">
        <v>1579</v>
      </c>
      <c r="B18" s="6" t="n">
        <v>200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0.15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 customFormat="false" ht="15" hidden="false" customHeight="false" outlineLevel="0" collapsed="false">
      <c r="A19" s="2" t="s">
        <v>1580</v>
      </c>
      <c r="B19" s="6" t="n">
        <v>300</v>
      </c>
      <c r="C19" s="2" t="n">
        <v>0.1</v>
      </c>
      <c r="D19" s="2" t="n">
        <v>0.1</v>
      </c>
      <c r="E19" s="2" t="n">
        <v>0.2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0.1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 customFormat="false" ht="15" hidden="false" customHeight="false" outlineLevel="0" collapsed="false">
      <c r="A20" s="2" t="s">
        <v>1581</v>
      </c>
      <c r="B20" s="6" t="n">
        <v>1500</v>
      </c>
      <c r="C20" s="2" t="n">
        <v>0</v>
      </c>
      <c r="D20" s="2" t="n">
        <v>0.1</v>
      </c>
      <c r="E20" s="2" t="n">
        <v>0.15</v>
      </c>
      <c r="F20" s="2" t="n">
        <v>0.8</v>
      </c>
      <c r="G20" s="2" t="n">
        <v>0</v>
      </c>
      <c r="H20" s="2" t="n">
        <v>0</v>
      </c>
      <c r="I20" s="2" t="n">
        <v>0</v>
      </c>
      <c r="J20" s="2" t="n">
        <v>0.2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 customFormat="false" ht="15" hidden="false" customHeight="false" outlineLevel="0" collapsed="false">
      <c r="A21" s="2" t="s">
        <v>1582</v>
      </c>
      <c r="B21" s="6" t="n">
        <v>3000</v>
      </c>
      <c r="C21" s="2" t="n">
        <v>0.2</v>
      </c>
      <c r="D21" s="2" t="n">
        <v>0.75</v>
      </c>
      <c r="E21" s="2" t="n">
        <v>0.35</v>
      </c>
      <c r="F21" s="2" t="n">
        <v>0.1</v>
      </c>
      <c r="G21" s="2" t="n">
        <v>0.3</v>
      </c>
      <c r="H21" s="2" t="n">
        <v>0.6</v>
      </c>
      <c r="I21" s="2" t="n">
        <v>0.35</v>
      </c>
      <c r="J21" s="2" t="n">
        <v>0.5</v>
      </c>
      <c r="K21" s="2" t="n">
        <v>0</v>
      </c>
      <c r="L21" s="2" t="n">
        <v>0</v>
      </c>
      <c r="M21" s="2" t="n">
        <v>0.24</v>
      </c>
      <c r="N21" s="2" t="n">
        <v>0</v>
      </c>
      <c r="O21" s="2" t="n">
        <v>0</v>
      </c>
      <c r="P21" s="2" t="n">
        <v>0.05</v>
      </c>
    </row>
    <row r="22" customFormat="false" ht="15" hidden="false" customHeight="false" outlineLevel="0" collapsed="false">
      <c r="A22" s="2" t="s">
        <v>1583</v>
      </c>
      <c r="B22" s="6" t="n">
        <v>1000</v>
      </c>
      <c r="C22" s="2" t="n">
        <v>0.15</v>
      </c>
      <c r="D22" s="2" t="n">
        <v>0</v>
      </c>
      <c r="E22" s="2" t="n">
        <v>0.1</v>
      </c>
      <c r="F22" s="2" t="n">
        <v>0</v>
      </c>
      <c r="G22" s="2" t="n">
        <v>0.35</v>
      </c>
      <c r="H22" s="2" t="n">
        <v>0</v>
      </c>
      <c r="I22" s="2" t="n">
        <v>0.4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 customFormat="false" ht="15" hidden="false" customHeight="false" outlineLevel="0" collapsed="false">
      <c r="A23" s="2" t="s">
        <v>1584</v>
      </c>
      <c r="B23" s="6" t="n">
        <v>300</v>
      </c>
      <c r="C23" s="2" t="n">
        <v>0.15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0.2</v>
      </c>
      <c r="K23" s="2" t="n">
        <v>0</v>
      </c>
      <c r="L23" s="2" t="n">
        <v>0</v>
      </c>
      <c r="M23" s="2" t="n">
        <v>0.29</v>
      </c>
      <c r="N23" s="2" t="n">
        <v>0</v>
      </c>
      <c r="O23" s="2" t="n">
        <v>0</v>
      </c>
      <c r="P23" s="2" t="n">
        <v>0</v>
      </c>
    </row>
    <row r="24" customFormat="false" ht="15" hidden="false" customHeight="false" outlineLevel="0" collapsed="false">
      <c r="A24" s="2" t="s">
        <v>1585</v>
      </c>
      <c r="B24" s="6" t="n">
        <v>500</v>
      </c>
      <c r="C24" s="2" t="n">
        <v>0</v>
      </c>
      <c r="D24" s="2" t="n">
        <v>0</v>
      </c>
      <c r="E24" s="2" t="n">
        <v>0</v>
      </c>
      <c r="F24" s="2" t="n">
        <v>0.1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 customFormat="false" ht="15" hidden="false" customHeight="false" outlineLevel="0" collapsed="false">
      <c r="A25" s="2" t="s">
        <v>1586</v>
      </c>
      <c r="B25" s="6" t="n">
        <v>730</v>
      </c>
      <c r="C25" s="2" t="n">
        <v>0.7</v>
      </c>
      <c r="D25" s="2" t="n">
        <v>-0.15</v>
      </c>
      <c r="E25" s="2" t="n">
        <v>1.45</v>
      </c>
      <c r="F25" s="2" t="n">
        <v>0.75</v>
      </c>
      <c r="G25" s="2" t="n">
        <v>0.75</v>
      </c>
      <c r="H25" s="2" t="n">
        <v>0.65</v>
      </c>
      <c r="I25" s="2" t="n">
        <v>1.15</v>
      </c>
      <c r="J25" s="2" t="n">
        <v>1.1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 customFormat="false" ht="15" hidden="false" customHeight="false" outlineLevel="0" collapsed="false">
      <c r="A26" s="2" t="s">
        <v>1587</v>
      </c>
      <c r="B26" s="6" t="n">
        <v>500</v>
      </c>
      <c r="C26" s="2" t="n">
        <v>0.3</v>
      </c>
      <c r="D26" s="2" t="n">
        <v>0</v>
      </c>
      <c r="E26" s="2" t="n">
        <v>0.2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0.1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 customFormat="false" ht="15" hidden="false" customHeight="false" outlineLevel="0" collapsed="false">
      <c r="A27" s="2" t="s">
        <v>1588</v>
      </c>
      <c r="B27" s="6" t="n">
        <v>1500</v>
      </c>
      <c r="C27" s="2" t="n">
        <v>0.3</v>
      </c>
      <c r="D27" s="2" t="n">
        <v>0.4</v>
      </c>
      <c r="E27" s="2" t="n">
        <v>0.25</v>
      </c>
      <c r="F27" s="2" t="n">
        <v>0.1</v>
      </c>
      <c r="G27" s="2" t="n">
        <v>0.35</v>
      </c>
      <c r="H27" s="2" t="n">
        <v>0.45</v>
      </c>
      <c r="I27" s="2" t="n">
        <v>0.6</v>
      </c>
      <c r="J27" s="2" t="n">
        <v>0.2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0.25</v>
      </c>
      <c r="P27" s="2" t="n">
        <v>0</v>
      </c>
    </row>
    <row r="28" customFormat="false" ht="15" hidden="false" customHeight="false" outlineLevel="0" collapsed="false">
      <c r="A28" s="2" t="s">
        <v>1589</v>
      </c>
      <c r="B28" s="6" t="n">
        <v>300</v>
      </c>
      <c r="C28" s="2" t="n">
        <v>0</v>
      </c>
      <c r="D28" s="2" t="n">
        <v>0</v>
      </c>
      <c r="E28" s="2" t="n">
        <v>0.1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 customFormat="false" ht="15" hidden="false" customHeight="false" outlineLevel="0" collapsed="false">
      <c r="A29" s="2" t="s">
        <v>1590</v>
      </c>
      <c r="B29" s="6" t="n">
        <v>3000</v>
      </c>
      <c r="C29" s="2" t="n">
        <v>0</v>
      </c>
      <c r="D29" s="2" t="n">
        <v>0.1</v>
      </c>
      <c r="E29" s="2" t="n">
        <v>-0.1</v>
      </c>
      <c r="F29" s="2" t="n">
        <v>0</v>
      </c>
      <c r="G29" s="2" t="n">
        <v>0.1</v>
      </c>
      <c r="H29" s="2" t="n">
        <v>0</v>
      </c>
      <c r="I29" s="2" t="n">
        <v>0.1</v>
      </c>
      <c r="J29" s="2" t="n">
        <v>0</v>
      </c>
      <c r="K29" s="2" t="n">
        <v>0.31</v>
      </c>
      <c r="L29" s="2" t="n">
        <v>0.59</v>
      </c>
      <c r="M29" s="2" t="n">
        <v>0.59</v>
      </c>
      <c r="N29" s="2" t="n">
        <v>0.59</v>
      </c>
      <c r="O29" s="2" t="n">
        <v>0</v>
      </c>
      <c r="P29" s="2" t="n">
        <v>0.05</v>
      </c>
    </row>
    <row r="30" customFormat="false" ht="15" hidden="false" customHeight="false" outlineLevel="0" collapsed="false">
      <c r="A30" s="2" t="s">
        <v>1591</v>
      </c>
      <c r="B30" s="6" t="n">
        <v>1500</v>
      </c>
      <c r="C30" s="2" t="n">
        <v>-0.05</v>
      </c>
      <c r="D30" s="2" t="n">
        <v>0.6</v>
      </c>
      <c r="E30" s="2" t="n">
        <v>0</v>
      </c>
      <c r="F30" s="2" t="n">
        <v>0</v>
      </c>
      <c r="G30" s="2" t="n">
        <v>0.05</v>
      </c>
      <c r="H30" s="2" t="n">
        <v>0.25</v>
      </c>
      <c r="I30" s="2" t="n">
        <v>0.05</v>
      </c>
      <c r="J30" s="2" t="n">
        <v>0.03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0.25</v>
      </c>
      <c r="P30" s="2" t="n">
        <v>0</v>
      </c>
    </row>
    <row r="31" customFormat="false" ht="15" hidden="false" customHeight="false" outlineLevel="0" collapsed="false">
      <c r="A31" s="2" t="s">
        <v>1592</v>
      </c>
      <c r="B31" s="6" t="n">
        <v>1000</v>
      </c>
      <c r="C31" s="2" t="n">
        <v>0.4</v>
      </c>
      <c r="D31" s="2" t="n">
        <v>0.49</v>
      </c>
      <c r="E31" s="2" t="n">
        <v>0.58</v>
      </c>
      <c r="F31" s="2" t="n">
        <v>0.06</v>
      </c>
      <c r="G31" s="2" t="n">
        <v>0.7</v>
      </c>
      <c r="H31" s="2" t="n">
        <v>0.4</v>
      </c>
      <c r="I31" s="2" t="n">
        <v>0.95</v>
      </c>
      <c r="J31" s="2" t="n">
        <v>0.7</v>
      </c>
      <c r="K31" s="2" t="n">
        <v>0.3</v>
      </c>
      <c r="L31" s="2" t="n">
        <v>0.41</v>
      </c>
      <c r="M31" s="2" t="n">
        <v>0.41</v>
      </c>
      <c r="N31" s="2" t="n">
        <v>0.41</v>
      </c>
      <c r="O31" s="2" t="n">
        <v>0</v>
      </c>
      <c r="P31" s="2" t="n">
        <v>0.05</v>
      </c>
    </row>
    <row r="32" customFormat="false" ht="15" hidden="false" customHeight="false" outlineLevel="0" collapsed="false">
      <c r="A32" s="2" t="s">
        <v>1593</v>
      </c>
      <c r="B32" s="6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-0.24</v>
      </c>
      <c r="M32" s="2" t="n">
        <v>-0.24</v>
      </c>
      <c r="N32" s="2" t="n">
        <v>-0.24</v>
      </c>
      <c r="O32" s="2" t="n">
        <v>0</v>
      </c>
      <c r="P32" s="2" t="n">
        <v>0</v>
      </c>
    </row>
    <row r="33" customFormat="false" ht="15" hidden="false" customHeight="false" outlineLevel="0" collapsed="false">
      <c r="A33" s="2" t="s">
        <v>1594</v>
      </c>
      <c r="B33" s="6" t="n">
        <v>100</v>
      </c>
      <c r="C33" s="2" t="n">
        <v>-0.15</v>
      </c>
      <c r="D33" s="2" t="n">
        <v>0.3</v>
      </c>
      <c r="E33" s="2" t="n">
        <v>-0.1</v>
      </c>
      <c r="F33" s="2" t="n">
        <v>0.65</v>
      </c>
      <c r="G33" s="2" t="n">
        <v>0.2</v>
      </c>
      <c r="H33" s="2" t="n">
        <v>0</v>
      </c>
      <c r="I33" s="2" t="n">
        <v>0.3</v>
      </c>
      <c r="J33" s="2" t="n">
        <v>0.4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 customFormat="false" ht="15" hidden="false" customHeight="false" outlineLevel="0" collapsed="false">
      <c r="A34" s="2" t="s">
        <v>1595</v>
      </c>
      <c r="B34" s="6" t="n">
        <v>800</v>
      </c>
      <c r="C34" s="2" t="n">
        <v>0.35</v>
      </c>
      <c r="D34" s="2" t="n">
        <v>0.05</v>
      </c>
      <c r="E34" s="2" t="n">
        <v>0.2</v>
      </c>
      <c r="F34" s="2" t="n">
        <v>0.25</v>
      </c>
      <c r="G34" s="2" t="n">
        <v>0.15</v>
      </c>
      <c r="H34" s="2" t="n">
        <v>0.2</v>
      </c>
      <c r="I34" s="2" t="n">
        <v>0.35</v>
      </c>
      <c r="J34" s="2" t="n">
        <v>0.23</v>
      </c>
      <c r="K34" s="2" t="n">
        <v>0.21</v>
      </c>
      <c r="L34" s="2" t="n">
        <v>0.41</v>
      </c>
      <c r="M34" s="2" t="n">
        <v>0.41</v>
      </c>
      <c r="N34" s="2" t="n">
        <v>0.41</v>
      </c>
      <c r="O34" s="2" t="n">
        <v>0</v>
      </c>
      <c r="P34" s="2" t="n">
        <v>0</v>
      </c>
    </row>
    <row r="35" customFormat="false" ht="15" hidden="false" customHeight="false" outlineLevel="0" collapsed="false">
      <c r="A35" s="2" t="s">
        <v>1596</v>
      </c>
      <c r="B35" s="2"/>
      <c r="C35" s="2" t="n">
        <f aca="false">SUMPRODUCT($B$2:$B$34,C2:C34)</f>
        <v>4826</v>
      </c>
      <c r="D35" s="2" t="n">
        <f aca="false">SUMPRODUCT($B$2:$B$34,D2:D34)</f>
        <v>5590.5</v>
      </c>
      <c r="E35" s="2" t="n">
        <f aca="false">SUMPRODUCT($B$2:$B$34,E2:E34)</f>
        <v>4468.5</v>
      </c>
      <c r="F35" s="2" t="n">
        <f aca="false">SUMPRODUCT($B$2:$B$34,F2:F34)</f>
        <v>3207.5</v>
      </c>
      <c r="G35" s="2" t="n">
        <f aca="false">SUMPRODUCT($B$2:$B$34,G2:G34)</f>
        <v>5172.5</v>
      </c>
      <c r="H35" s="2" t="n">
        <f aca="false">SUMPRODUCT($B$2:$B$34,H2:H34)</f>
        <v>4694.5</v>
      </c>
      <c r="I35" s="2" t="n">
        <f aca="false">SUMPRODUCT($B$2:$B$34,I2:I34)</f>
        <v>5479.5</v>
      </c>
      <c r="J35" s="2" t="n">
        <f aca="false">SUMPRODUCT($B$2:$B$34,J2:J34)</f>
        <v>5722</v>
      </c>
      <c r="K35" s="2" t="n">
        <f aca="false">SUMPRODUCT($B$2:$B$34,K2:K34)</f>
        <v>2030</v>
      </c>
      <c r="L35" s="2" t="n">
        <f aca="false">SUMPRODUCT($B$2:$B$34,L2:L34)</f>
        <v>3673</v>
      </c>
      <c r="M35" s="2" t="n">
        <f aca="false">SUMPRODUCT($B$2:$B$34,M2:M34)</f>
        <v>3985</v>
      </c>
      <c r="N35" s="2" t="n">
        <f aca="false">SUMPRODUCT($B$2:$B$34,N2:N34)</f>
        <v>3664</v>
      </c>
      <c r="O35" s="2" t="n">
        <f aca="false">SUMPRODUCT($B$2:$B$34,O2:O34)</f>
        <v>750</v>
      </c>
      <c r="P35" s="2" t="n">
        <f aca="false">SUMPRODUCT($B$2:$B$34,P2:P34)</f>
        <v>1335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4"/>
  </cols>
  <sheetData>
    <row r="1" customFormat="false" ht="23.85" hidden="false" customHeight="false" outlineLevel="0" collapsed="false">
      <c r="A1" s="1" t="s">
        <v>1597</v>
      </c>
      <c r="B1" s="1" t="s">
        <v>1598</v>
      </c>
      <c r="C1" s="1" t="s">
        <v>1599</v>
      </c>
    </row>
    <row r="2" customFormat="false" ht="15" hidden="false" customHeight="false" outlineLevel="0" collapsed="false">
      <c r="A2" s="2" t="s">
        <v>2</v>
      </c>
      <c r="B2" s="6" t="n">
        <v>0</v>
      </c>
      <c r="C2" s="2" t="s">
        <v>1600</v>
      </c>
    </row>
    <row r="3" customFormat="false" ht="15" hidden="false" customHeight="false" outlineLevel="0" collapsed="false">
      <c r="A3" s="2" t="s">
        <v>3</v>
      </c>
      <c r="B3" s="6" t="n">
        <v>1</v>
      </c>
      <c r="C3" s="2" t="s">
        <v>1601</v>
      </c>
    </row>
    <row r="4" customFormat="false" ht="15" hidden="false" customHeight="false" outlineLevel="0" collapsed="false">
      <c r="A4" s="2" t="s">
        <v>4</v>
      </c>
      <c r="B4" s="6" t="n">
        <v>10</v>
      </c>
      <c r="C4" s="2" t="s">
        <v>1602</v>
      </c>
    </row>
    <row r="5" customFormat="false" ht="15" hidden="false" customHeight="false" outlineLevel="0" collapsed="false">
      <c r="A5" s="2" t="s">
        <v>5</v>
      </c>
      <c r="B5" s="6" t="n">
        <v>8</v>
      </c>
      <c r="C5" s="2" t="s">
        <v>1603</v>
      </c>
    </row>
    <row r="6" customFormat="false" ht="15" hidden="false" customHeight="false" outlineLevel="0" collapsed="false">
      <c r="A6" s="2" t="s">
        <v>6</v>
      </c>
      <c r="B6" s="6" t="n">
        <v>0.002</v>
      </c>
      <c r="C6" s="2" t="s">
        <v>1604</v>
      </c>
    </row>
    <row r="7" customFormat="false" ht="15" hidden="false" customHeight="false" outlineLevel="0" collapsed="false">
      <c r="A7" s="2" t="s">
        <v>7</v>
      </c>
      <c r="B7" s="6" t="n">
        <v>1</v>
      </c>
      <c r="C7" s="2"/>
    </row>
    <row r="8" customFormat="false" ht="15" hidden="false" customHeight="false" outlineLevel="0" collapsed="false">
      <c r="A8" s="2" t="s">
        <v>8</v>
      </c>
      <c r="B8" s="6" t="n">
        <v>1</v>
      </c>
      <c r="C8" s="2"/>
    </row>
    <row r="9" customFormat="false" ht="15" hidden="false" customHeight="false" outlineLevel="0" collapsed="false">
      <c r="A9" s="2" t="s">
        <v>9</v>
      </c>
      <c r="B9" s="6" t="n">
        <v>1</v>
      </c>
      <c r="C9" s="2"/>
    </row>
    <row r="10" customFormat="false" ht="15" hidden="false" customHeight="false" outlineLevel="0" collapsed="false">
      <c r="A10" s="2" t="s">
        <v>10</v>
      </c>
      <c r="B10" s="6" t="n">
        <v>300</v>
      </c>
      <c r="C10" s="2" t="s">
        <v>1605</v>
      </c>
    </row>
    <row r="11" customFormat="false" ht="15" hidden="false" customHeight="false" outlineLevel="0" collapsed="false">
      <c r="A11" s="2" t="s">
        <v>11</v>
      </c>
      <c r="B11" s="6" t="n">
        <v>25</v>
      </c>
      <c r="C11" s="2" t="s">
        <v>1606</v>
      </c>
    </row>
    <row r="12" customFormat="false" ht="15" hidden="false" customHeight="false" outlineLevel="0" collapsed="false">
      <c r="A12" s="2" t="s">
        <v>12</v>
      </c>
      <c r="B12" s="6" t="n">
        <v>100</v>
      </c>
      <c r="C12" s="2" t="s">
        <v>1607</v>
      </c>
    </row>
    <row r="13" customFormat="false" ht="15" hidden="false" customHeight="false" outlineLevel="0" collapsed="false">
      <c r="A13" s="2" t="s">
        <v>13</v>
      </c>
      <c r="B13" s="6" t="n">
        <v>80</v>
      </c>
      <c r="C13" s="2" t="s">
        <v>1608</v>
      </c>
    </row>
    <row r="14" customFormat="false" ht="15" hidden="false" customHeight="false" outlineLevel="0" collapsed="false">
      <c r="A14" s="2" t="s">
        <v>14</v>
      </c>
      <c r="B14" s="6" t="n">
        <v>60</v>
      </c>
      <c r="C14" s="2" t="s">
        <v>1609</v>
      </c>
    </row>
    <row r="15" customFormat="false" ht="15" hidden="false" customHeight="false" outlineLevel="0" collapsed="false">
      <c r="A15" s="2" t="s">
        <v>15</v>
      </c>
      <c r="B15" s="6" t="n">
        <v>15</v>
      </c>
      <c r="C15" s="2"/>
    </row>
    <row r="16" customFormat="false" ht="15" hidden="false" customHeight="false" outlineLevel="0" collapsed="false">
      <c r="A16" s="2" t="s">
        <v>16</v>
      </c>
      <c r="B16" s="6" t="n">
        <v>10</v>
      </c>
      <c r="C16" s="2"/>
    </row>
    <row r="17" customFormat="false" ht="15" hidden="false" customHeight="false" outlineLevel="0" collapsed="false">
      <c r="A17" s="2" t="s">
        <v>17</v>
      </c>
      <c r="B17" s="6" t="n">
        <v>0.02</v>
      </c>
      <c r="C17" s="2" t="s">
        <v>1610</v>
      </c>
    </row>
    <row r="18" customFormat="false" ht="15" hidden="false" customHeight="false" outlineLevel="0" collapsed="false">
      <c r="A18" s="2" t="s">
        <v>18</v>
      </c>
      <c r="B18" s="6" t="n">
        <v>40</v>
      </c>
      <c r="C18" s="2" t="s">
        <v>1611</v>
      </c>
    </row>
    <row r="19" customFormat="false" ht="15" hidden="false" customHeight="false" outlineLevel="0" collapsed="false">
      <c r="A19" s="2" t="s">
        <v>19</v>
      </c>
      <c r="B19" s="6" t="n">
        <v>0.5</v>
      </c>
      <c r="C19" s="2" t="s">
        <v>1612</v>
      </c>
    </row>
    <row r="20" customFormat="false" ht="15" hidden="false" customHeight="false" outlineLevel="0" collapsed="false">
      <c r="A20" s="2" t="s">
        <v>20</v>
      </c>
      <c r="B20" s="6" t="n">
        <v>20</v>
      </c>
      <c r="C20" s="2"/>
    </row>
    <row r="21" customFormat="false" ht="15" hidden="false" customHeight="false" outlineLevel="0" collapsed="false">
      <c r="A21" s="2" t="s">
        <v>21</v>
      </c>
      <c r="B21" s="6" t="n">
        <v>0</v>
      </c>
      <c r="C21" s="2" t="s">
        <v>1613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1614</v>
      </c>
    </row>
    <row r="2" customFormat="false" ht="15" hidden="false" customHeight="false" outlineLevel="0" collapsed="false">
      <c r="A2" s="2" t="s">
        <v>1615</v>
      </c>
    </row>
    <row r="3" customFormat="false" ht="15" hidden="false" customHeight="false" outlineLevel="0" collapsed="false">
      <c r="A3" s="2" t="s">
        <v>1616</v>
      </c>
    </row>
    <row r="4" customFormat="false" ht="15" hidden="false" customHeight="false" outlineLevel="0" collapsed="false">
      <c r="A4" s="2" t="s">
        <v>1617</v>
      </c>
    </row>
    <row r="5" customFormat="false" ht="15" hidden="false" customHeight="false" outlineLevel="0" collapsed="false">
      <c r="A5" s="2" t="s">
        <v>1618</v>
      </c>
    </row>
    <row r="6" customFormat="false" ht="15" hidden="false" customHeight="false" outlineLevel="0" collapsed="false">
      <c r="A6" s="2" t="s">
        <v>1619</v>
      </c>
    </row>
    <row r="7" customFormat="false" ht="15" hidden="false" customHeight="false" outlineLevel="0" collapsed="false">
      <c r="A7" s="2" t="s">
        <v>1620</v>
      </c>
    </row>
    <row r="8" customFormat="false" ht="15" hidden="false" customHeight="false" outlineLevel="0" collapsed="false">
      <c r="A8" s="2" t="s">
        <v>1621</v>
      </c>
    </row>
    <row r="9" customFormat="false" ht="15" hidden="false" customHeight="false" outlineLevel="0" collapsed="false">
      <c r="A9" s="2" t="s">
        <v>1622</v>
      </c>
    </row>
    <row r="10" customFormat="false" ht="15" hidden="false" customHeight="false" outlineLevel="0" collapsed="false">
      <c r="A10" s="2" t="s">
        <v>1623</v>
      </c>
    </row>
    <row r="11" customFormat="false" ht="15" hidden="false" customHeight="false" outlineLevel="0" collapsed="false">
      <c r="A11" s="2" t="s">
        <v>1624</v>
      </c>
    </row>
    <row r="12" customFormat="false" ht="15" hidden="false" customHeight="false" outlineLevel="0" collapsed="false">
      <c r="A12" s="2" t="s">
        <v>1625</v>
      </c>
    </row>
    <row r="13" customFormat="false" ht="15" hidden="false" customHeight="false" outlineLevel="0" collapsed="false">
      <c r="A13" s="2" t="s">
        <v>1626</v>
      </c>
    </row>
    <row r="14" customFormat="false" ht="15" hidden="false" customHeight="false" outlineLevel="0" collapsed="false">
      <c r="A14" s="2" t="s">
        <v>1627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2026-10-13T23:16:37Z</dcterms:created>
  <dc:creator>openpyxl</dc:creator>
  <dc:description/>
  <dc:language>en-US</dc:language>
  <cp:lastModifiedBy/>
  <dcterms:modified xsi:type="dcterms:W3CDTF">2026-10-13T23:16:37Z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